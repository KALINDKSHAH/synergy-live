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7fa301303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ome" sheetId="1" r:id="R2fb4dc1e9f8e40bc"/>
    <x:sheet xmlns:r="http://schemas.openxmlformats.org/officeDocument/2006/relationships" name="01_Sponsor" sheetId="2" r:id="R211e6634f9d14732"/>
    <x:sheet xmlns:r="http://schemas.openxmlformats.org/officeDocument/2006/relationships" name="02_Program_Head" sheetId="3" r:id="Rbd4e5233bbcf44e9"/>
    <x:sheet xmlns:r="http://schemas.openxmlformats.org/officeDocument/2006/relationships" name="03_Project_360" sheetId="4" r:id="R0725288da4384bc4"/>
    <x:sheet xmlns:r="http://schemas.openxmlformats.org/officeDocument/2006/relationships" name="04_PM_Control" sheetId="5" r:id="R5774b0e0c9804512"/>
    <x:sheet xmlns:r="http://schemas.openxmlformats.org/officeDocument/2006/relationships" name="05_Team_Command" sheetId="6" r:id="R06166021e8f94dda"/>
    <x:sheet xmlns:r="http://schemas.openxmlformats.org/officeDocument/2006/relationships" name="06_Gantt" sheetId="7" r:id="R4742f694839f4271"/>
    <x:sheet xmlns:r="http://schemas.openxmlformats.org/officeDocument/2006/relationships" name="07_Decision_Hub" sheetId="8" r:id="R21f78678f7a84ad3"/>
    <x:sheet xmlns:r="http://schemas.openxmlformats.org/officeDocument/2006/relationships" name="08_Dependency_Radar" sheetId="9" r:id="Rc548e327b8a44f3c"/>
    <x:sheet xmlns:r="http://schemas.openxmlformats.org/officeDocument/2006/relationships" name="09_Change_Control" sheetId="10" r:id="Ra0daa88ec6464b7a"/>
    <x:sheet xmlns:r="http://schemas.openxmlformats.org/officeDocument/2006/relationships" name="10_Project_Data" sheetId="11" r:id="Rb239a61e1d86423c"/>
    <x:sheet xmlns:r="http://schemas.openxmlformats.org/officeDocument/2006/relationships" name="11_Task_Data" sheetId="12" r:id="R6998899aac134bbf"/>
    <x:sheet xmlns:r="http://schemas.openxmlformats.org/officeDocument/2006/relationships" name="12_Integrity" sheetId="13" r:id="Rdad067ca902e47da"/>
    <x:sheet xmlns:r="http://schemas.openxmlformats.org/officeDocument/2006/relationships" name="13_Read_Me" sheetId="14" r:id="R2cfbec97e50e4fa0"/>
    <x:sheet xmlns:r="http://schemas.openxmlformats.org/officeDocument/2006/relationships" name="14_Config" sheetId="15" r:id="R3c39896eba374be8"/>
  </x:sheets>
</x:workbook>
</file>

<file path=xl/sharedStrings.xml><?xml version="1.0" encoding="utf-8"?>
<x:sst xmlns:x="http://schemas.openxmlformats.org/spreadsheetml/2006/main">
  <x:si>
    <x:t xml:space="preserve">SYNERGY | PROJECT CONTROL TOWER</x:t>
  </x:si>
  <x:si>
    <x:t xml:space="preserve">A decision-led collaboration cockpit for project execution — clean, connected, exception-first.</x:t>
  </x:si>
  <x:si>
    <x:t xml:space="preserve">HOME</x:t>
  </x:si>
  <x:si>
    <x:t xml:space="preserve">SPONSOR</x:t>
  </x:si>
  <x:si>
    <x:t xml:space="preserve">PROGRAM</x:t>
  </x:si>
  <x:si>
    <x:t xml:space="preserve">PROJECT 360</x:t>
  </x:si>
  <x:si>
    <x:t xml:space="preserve">PM CONTROL</x:t>
  </x:si>
  <x:si>
    <x:t xml:space="preserve">TEAM</x:t>
  </x:si>
  <x:si>
    <x:t xml:space="preserve">GANTT</x:t>
  </x:si>
  <x:si>
    <x:t xml:space="preserve">DECISIONS</x:t>
  </x:si>
  <x:si>
    <x:t xml:space="preserve">DEPENDENCIES</x:t>
  </x:si>
  <x:si>
    <x:t xml:space="preserve">CHANGES</x:t>
  </x:si>
  <x:si>
    <x:t xml:space="preserve">DATA</x:t>
  </x:si>
  <x:si>
    <x:t xml:space="preserve">TASKS</x:t>
  </x:si>
  <x:si>
    <x:t xml:space="preserve">INTEGRITY</x:t>
  </x:si>
  <x:si>
    <x:t xml:space="preserve">CONTROL TOWER NORTH STAR</x:t>
  </x:si>
  <x:si>
    <x:t xml:space="preserve">SEE  →  CONNECT  →  DECIDE  →  ACT</x:t>
  </x:si>
  <x:si>
    <x:t xml:space="preserve">Make the problem visible • connect it to the right owner • quantify the consequence • drive the decision • verify the recovery.</x:t>
  </x:si>
  <x:si>
    <x:t xml:space="preserve">PROJECTS</x:t>
  </x:si>
  <x:si>
    <x:t xml:space="preserve">REVENUE ₹L</x:t>
  </x:si>
  <x:si>
    <x:t xml:space="preserve">PROFIT ₹L</x:t>
  </x:si>
  <x:si>
    <x:t xml:space="preserve">PIPELINE ₹L</x:t>
  </x:si>
  <x:si>
    <x:t xml:space="preserve">RED / AMBER</x:t>
  </x:si>
  <x:si>
    <x:t xml:space="preserve">BLOCKED TASKS</x:t>
  </x:si>
  <x:si>
    <x:t xml:space="preserve">HOW TO USE</x:t>
  </x:si>
  <x:si>
    <x:t xml:space="preserve">DEMO FLOW</x:t>
  </x:si>
  <x:si>
    <x:t xml:space="preserve">1</x:t>
  </x:si>
  <x:si>
    <x:t xml:space="preserve">Start at Sponsor</x:t>
  </x:si>
  <x:si>
    <x:t xml:space="preserve">Outcome + exception view</x:t>
  </x:si>
  <x:si>
    <x:t xml:space="preserve">Sponsor → Project → Risk → Dependency → Person → Decision → Resolution
The workbook is deliberately built as a connected operating model, not a static report. Yellow cells are the controlled input layer; dashboard pages are formula-driven.</x:t>
  </x:si>
  <x:si>
    <x:t xml:space="preserve">2</x:t>
  </x:si>
  <x:si>
    <x:t xml:space="preserve">Open Project 360</x:t>
  </x:si>
  <x:si>
    <x:t xml:space="preserve">Evidence behind the exception</x:t>
  </x:si>
  <x:si>
    <x:t xml:space="preserve">3</x:t>
  </x:si>
  <x:si>
    <x:t xml:space="preserve">Open Gantt</x:t>
  </x:si>
  <x:si>
    <x:t xml:space="preserve">Critical timing + dependency</x:t>
  </x:si>
  <x:si>
    <x:t xml:space="preserve">4</x:t>
  </x:si>
  <x:si>
    <x:t xml:space="preserve">Open Decision Hub</x:t>
  </x:si>
  <x:si>
    <x:t xml:space="preserve">Quantify the decision</x:t>
  </x:si>
  <x:si>
    <x:t xml:space="preserve">5</x:t>
  </x:si>
  <x:si>
    <x:t xml:space="preserve">Open PM Control</x:t>
  </x:si>
  <x:si>
    <x:t xml:space="preserve">Assign recovery</x:t>
  </x:si>
  <x:si>
    <x:t xml:space="preserve">6</x:t>
  </x:si>
  <x:si>
    <x:t xml:space="preserve">Return to Sponsor</x:t>
  </x:si>
  <x:si>
    <x:t xml:space="preserve">Verify the portfolio signal</x:t>
  </x:si>
  <x:si>
    <x:t xml:space="preserve">SYNERGY | SPONSOR COMMAND CENTRE</x:t>
  </x:si>
  <x:si>
    <x:t xml:space="preserve">Executive portfolio view — value, growth, capacity and exceptions first.</x:t>
  </x:si>
  <x:si>
    <x:t xml:space="preserve">PORTFOLIO REVENUE</x:t>
  </x:si>
  <x:si>
    <x:t xml:space="preserve">PORTFOLIO PROFIT</x:t>
  </x:si>
  <x:si>
    <x:t xml:space="preserve">NEW BUSINESS PIPELINE</x:t>
  </x:si>
  <x:si>
    <x:t xml:space="preserve">RESOURCES DEPLOYED</x:t>
  </x:si>
  <x:si>
    <x:t xml:space="preserve">RISK EXPOSURE</x:t>
  </x:si>
  <x:si>
    <x:t xml:space="preserve">PORTFOLIO HEALTH</x:t>
  </x:si>
  <x:si>
    <x:t xml:space="preserve">VALUE ENGINE | REVENUE / PROFIT / PIPELINE BY FUNCTION</x:t>
  </x:si>
  <x:si>
    <x:t xml:space="preserve">Function</x:t>
  </x:si>
  <x:si>
    <x:t xml:space="preserve">Revenue ₹L</x:t>
  </x:si>
  <x:si>
    <x:t xml:space="preserve">Profit ₹L</x:t>
  </x:si>
  <x:si>
    <x:t xml:space="preserve">Pipeline ₹L</x:t>
  </x:si>
  <x:si>
    <x:t xml:space="preserve">RAG</x:t>
  </x:si>
  <x:si>
    <x:t xml:space="preserve">Projects</x:t>
  </x:si>
  <x:si>
    <x:t xml:space="preserve">Corporate</x:t>
  </x:si>
  <x:si>
    <x:t xml:space="preserve">GREEN</x:t>
  </x:si>
  <x:si>
    <x:t xml:space="preserve">Digital</x:t>
  </x:si>
  <x:si>
    <x:t xml:space="preserve">AMBER</x:t>
  </x:si>
  <x:si>
    <x:t xml:space="preserve">ESG</x:t>
  </x:si>
  <x:si>
    <x:t xml:space="preserve">RED</x:t>
  </x:si>
  <x:si>
    <x:t xml:space="preserve">Infrastructure</x:t>
  </x:si>
  <x:si>
    <x:t xml:space="preserve">Manufacturing</x:t>
  </x:si>
  <x:si>
    <x:t xml:space="preserve">Product</x:t>
  </x:si>
  <x:si>
    <x:t xml:space="preserve">Quality</x:t>
  </x:si>
  <x:si>
    <x:t xml:space="preserve">Sales</x:t>
  </x:si>
  <x:si>
    <x:t xml:space="preserve">Supply Chain</x:t>
  </x:si>
  <x:si>
    <x:t xml:space="preserve">LEADERSHIP ATTENTION | TOP EXCEPTIONS</x:t>
  </x:si>
  <x:si>
    <x:t xml:space="preserve">Project</x:t>
  </x:si>
  <x:si>
    <x:t xml:space="preserve">Risk</x:t>
  </x:si>
  <x:si>
    <x:t xml:space="preserve">Days Risk</x:t>
  </x:si>
  <x:si>
    <x:t xml:space="preserve">Progress</x:t>
  </x:si>
  <x:si>
    <x:t xml:space="preserve">PM</x:t>
  </x:si>
  <x:si>
    <x:t xml:space="preserve">Next action</x:t>
  </x:si>
  <x:si>
    <x:t xml:space="preserve">Fusion Modernisation</x:t>
  </x:si>
  <x:si>
    <x:t xml:space="preserve">Sanjay Kumar</x:t>
  </x:si>
  <x:si>
    <x:t xml:space="preserve">Review critical-path / decision queue</x:t>
  </x:si>
  <x:si>
    <x:t xml:space="preserve">Vector Transformation</x:t>
  </x:si>
  <x:si>
    <x:t xml:space="preserve">Summit Integration</x:t>
  </x:si>
  <x:si>
    <x:t xml:space="preserve">Aditi Menon</x:t>
  </x:si>
  <x:si>
    <x:t xml:space="preserve">Vector Integration</x:t>
  </x:si>
  <x:si>
    <x:t xml:space="preserve">Rohit Nair</x:t>
  </x:si>
  <x:si>
    <x:t xml:space="preserve">Nexus Modernisation</x:t>
  </x:si>
  <x:si>
    <x:t xml:space="preserve">Meera Joshi</x:t>
  </x:si>
  <x:si>
    <x:t xml:space="preserve">Vertex Modernisation</x:t>
  </x:si>
  <x:si>
    <x:t xml:space="preserve">Neha Kapoor</x:t>
  </x:si>
  <x:si>
    <x:t xml:space="preserve">Vector Automation</x:t>
  </x:si>
  <x:si>
    <x:t xml:space="preserve">6-MONTH VALUE TIMING</x:t>
  </x:si>
  <x:si>
    <x:t xml:space="preserve">Pioneer Expansion</x:t>
  </x:si>
  <x:si>
    <x:t xml:space="preserve">Pioneer Automation</x:t>
  </x:si>
  <x:si>
    <x:t xml:space="preserve">Priya Shah</x:t>
  </x:si>
  <x:si>
    <x:t xml:space="preserve">Vertex Integration</x:t>
  </x:si>
  <x:si>
    <x:t xml:space="preserve">Arjun Mehta</x:t>
  </x:si>
  <x:si>
    <x:t xml:space="preserve">PORTFOLIO HEATMAP | RISK × PROGRESS × VALUE</x:t>
  </x:si>
  <x:si>
    <x:t xml:space="preserve">ID</x:t>
  </x:si>
  <x:si>
    <x:t xml:space="preserve">Progress %</x:t>
  </x:si>
  <x:si>
    <x:t xml:space="preserve">Sponsor</x:t>
  </x:si>
  <x:si>
    <x:t xml:space="preserve">Region</x:t>
  </x:si>
  <x:si>
    <x:t xml:space="preserve">Resources</x:t>
  </x:si>
  <x:si>
    <x:t xml:space="preserve">Util.</x:t>
  </x:si>
  <x:si>
    <x:t xml:space="preserve">Customer</x:t>
  </x:si>
  <x:si>
    <x:t xml:space="preserve">P019</x:t>
  </x:si>
  <x:si>
    <x:t xml:space="preserve">Sponsor D</x:t>
  </x:si>
  <x:si>
    <x:t xml:space="preserve">North</x:t>
  </x:si>
  <x:si>
    <x:t xml:space="preserve">P088</x:t>
  </x:si>
  <x:si>
    <x:t xml:space="preserve">Sponsor A</x:t>
  </x:si>
  <x:si>
    <x:t xml:space="preserve">West</x:t>
  </x:si>
  <x:si>
    <x:t xml:space="preserve">P053</x:t>
  </x:si>
  <x:si>
    <x:t xml:space="preserve">Sponsor E</x:t>
  </x:si>
  <x:si>
    <x:t xml:space="preserve">South</x:t>
  </x:si>
  <x:si>
    <x:t xml:space="preserve">P059</x:t>
  </x:si>
  <x:si>
    <x:t xml:space="preserve">Sponsor C</x:t>
  </x:si>
  <x:si>
    <x:t xml:space="preserve">P089</x:t>
  </x:si>
  <x:si>
    <x:t xml:space="preserve">Sponsor B</x:t>
  </x:si>
  <x:si>
    <x:t xml:space="preserve">P085</x:t>
  </x:si>
  <x:si>
    <x:t xml:space="preserve">P035</x:t>
  </x:si>
  <x:si>
    <x:t xml:space="preserve">P079</x:t>
  </x:si>
  <x:si>
    <x:t xml:space="preserve">P045</x:t>
  </x:si>
  <x:si>
    <x:t xml:space="preserve">Technology</x:t>
  </x:si>
  <x:si>
    <x:t xml:space="preserve">P075</x:t>
  </x:si>
  <x:si>
    <x:t xml:space="preserve">P015</x:t>
  </x:si>
  <x:si>
    <x:t xml:space="preserve">Pioneer Transformation</x:t>
  </x:si>
  <x:si>
    <x:t xml:space="preserve">P054</x:t>
  </x:si>
  <x:si>
    <x:t xml:space="preserve">Quantum Integration</x:t>
  </x:si>
  <x:si>
    <x:t xml:space="preserve">East</x:t>
  </x:si>
  <x:si>
    <x:t xml:space="preserve">P011</x:t>
  </x:si>
  <x:si>
    <x:t xml:space="preserve">Helix Transformation</x:t>
  </x:si>
  <x:si>
    <x:t xml:space="preserve">Karan Rao</x:t>
  </x:si>
  <x:si>
    <x:t xml:space="preserve">P024</x:t>
  </x:si>
  <x:si>
    <x:t xml:space="preserve">Orion Expansion</x:t>
  </x:si>
  <x:si>
    <x:t xml:space="preserve">P096</x:t>
  </x:si>
  <x:si>
    <x:t xml:space="preserve">Matrix Modernisation</x:t>
  </x:si>
  <x:si>
    <x:t xml:space="preserve">P071</x:t>
  </x:si>
  <x:si>
    <x:t xml:space="preserve">Helix Automation</x:t>
  </x:si>
  <x:si>
    <x:t xml:space="preserve">P086</x:t>
  </x:si>
  <x:si>
    <x:t xml:space="preserve">Pulse Modernisation</x:t>
  </x:si>
  <x:si>
    <x:t xml:space="preserve">P087</x:t>
  </x:si>
  <x:si>
    <x:t xml:space="preserve">Horizon Modernisation</x:t>
  </x:si>
  <x:si>
    <x:t xml:space="preserve">P084</x:t>
  </x:si>
  <x:si>
    <x:t xml:space="preserve">Orion Modernisation</x:t>
  </x:si>
  <x:si>
    <x:t xml:space="preserve">Central</x:t>
  </x:si>
  <x:si>
    <x:t xml:space="preserve">P091</x:t>
  </x:si>
  <x:si>
    <x:t xml:space="preserve">Helix Modernisation</x:t>
  </x:si>
  <x:si>
    <x:t xml:space="preserve">P098</x:t>
  </x:si>
  <x:si>
    <x:t xml:space="preserve">Voyage Modernisation</x:t>
  </x:si>
  <x:si>
    <x:t xml:space="preserve">P040</x:t>
  </x:si>
  <x:si>
    <x:t xml:space="preserve">Synergy Expansion</x:t>
  </x:si>
  <x:si>
    <x:t xml:space="preserve">P007</x:t>
  </x:si>
  <x:si>
    <x:t xml:space="preserve">Horizon Transformation</x:t>
  </x:si>
  <x:si>
    <x:t xml:space="preserve">P044</x:t>
  </x:si>
  <x:si>
    <x:t xml:space="preserve">Orion Integration</x:t>
  </x:si>
  <x:si>
    <x:t xml:space="preserve">P069</x:t>
  </x:si>
  <x:si>
    <x:t xml:space="preserve">Nexus Automation</x:t>
  </x:si>
  <x:si>
    <x:t xml:space="preserve">P072</x:t>
  </x:si>
  <x:si>
    <x:t xml:space="preserve">Velocity Automation</x:t>
  </x:si>
  <x:si>
    <x:t xml:space="preserve">Ananya Iyer</x:t>
  </x:si>
  <x:si>
    <x:t xml:space="preserve">P083</x:t>
  </x:si>
  <x:si>
    <x:t xml:space="preserve">Nova Modernisation</x:t>
  </x:si>
  <x:si>
    <x:t xml:space="preserve">P012</x:t>
  </x:si>
  <x:si>
    <x:t xml:space="preserve">Velocity Transformation</x:t>
  </x:si>
  <x:si>
    <x:t xml:space="preserve">P057</x:t>
  </x:si>
  <x:si>
    <x:t xml:space="preserve">Elevate Integration</x:t>
  </x:si>
  <x:si>
    <x:t xml:space="preserve">P048</x:t>
  </x:si>
  <x:si>
    <x:t xml:space="preserve">Fusion Integration</x:t>
  </x:si>
  <x:si>
    <x:t xml:space="preserve">P010</x:t>
  </x:si>
  <x:si>
    <x:t xml:space="preserve">Catalyst Transformation</x:t>
  </x:si>
  <x:si>
    <x:t xml:space="preserve">P031</x:t>
  </x:si>
  <x:si>
    <x:t xml:space="preserve">Helix Expansion</x:t>
  </x:si>
  <x:si>
    <x:t xml:space="preserve">P034</x:t>
  </x:si>
  <x:si>
    <x:t xml:space="preserve">Quantum Expansion</x:t>
  </x:si>
  <x:si>
    <x:t xml:space="preserve">P042</x:t>
  </x:si>
  <x:si>
    <x:t xml:space="preserve">Atlas Integration</x:t>
  </x:si>
  <x:si>
    <x:t xml:space="preserve">P097</x:t>
  </x:si>
  <x:si>
    <x:t xml:space="preserve">Elevate Modernisation</x:t>
  </x:si>
  <x:si>
    <x:t xml:space="preserve">P009</x:t>
  </x:si>
  <x:si>
    <x:t xml:space="preserve">Nexus Transformation</x:t>
  </x:si>
  <x:si>
    <x:t xml:space="preserve">P050</x:t>
  </x:si>
  <x:si>
    <x:t xml:space="preserve">Catalyst Integration</x:t>
  </x:si>
  <x:si>
    <x:t xml:space="preserve">P081</x:t>
  </x:si>
  <x:si>
    <x:t xml:space="preserve">Aurora Modernisation</x:t>
  </x:si>
  <x:si>
    <x:t xml:space="preserve">P006</x:t>
  </x:si>
  <x:si>
    <x:t xml:space="preserve">Pulse Transformation</x:t>
  </x:si>
  <x:si>
    <x:t xml:space="preserve">P017</x:t>
  </x:si>
  <x:si>
    <x:t xml:space="preserve">Elevate Transformation</x:t>
  </x:si>
  <x:si>
    <x:t xml:space="preserve">P061</x:t>
  </x:si>
  <x:si>
    <x:t xml:space="preserve">Aurora Automation</x:t>
  </x:si>
  <x:si>
    <x:t xml:space="preserve">P066</x:t>
  </x:si>
  <x:si>
    <x:t xml:space="preserve">Pulse Automation</x:t>
  </x:si>
  <x:si>
    <x:t xml:space="preserve">Vivek Singh</x:t>
  </x:si>
  <x:si>
    <x:t xml:space="preserve">P063</x:t>
  </x:si>
  <x:si>
    <x:t xml:space="preserve">Nova Automation</x:t>
  </x:si>
  <x:si>
    <x:t xml:space="preserve">P082</x:t>
  </x:si>
  <x:si>
    <x:t xml:space="preserve">Atlas Modernisation</x:t>
  </x:si>
  <x:si>
    <x:t xml:space="preserve">P093</x:t>
  </x:si>
  <x:si>
    <x:t xml:space="preserve">Summit Modernisation</x:t>
  </x:si>
  <x:si>
    <x:t xml:space="preserve">P004</x:t>
  </x:si>
  <x:si>
    <x:t xml:space="preserve">Orion Transformation</x:t>
  </x:si>
  <x:si>
    <x:t xml:space="preserve">P049</x:t>
  </x:si>
  <x:si>
    <x:t xml:space="preserve">Nexus Integration</x:t>
  </x:si>
  <x:si>
    <x:t xml:space="preserve">P058</x:t>
  </x:si>
  <x:si>
    <x:t xml:space="preserve">Voyage Integration</x:t>
  </x:si>
  <x:si>
    <x:t xml:space="preserve">P002</x:t>
  </x:si>
  <x:si>
    <x:t xml:space="preserve">Atlas Transformation</x:t>
  </x:si>
  <x:si>
    <x:t xml:space="preserve">P027</x:t>
  </x:si>
  <x:si>
    <x:t xml:space="preserve">Horizon Expansion</x:t>
  </x:si>
  <x:si>
    <x:t xml:space="preserve">P064</x:t>
  </x:si>
  <x:si>
    <x:t xml:space="preserve">Orion Automation</x:t>
  </x:si>
  <x:si>
    <x:t xml:space="preserve">P060</x:t>
  </x:si>
  <x:si>
    <x:t xml:space="preserve">Synergy Integration</x:t>
  </x:si>
  <x:si>
    <x:t xml:space="preserve">P055</x:t>
  </x:si>
  <x:si>
    <x:t xml:space="preserve">Pioneer Integration</x:t>
  </x:si>
  <x:si>
    <x:t xml:space="preserve">P014</x:t>
  </x:si>
  <x:si>
    <x:t xml:space="preserve">Quantum Transformation</x:t>
  </x:si>
  <x:si>
    <x:t xml:space="preserve">P070</x:t>
  </x:si>
  <x:si>
    <x:t xml:space="preserve">Catalyst Automation</x:t>
  </x:si>
  <x:si>
    <x:t xml:space="preserve">P065</x:t>
  </x:si>
  <x:si>
    <x:t xml:space="preserve">Vertex Automation</x:t>
  </x:si>
  <x:si>
    <x:t xml:space="preserve">P021</x:t>
  </x:si>
  <x:si>
    <x:t xml:space="preserve">Aurora Expansion</x:t>
  </x:si>
  <x:si>
    <x:t xml:space="preserve">P036</x:t>
  </x:si>
  <x:si>
    <x:t xml:space="preserve">Matrix Expansion</x:t>
  </x:si>
  <x:si>
    <x:t xml:space="preserve">P062</x:t>
  </x:si>
  <x:si>
    <x:t xml:space="preserve">Atlas Automation</x:t>
  </x:si>
  <x:si>
    <x:t xml:space="preserve">P051</x:t>
  </x:si>
  <x:si>
    <x:t xml:space="preserve">Helix Integration</x:t>
  </x:si>
  <x:si>
    <x:t xml:space="preserve">P029</x:t>
  </x:si>
  <x:si>
    <x:t xml:space="preserve">Nexus Expansion</x:t>
  </x:si>
  <x:si>
    <x:t xml:space="preserve">P092</x:t>
  </x:si>
  <x:si>
    <x:t xml:space="preserve">Velocity Modernisation</x:t>
  </x:si>
  <x:si>
    <x:t xml:space="preserve">P022</x:t>
  </x:si>
  <x:si>
    <x:t xml:space="preserve">Atlas Expansion</x:t>
  </x:si>
  <x:si>
    <x:t xml:space="preserve">P003</x:t>
  </x:si>
  <x:si>
    <x:t xml:space="preserve">Nova Transformation</x:t>
  </x:si>
  <x:si>
    <x:t xml:space="preserve">P025</x:t>
  </x:si>
  <x:si>
    <x:t xml:space="preserve">Vertex Expansion</x:t>
  </x:si>
  <x:si>
    <x:t xml:space="preserve">P056</x:t>
  </x:si>
  <x:si>
    <x:t xml:space="preserve">Matrix Integration</x:t>
  </x:si>
  <x:si>
    <x:t xml:space="preserve">P052</x:t>
  </x:si>
  <x:si>
    <x:t xml:space="preserve">Velocity Integration</x:t>
  </x:si>
  <x:si>
    <x:t xml:space="preserve">P028</x:t>
  </x:si>
  <x:si>
    <x:t xml:space="preserve">Fusion Expansion</x:t>
  </x:si>
  <x:si>
    <x:t xml:space="preserve">P032</x:t>
  </x:si>
  <x:si>
    <x:t xml:space="preserve">Velocity Expansion</x:t>
  </x:si>
  <x:si>
    <x:t xml:space="preserve">P041</x:t>
  </x:si>
  <x:si>
    <x:t xml:space="preserve">Aurora Integration</x:t>
  </x:si>
  <x:si>
    <x:t xml:space="preserve">P100</x:t>
  </x:si>
  <x:si>
    <x:t xml:space="preserve">Synergy Modernisation</x:t>
  </x:si>
  <x:si>
    <x:t xml:space="preserve">P033</x:t>
  </x:si>
  <x:si>
    <x:t xml:space="preserve">Summit Expansion</x:t>
  </x:si>
  <x:si>
    <x:t xml:space="preserve">P080</x:t>
  </x:si>
  <x:si>
    <x:t xml:space="preserve">Synergy Automation</x:t>
  </x:si>
  <x:si>
    <x:t xml:space="preserve">P099</x:t>
  </x:si>
  <x:si>
    <x:t xml:space="preserve">Vector Modernisation</x:t>
  </x:si>
  <x:si>
    <x:t xml:space="preserve">P095</x:t>
  </x:si>
  <x:si>
    <x:t xml:space="preserve">Pioneer Modernisation</x:t>
  </x:si>
  <x:si>
    <x:t xml:space="preserve">P020</x:t>
  </x:si>
  <x:si>
    <x:t xml:space="preserve">Synergy Transformation</x:t>
  </x:si>
  <x:si>
    <x:t xml:space="preserve">P043</x:t>
  </x:si>
  <x:si>
    <x:t xml:space="preserve">Nova Integration</x:t>
  </x:si>
  <x:si>
    <x:t xml:space="preserve">P001</x:t>
  </x:si>
  <x:si>
    <x:t xml:space="preserve">Aurora Transformation</x:t>
  </x:si>
  <x:si>
    <x:t xml:space="preserve">P037</x:t>
  </x:si>
  <x:si>
    <x:t xml:space="preserve">Elevate Expansion</x:t>
  </x:si>
  <x:si>
    <x:t xml:space="preserve">P077</x:t>
  </x:si>
  <x:si>
    <x:t xml:space="preserve">Elevate Automation</x:t>
  </x:si>
  <x:si>
    <x:t xml:space="preserve">P074</x:t>
  </x:si>
  <x:si>
    <x:t xml:space="preserve">Quantum Automation</x:t>
  </x:si>
  <x:si>
    <x:t xml:space="preserve">P018</x:t>
  </x:si>
  <x:si>
    <x:t xml:space="preserve">Voyage Transformation</x:t>
  </x:si>
  <x:si>
    <x:t xml:space="preserve">P047</x:t>
  </x:si>
  <x:si>
    <x:t xml:space="preserve">Horizon Integration</x:t>
  </x:si>
  <x:si>
    <x:t xml:space="preserve">P023</x:t>
  </x:si>
  <x:si>
    <x:t xml:space="preserve">Nova Expansion</x:t>
  </x:si>
  <x:si>
    <x:t xml:space="preserve">P039</x:t>
  </x:si>
  <x:si>
    <x:t xml:space="preserve">Vector Expansion</x:t>
  </x:si>
  <x:si>
    <x:t xml:space="preserve">P038</x:t>
  </x:si>
  <x:si>
    <x:t xml:space="preserve">Voyage Expansion</x:t>
  </x:si>
  <x:si>
    <x:t xml:space="preserve">P030</x:t>
  </x:si>
  <x:si>
    <x:t xml:space="preserve">Catalyst Expansion</x:t>
  </x:si>
  <x:si>
    <x:t xml:space="preserve">P076</x:t>
  </x:si>
  <x:si>
    <x:t xml:space="preserve">Matrix Automation</x:t>
  </x:si>
  <x:si>
    <x:t xml:space="preserve">P016</x:t>
  </x:si>
  <x:si>
    <x:t xml:space="preserve">Matrix Transformation</x:t>
  </x:si>
  <x:si>
    <x:t xml:space="preserve">P067</x:t>
  </x:si>
  <x:si>
    <x:t xml:space="preserve">Horizon Automation</x:t>
  </x:si>
  <x:si>
    <x:t xml:space="preserve">P073</x:t>
  </x:si>
  <x:si>
    <x:t xml:space="preserve">Summit Automation</x:t>
  </x:si>
  <x:si>
    <x:t xml:space="preserve">P046</x:t>
  </x:si>
  <x:si>
    <x:t xml:space="preserve">Pulse Integration</x:t>
  </x:si>
  <x:si>
    <x:t xml:space="preserve">P068</x:t>
  </x:si>
  <x:si>
    <x:t xml:space="preserve">Fusion Automation</x:t>
  </x:si>
  <x:si>
    <x:t xml:space="preserve">P005</x:t>
  </x:si>
  <x:si>
    <x:t xml:space="preserve">Vertex Transformation</x:t>
  </x:si>
  <x:si>
    <x:t xml:space="preserve">P026</x:t>
  </x:si>
  <x:si>
    <x:t xml:space="preserve">Pulse Expansion</x:t>
  </x:si>
  <x:si>
    <x:t xml:space="preserve">P090</x:t>
  </x:si>
  <x:si>
    <x:t xml:space="preserve">Catalyst Modernisation</x:t>
  </x:si>
  <x:si>
    <x:t xml:space="preserve">P013</x:t>
  </x:si>
  <x:si>
    <x:t xml:space="preserve">Summit Transformation</x:t>
  </x:si>
  <x:si>
    <x:t xml:space="preserve">P008</x:t>
  </x:si>
  <x:si>
    <x:t xml:space="preserve">Fusion Transformation</x:t>
  </x:si>
  <x:si>
    <x:t xml:space="preserve">P078</x:t>
  </x:si>
  <x:si>
    <x:t xml:space="preserve">Voyage Automation</x:t>
  </x:si>
  <x:si>
    <x:t xml:space="preserve">P094</x:t>
  </x:si>
  <x:si>
    <x:t xml:space="preserve">Quantum Modernisation</x:t>
  </x:si>
  <x:si>
    <x:t xml:space="preserve">SYNERGY | PROGRAM HEAD COCKPIT</x:t>
  </x:si>
  <x:si>
    <x:t xml:space="preserve">Eight intervention lenses — each score is traceable to portfolio data.</x:t>
  </x:si>
  <x:si>
    <x:t xml:space="preserve">SCHEDULE</x:t>
  </x:si>
  <x:si>
    <x:t xml:space="preserve">COST BASELINE</x:t>
  </x:si>
  <x:si>
    <x:t xml:space="preserve">RISK</x:t>
  </x:si>
  <x:si>
    <x:t xml:space="preserve">RESOURCE</x:t>
  </x:si>
  <x:si>
    <x:t xml:space="preserve">CUSTOMER</x:t>
  </x:si>
  <x:si>
    <x:t xml:space="preserve">PROFITABILITY</x:t>
  </x:si>
  <x:si>
    <x:t xml:space="preserve">EXECUTION</x:t>
  </x:si>
  <x:si>
    <x:t xml:space="preserve">DECISION</x:t>
  </x:si>
  <x:si>
    <x:t xml:space="preserve">PORTFOLIO INTERVENTION MATRIX</x:t>
  </x:si>
  <x:si>
    <x:t xml:space="preserve">Avg Progress</x:t>
  </x:si>
  <x:si>
    <x:t xml:space="preserve">Avg Risk</x:t>
  </x:si>
  <x:si>
    <x:t xml:space="preserve">Avg Customer</x:t>
  </x:si>
  <x:si>
    <x:t xml:space="preserve">Red</x:t>
  </x:si>
  <x:si>
    <x:t xml:space="preserve">Amber</x:t>
  </x:si>
  <x:si>
    <x:t xml:space="preserve">Green</x:t>
  </x:si>
  <x:si>
    <x:t xml:space="preserve">SYNERGY | PROJECT 360</x:t>
  </x:si>
  <x:si>
    <x:t xml:space="preserve">Select one project — the page becomes the evidence layer behind the executive exception.</x:t>
  </x:si>
  <x:si>
    <x:t xml:space="preserve">SELECT PROJECT</x:t>
  </x:si>
  <x:si>
    <x:t xml:space="preserve">PROJECT NAME</x:t>
  </x:si>
  <x:si>
    <x:t xml:space="preserve">PROJECT MANAGER</x:t>
  </x:si>
  <x:si>
    <x:t xml:space="preserve">PROGRESS %</x:t>
  </x:si>
  <x:si>
    <x:t xml:space="preserve">WHY THIS PROJECT IS ON THE RADAR</x:t>
  </x:si>
  <x:si>
    <x:t xml:space="preserve">TOP TASKS / BLOCKERS</x:t>
  </x:si>
  <x:si>
    <x:t xml:space="preserve">DECISION + DEPENDENCY SIGNAL</x:t>
  </x:si>
  <x:si>
    <x:t xml:space="preserve">Task</x:t>
  </x:si>
  <x:si>
    <x:t xml:space="preserve">Owner</x:t>
  </x:si>
  <x:si>
    <x:t xml:space="preserve">Priority</x:t>
  </x:si>
  <x:si>
    <x:t xml:space="preserve">Status</x:t>
  </x:si>
  <x:si>
    <x:t xml:space="preserve">Blocker</x:t>
  </x:si>
  <x:si>
    <x:t xml:space="preserve">Escalation</x:t>
  </x:si>
  <x:si>
    <x:t xml:space="preserve">Due</x:t>
  </x:si>
  <x:si>
    <x:t xml:space="preserve">Hours Used</x:t>
  </x:si>
  <x:si>
    <x:t xml:space="preserve">Executive signal</x:t>
  </x:si>
  <x:si>
    <x:t xml:space="preserve">SYNERGY | PROJECT MANAGER CONTROL</x:t>
  </x:si>
  <x:si>
    <x:t xml:space="preserve">Detect → Assign → Escalate → Decide → Replan → Verify.</x:t>
  </x:si>
  <x:si>
    <x:t xml:space="preserve">OPEN BLOCKERS</x:t>
  </x:si>
  <x:si>
    <x:t xml:space="preserve">ESCALATIONS</x:t>
  </x:si>
  <x:si>
    <x:t xml:space="preserve">OVERDUE</x:t>
  </x:si>
  <x:si>
    <x:t xml:space="preserve">AVG PROGRESS</x:t>
  </x:si>
  <x:si>
    <x:t xml:space="preserve">ACTION QUEUE</x:t>
  </x:si>
  <x:si>
    <x:t xml:space="preserve">Support</x:t>
  </x:si>
  <x:si>
    <x:t xml:space="preserve">Hours Planned</x:t>
  </x:si>
  <x:si>
    <x:t xml:space="preserve">Variance</x:t>
  </x:si>
  <x:si>
    <x:t xml:space="preserve">Recommended action</x:t>
  </x:si>
  <x:si>
    <x:t xml:space="preserve">Last update</x:t>
  </x:si>
  <x:si>
    <x:t xml:space="preserve">SYNERGY | TEAM COMMAND</x:t>
  </x:si>
  <x:si>
    <x:t xml:space="preserve">Make the next action explicit: priority, owner, support, due date and escalation.</x:t>
  </x:si>
  <x:si>
    <x:t xml:space="preserve">FOCUS OWNER</x:t>
  </x:si>
  <x:si>
    <x:t xml:space="preserve">Amit</x:t>
  </x:si>
  <x:si>
    <x:t xml:space="preserve">OPEN TASKS</x:t>
  </x:si>
  <x:si>
    <x:t xml:space="preserve">CRITICAL / HIGH</x:t>
  </x:si>
  <x:si>
    <x:t xml:space="preserve">BLOCKERS</x:t>
  </x:si>
  <x:si>
    <x:t xml:space="preserve">MY PRIORITY QUEUE</x:t>
  </x:si>
  <x:si>
    <x:t xml:space="preserve">Last Update</x:t>
  </x:si>
  <x:si>
    <x:t xml:space="preserve">Project RAG</x:t>
  </x:si>
  <x:si>
    <x:t xml:space="preserve">SYNERGY | GANTT COMMAND VIEW</x:t>
  </x:si>
  <x:si>
    <x:t xml:space="preserve">A fully populated portfolio timeline + selected-project task Gantt. Bars are date-driven from the task/project data.</x:t>
  </x:si>
  <x:si>
    <x:t xml:space="preserve">PORTFOLIO GANTT — 100 PROJECTS</x:t>
  </x:si>
  <x:si>
    <x:t xml:space="preserve">Start</x:t>
  </x:si>
  <x:si>
    <x:t xml:space="preserve">Finish</x:t>
  </x:si>
  <x:si>
    <x:t xml:space="preserve">■</x:t>
  </x:si>
  <x:si>
    <x:t xml:space="preserve">SELECTED PROJECT TASK GANTT</x:t>
  </x:si>
  <x:si>
    <x:t xml:space="preserve">Project ID</x:t>
  </x:si>
  <x:si>
    <x:t xml:space="preserve">Legend</x:t>
  </x:si>
  <x:si>
    <x:t xml:space="preserve">GREEN = healthy</x:t>
  </x:si>
  <x:si>
    <x:t xml:space="preserve">AMBER = watch</x:t>
  </x:si>
  <x:si>
    <x:t xml:space="preserve">RED = intervention</x:t>
  </x:si>
  <x:si>
    <x:t xml:space="preserve">SYNERGY | DECISION HUB</x:t>
  </x:si>
  <x:si>
    <x:t xml:space="preserve">Turn blockers and dependencies into quantified decisions with an owner and due date.</x:t>
  </x:si>
  <x:si>
    <x:t xml:space="preserve">Decision / Issue</x:t>
  </x:si>
  <x:si>
    <x:t xml:space="preserve">Decision Owner</x:t>
  </x:si>
  <x:si>
    <x:t xml:space="preserve">Need By</x:t>
  </x:si>
  <x:si>
    <x:t xml:space="preserve">Time Impact d</x:t>
  </x:si>
  <x:si>
    <x:t xml:space="preserve">Cost Impact ₹L</x:t>
  </x:si>
  <x:si>
    <x:t xml:space="preserve">Revenue at Risk ₹L</x:t>
  </x:si>
  <x:si>
    <x:t xml:space="preserve">Recommended Option</x:t>
  </x:si>
  <x:si>
    <x:t xml:space="preserve">Decision</x:t>
  </x:si>
  <x:si>
    <x:t xml:space="preserve">Date</x:t>
  </x:si>
  <x:si>
    <x:t xml:space="preserve">Evidence</x:t>
  </x:si>
  <x:si>
    <x:t xml:space="preserve">D001</x:t>
  </x:si>
  <x:si>
    <x:t xml:space="preserve">Testing / validation — intervention required</x:t>
  </x:si>
  <x:si>
    <x:t xml:space="preserve">Pending</x:t>
  </x:si>
  <x:si>
    <x:t xml:space="preserve">Resolve owner/support interface</x:t>
  </x:si>
  <x:si>
    <x:t xml:space="preserve">NO</x:t>
  </x:si>
  <x:si>
    <x:t xml:space="preserve">Awaiting clarification</x:t>
  </x:si>
  <x:si>
    <x:t xml:space="preserve">D002</x:t>
  </x:si>
  <x:si>
    <x:t xml:space="preserve">Requirements &amp; scope freeze — intervention required</x:t>
  </x:si>
  <x:si>
    <x:t xml:space="preserve">D003</x:t>
  </x:si>
  <x:si>
    <x:t xml:space="preserve">D004</x:t>
  </x:si>
  <x:si>
    <x:t xml:space="preserve">BOM / commercial approval — intervention required</x:t>
  </x:si>
  <x:si>
    <x:t xml:space="preserve">D005</x:t>
  </x:si>
  <x:si>
    <x:t xml:space="preserve">Customer acceptance — intervention required</x:t>
  </x:si>
  <x:si>
    <x:t xml:space="preserve">D006</x:t>
  </x:si>
  <x:si>
    <x:t xml:space="preserve">Design / solution — intervention required</x:t>
  </x:si>
  <x:si>
    <x:t xml:space="preserve">D007</x:t>
  </x:si>
  <x:si>
    <x:t xml:space="preserve">D008</x:t>
  </x:si>
  <x:si>
    <x:t xml:space="preserve">D009</x:t>
  </x:si>
  <x:si>
    <x:t xml:space="preserve">D010</x:t>
  </x:si>
  <x:si>
    <x:t xml:space="preserve">D011</x:t>
  </x:si>
  <x:si>
    <x:t xml:space="preserve">Build / execution — intervention required</x:t>
  </x:si>
  <x:si>
    <x:t xml:space="preserve">YES</x:t>
  </x:si>
  <x:si>
    <x:t xml:space="preserve">Supplier / cross-functional dependency</x:t>
  </x:si>
  <x:si>
    <x:t xml:space="preserve">D012</x:t>
  </x:si>
  <x:si>
    <x:t xml:space="preserve">D013</x:t>
  </x:si>
  <x:si>
    <x:t xml:space="preserve">D014</x:t>
  </x:si>
  <x:si>
    <x:t xml:space="preserve">D015</x:t>
  </x:si>
  <x:si>
    <x:t xml:space="preserve">D016</x:t>
  </x:si>
  <x:si>
    <x:t xml:space="preserve">D017</x:t>
  </x:si>
  <x:si>
    <x:t xml:space="preserve">D018</x:t>
  </x:si>
  <x:si>
    <x:t xml:space="preserve">D019</x:t>
  </x:si>
  <x:si>
    <x:t xml:space="preserve">D020</x:t>
  </x:si>
  <x:si>
    <x:t xml:space="preserve">SYNERGY | DEPENDENCY RADAR</x:t>
  </x:si>
  <x:si>
    <x:t xml:space="preserve">Cross-functional interfaces: who is waiting, who owns the handoff, and what is exposed.</x:t>
  </x:si>
  <x:si>
    <x:t xml:space="preserve">Dependency / Interface</x:t>
  </x:si>
  <x:si>
    <x:t xml:space="preserve">From</x:t>
  </x:si>
  <x:si>
    <x:t xml:space="preserve">To / Owner</x:t>
  </x:si>
  <x:si>
    <x:t xml:space="preserve">Impact</x:t>
  </x:si>
  <x:si>
    <x:t xml:space="preserve">Days Waiting</x:t>
  </x:si>
  <x:si>
    <x:t xml:space="preserve">Critical Path</x:t>
  </x:si>
  <x:si>
    <x:t xml:space="preserve">Action</x:t>
  </x:si>
  <x:si>
    <x:t xml:space="preserve">DP001</x:t>
  </x:si>
  <x:si>
    <x:t xml:space="preserve">Requirements &amp; scope freeze</x:t>
  </x:si>
  <x:si>
    <x:t xml:space="preserve">Rahul</x:t>
  </x:si>
  <x:si>
    <x:t xml:space="preserve">Vivek</x:t>
  </x:si>
  <x:si>
    <x:t xml:space="preserve">Open</x:t>
  </x:si>
  <x:si>
    <x:t xml:space="preserve">Schedule / handoff</x:t>
  </x:si>
  <x:si>
    <x:t xml:space="preserve">Confirm handoff + response</x:t>
  </x:si>
  <x:si>
    <x:t xml:space="preserve">DP002</x:t>
  </x:si>
  <x:si>
    <x:t xml:space="preserve">Design / solution</x:t>
  </x:si>
  <x:si>
    <x:t xml:space="preserve">Karan</x:t>
  </x:si>
  <x:si>
    <x:t xml:space="preserve">Ritu</x:t>
  </x:si>
  <x:si>
    <x:t xml:space="preserve">DP003</x:t>
  </x:si>
  <x:si>
    <x:t xml:space="preserve">BOM / commercial approval</x:t>
  </x:si>
  <x:si>
    <x:t xml:space="preserve">Meera</x:t>
  </x:si>
  <x:si>
    <x:t xml:space="preserve">Sanjay</x:t>
  </x:si>
  <x:si>
    <x:t xml:space="preserve">DP004</x:t>
  </x:si>
  <x:si>
    <x:t xml:space="preserve">Build / execution</x:t>
  </x:si>
  <x:si>
    <x:t xml:space="preserve">Anil</x:t>
  </x:si>
  <x:si>
    <x:t xml:space="preserve">DP005</x:t>
  </x:si>
  <x:si>
    <x:t xml:space="preserve">Testing / validation</x:t>
  </x:si>
  <x:si>
    <x:t xml:space="preserve">Kavya</x:t>
  </x:si>
  <x:si>
    <x:t xml:space="preserve">DP006</x:t>
  </x:si>
  <x:si>
    <x:t xml:space="preserve">Customer acceptance</x:t>
  </x:si>
  <x:si>
    <x:t xml:space="preserve">Rohan</x:t>
  </x:si>
  <x:si>
    <x:t xml:space="preserve">DP007</x:t>
  </x:si>
  <x:si>
    <x:t xml:space="preserve">DP008</x:t>
  </x:si>
  <x:si>
    <x:t xml:space="preserve">DP009</x:t>
  </x:si>
  <x:si>
    <x:t xml:space="preserve">DP010</x:t>
  </x:si>
  <x:si>
    <x:t xml:space="preserve">DP011</x:t>
  </x:si>
  <x:si>
    <x:t xml:space="preserve">DP012</x:t>
  </x:si>
  <x:si>
    <x:t xml:space="preserve">Deepa</x:t>
  </x:si>
  <x:si>
    <x:t xml:space="preserve">DP013</x:t>
  </x:si>
  <x:si>
    <x:t xml:space="preserve">DP014</x:t>
  </x:si>
  <x:si>
    <x:t xml:space="preserve">DP015</x:t>
  </x:si>
  <x:si>
    <x:t xml:space="preserve">DP016</x:t>
  </x:si>
  <x:si>
    <x:t xml:space="preserve">DP017</x:t>
  </x:si>
  <x:si>
    <x:t xml:space="preserve">DP018</x:t>
  </x:si>
  <x:si>
    <x:t xml:space="preserve">DP019</x:t>
  </x:si>
  <x:si>
    <x:t xml:space="preserve">DP020</x:t>
  </x:si>
  <x:si>
    <x:t xml:space="preserve">DP021</x:t>
  </x:si>
  <x:si>
    <x:t xml:space="preserve">DP022</x:t>
  </x:si>
  <x:si>
    <x:t xml:space="preserve">DP023</x:t>
  </x:si>
  <x:si>
    <x:t xml:space="preserve">DP024</x:t>
  </x:si>
  <x:si>
    <x:t xml:space="preserve">Priya</x:t>
  </x:si>
  <x:si>
    <x:t xml:space="preserve">DP025</x:t>
  </x:si>
  <x:si>
    <x:t xml:space="preserve">DP026</x:t>
  </x:si>
  <x:si>
    <x:t xml:space="preserve">DP027</x:t>
  </x:si>
  <x:si>
    <x:t xml:space="preserve">DP028</x:t>
  </x:si>
  <x:si>
    <x:t xml:space="preserve">DP029</x:t>
  </x:si>
  <x:si>
    <x:t xml:space="preserve">DP030</x:t>
  </x:si>
  <x:si>
    <x:t xml:space="preserve">SYNERGY | CHANGE CONTROL</x:t>
  </x:si>
  <x:si>
    <x:t xml:space="preserve">Make scope change visible before it becomes rework, overload or deadline pressure.</x:t>
  </x:si>
  <x:si>
    <x:t xml:space="preserve">Change Request</x:t>
  </x:si>
  <x:si>
    <x:t xml:space="preserve">Raised</x:t>
  </x:si>
  <x:si>
    <x:t xml:space="preserve">Urgency</x:t>
  </x:si>
  <x:si>
    <x:t xml:space="preserve">Scope Δ %</x:t>
  </x:si>
  <x:si>
    <x:t xml:space="preserve">Resource Δ</x:t>
  </x:si>
  <x:si>
    <x:t xml:space="preserve">Days Δ</x:t>
  </x:si>
  <x:si>
    <x:t xml:space="preserve">Cost Δ ₹L</x:t>
  </x:si>
  <x:si>
    <x:t xml:space="preserve">CH001</x:t>
  </x:si>
  <x:si>
    <x:t xml:space="preserve">Scope / priority recalibration</x:t>
  </x:si>
  <x:si>
    <x:t xml:space="preserve">High</x:t>
  </x:si>
  <x:si>
    <x:t xml:space="preserve">CH002</x:t>
  </x:si>
  <x:si>
    <x:t xml:space="preserve">CH003</x:t>
  </x:si>
  <x:si>
    <x:t xml:space="preserve">CH004</x:t>
  </x:si>
  <x:si>
    <x:t xml:space="preserve">CH005</x:t>
  </x:si>
  <x:si>
    <x:t xml:space="preserve">CH006</x:t>
  </x:si>
  <x:si>
    <x:t xml:space="preserve">CH007</x:t>
  </x:si>
  <x:si>
    <x:t xml:space="preserve">CH008</x:t>
  </x:si>
  <x:si>
    <x:t xml:space="preserve">CH009</x:t>
  </x:si>
  <x:si>
    <x:t xml:space="preserve">CH010</x:t>
  </x:si>
  <x:si>
    <x:t xml:space="preserve">CH011</x:t>
  </x:si>
  <x:si>
    <x:t xml:space="preserve">CH012</x:t>
  </x:si>
  <x:si>
    <x:t xml:space="preserve">CH013</x:t>
  </x:si>
  <x:si>
    <x:t xml:space="preserve">CH014</x:t>
  </x:si>
  <x:si>
    <x:t xml:space="preserve">CH015</x:t>
  </x:si>
  <x:si>
    <x:t xml:space="preserve">CH016</x:t>
  </x:si>
  <x:si>
    <x:t xml:space="preserve">CH017</x:t>
  </x:si>
  <x:si>
    <x:t xml:space="preserve">CH018</x:t>
  </x:si>
  <x:si>
    <x:t xml:space="preserve">CH019</x:t>
  </x:si>
  <x:si>
    <x:t xml:space="preserve">CH020</x:t>
  </x:si>
  <x:si>
    <x:t xml:space="preserve">DATA ENGINE | PROJECT MASTER</x:t>
  </x:si>
  <x:si>
    <x:t xml:space="preserve">100 project records • calculated operational roll-ups • yellow cells are baseline/planning inputs.</x:t>
  </x:si>
  <x:si>
    <x:t xml:space="preserve">Project Name</x:t>
  </x:si>
  <x:si>
    <x:t xml:space="preserve">Program</x:t>
  </x:si>
  <x:si>
    <x:t xml:space="preserve">Project Manager</x:t>
  </x:si>
  <x:si>
    <x:t xml:space="preserve">Budget ₹L</x:t>
  </x:si>
  <x:si>
    <x:t xml:space="preserve">Utilization %</x:t>
  </x:si>
  <x:si>
    <x:t xml:space="preserve">Risk Score</x:t>
  </x:si>
  <x:si>
    <x:t xml:space="preserve">Customer Health</x:t>
  </x:si>
  <x:si>
    <x:t xml:space="preserve">Strategic Type</x:t>
  </x:si>
  <x:si>
    <x:t xml:space="preserve">Margin %</x:t>
  </x:si>
  <x:si>
    <x:t xml:space="preserve">Blocked Tasks</x:t>
  </x:si>
  <x:si>
    <x:t xml:space="preserve">Open Escalations</x:t>
  </x:si>
  <x:si>
    <x:t xml:space="preserve">Overall RAG</x:t>
  </x:si>
  <x:si>
    <x:t xml:space="preserve">Data Check</x:t>
  </x:si>
  <x:si>
    <x:t xml:space="preserve">Growth</x:t>
  </x:si>
  <x:si>
    <x:t xml:space="preserve">Run</x:t>
  </x:si>
  <x:si>
    <x:t xml:space="preserve">Mandatory</x:t>
  </x:si>
  <x:si>
    <x:t xml:space="preserve">Transformation</x:t>
  </x:si>
  <x:si>
    <x:t xml:space="preserve">Strategic</x:t>
  </x:si>
  <x:si>
    <x:t xml:space="preserve">Compliance</x:t>
  </x:si>
  <x:si>
    <x:t xml:space="preserve">Operational</x:t>
  </x:si>
  <x:si>
    <x:t xml:space="preserve">Innovation</x:t>
  </x:si>
  <x:si>
    <x:t xml:space="preserve">OPERATIONAL ENGINE | TASK REGISTER</x:t>
  </x:si>
  <x:si>
    <x:t xml:space="preserve">600 task records • edit yellow cells only • changes roll upward into project health.</x:t>
  </x:si>
  <x:si>
    <x:t xml:space="preserve">Task ID</x:t>
  </x:si>
  <x:si>
    <x:t xml:space="preserve">Task Key</x:t>
  </x:si>
  <x:si>
    <x:t xml:space="preserve">Open Task Key</x:t>
  </x:si>
  <x:si>
    <x:t xml:space="preserve">Owner Task Key</x:t>
  </x:si>
  <x:si>
    <x:t xml:space="preserve">P001-T1</x:t>
  </x:si>
  <x:si>
    <x:t xml:space="preserve">In Progress</x:t>
  </x:si>
  <x:si>
    <x:t xml:space="preserve">P001-T2</x:t>
  </x:si>
  <x:si>
    <x:t xml:space="preserve">P001-T3</x:t>
  </x:si>
  <x:si>
    <x:t xml:space="preserve">Critical</x:t>
  </x:si>
  <x:si>
    <x:t xml:space="preserve">P001-T4</x:t>
  </x:si>
  <x:si>
    <x:t xml:space="preserve">P001-T5</x:t>
  </x:si>
  <x:si>
    <x:t xml:space="preserve">P001-T6</x:t>
  </x:si>
  <x:si>
    <x:t xml:space="preserve">Medium</x:t>
  </x:si>
  <x:si>
    <x:t xml:space="preserve">P002-T1</x:t>
  </x:si>
  <x:si>
    <x:t xml:space="preserve">P002-T2</x:t>
  </x:si>
  <x:si>
    <x:t xml:space="preserve">P002-T3</x:t>
  </x:si>
  <x:si>
    <x:t xml:space="preserve">P002-T4</x:t>
  </x:si>
  <x:si>
    <x:t xml:space="preserve">P002-T5</x:t>
  </x:si>
  <x:si>
    <x:t xml:space="preserve">P002-T6</x:t>
  </x:si>
  <x:si>
    <x:t xml:space="preserve">Low</x:t>
  </x:si>
  <x:si>
    <x:t xml:space="preserve">P003-T1</x:t>
  </x:si>
  <x:si>
    <x:t xml:space="preserve">P003-T2</x:t>
  </x:si>
  <x:si>
    <x:t xml:space="preserve">P003-T3</x:t>
  </x:si>
  <x:si>
    <x:t xml:space="preserve">P003-T4</x:t>
  </x:si>
  <x:si>
    <x:t xml:space="preserve">P003-T5</x:t>
  </x:si>
  <x:si>
    <x:t xml:space="preserve">P003-T6</x:t>
  </x:si>
  <x:si>
    <x:t xml:space="preserve">P004-T1</x:t>
  </x:si>
  <x:si>
    <x:t xml:space="preserve">P004-T2</x:t>
  </x:si>
  <x:si>
    <x:t xml:space="preserve">P004-T3</x:t>
  </x:si>
  <x:si>
    <x:t xml:space="preserve">P004-T4</x:t>
  </x:si>
  <x:si>
    <x:t xml:space="preserve">P004-T5</x:t>
  </x:si>
  <x:si>
    <x:t xml:space="preserve">P004-T6</x:t>
  </x:si>
  <x:si>
    <x:t xml:space="preserve">P005-T1</x:t>
  </x:si>
  <x:si>
    <x:t xml:space="preserve">P005-T2</x:t>
  </x:si>
  <x:si>
    <x:t xml:space="preserve">P005-T3</x:t>
  </x:si>
  <x:si>
    <x:t xml:space="preserve">P005-T4</x:t>
  </x:si>
  <x:si>
    <x:t xml:space="preserve">P005-T5</x:t>
  </x:si>
  <x:si>
    <x:t xml:space="preserve">P005-T6</x:t>
  </x:si>
  <x:si>
    <x:t xml:space="preserve">P006-T1</x:t>
  </x:si>
  <x:si>
    <x:t xml:space="preserve">P006-T2</x:t>
  </x:si>
  <x:si>
    <x:t xml:space="preserve">P006-T3</x:t>
  </x:si>
  <x:si>
    <x:t xml:space="preserve">P006-T4</x:t>
  </x:si>
  <x:si>
    <x:t xml:space="preserve">P006-T5</x:t>
  </x:si>
  <x:si>
    <x:t xml:space="preserve">P006-T6</x:t>
  </x:si>
  <x:si>
    <x:t xml:space="preserve">P007-T1</x:t>
  </x:si>
  <x:si>
    <x:t xml:space="preserve">P007-T2</x:t>
  </x:si>
  <x:si>
    <x:t xml:space="preserve">P007-T3</x:t>
  </x:si>
  <x:si>
    <x:t xml:space="preserve">P007-T4</x:t>
  </x:si>
  <x:si>
    <x:t xml:space="preserve">Blocked</x:t>
  </x:si>
  <x:si>
    <x:t xml:space="preserve">P007-T5</x:t>
  </x:si>
  <x:si>
    <x:t xml:space="preserve">P007-T6</x:t>
  </x:si>
  <x:si>
    <x:t xml:space="preserve">P008-T1</x:t>
  </x:si>
  <x:si>
    <x:t xml:space="preserve">P008-T2</x:t>
  </x:si>
  <x:si>
    <x:t xml:space="preserve">P008-T3</x:t>
  </x:si>
  <x:si>
    <x:t xml:space="preserve">P008-T4</x:t>
  </x:si>
  <x:si>
    <x:t xml:space="preserve">P008-T5</x:t>
  </x:si>
  <x:si>
    <x:t xml:space="preserve">P008-T6</x:t>
  </x:si>
  <x:si>
    <x:t xml:space="preserve">Completed</x:t>
  </x:si>
  <x:si>
    <x:t xml:space="preserve">P009-T1</x:t>
  </x:si>
  <x:si>
    <x:t xml:space="preserve">P009-T2</x:t>
  </x:si>
  <x:si>
    <x:t xml:space="preserve">P009-T3</x:t>
  </x:si>
  <x:si>
    <x:t xml:space="preserve">P009-T4</x:t>
  </x:si>
  <x:si>
    <x:t xml:space="preserve">P009-T5</x:t>
  </x:si>
  <x:si>
    <x:t xml:space="preserve">P009-T6</x:t>
  </x:si>
  <x:si>
    <x:t xml:space="preserve">P010-T1</x:t>
  </x:si>
  <x:si>
    <x:t xml:space="preserve">P010-T2</x:t>
  </x:si>
  <x:si>
    <x:t xml:space="preserve">P010-T3</x:t>
  </x:si>
  <x:si>
    <x:t xml:space="preserve">P010-T4</x:t>
  </x:si>
  <x:si>
    <x:t xml:space="preserve">P010-T5</x:t>
  </x:si>
  <x:si>
    <x:t xml:space="preserve">P010-T6</x:t>
  </x:si>
  <x:si>
    <x:t xml:space="preserve">P011-T1</x:t>
  </x:si>
  <x:si>
    <x:t xml:space="preserve">P011-T2</x:t>
  </x:si>
  <x:si>
    <x:t xml:space="preserve">P011-T3</x:t>
  </x:si>
  <x:si>
    <x:t xml:space="preserve">P011-T4</x:t>
  </x:si>
  <x:si>
    <x:t xml:space="preserve">P011-T5</x:t>
  </x:si>
  <x:si>
    <x:t xml:space="preserve">P011-T6</x:t>
  </x:si>
  <x:si>
    <x:t xml:space="preserve">P012-T1</x:t>
  </x:si>
  <x:si>
    <x:t xml:space="preserve">P012-T2</x:t>
  </x:si>
  <x:si>
    <x:t xml:space="preserve">P012-T3</x:t>
  </x:si>
  <x:si>
    <x:t xml:space="preserve">P012-T4</x:t>
  </x:si>
  <x:si>
    <x:t xml:space="preserve">P012-T5</x:t>
  </x:si>
  <x:si>
    <x:t xml:space="preserve">P012-T6</x:t>
  </x:si>
  <x:si>
    <x:t xml:space="preserve">P013-T1</x:t>
  </x:si>
  <x:si>
    <x:t xml:space="preserve">P013-T2</x:t>
  </x:si>
  <x:si>
    <x:t xml:space="preserve">P013-T3</x:t>
  </x:si>
  <x:si>
    <x:t xml:space="preserve">P013-T4</x:t>
  </x:si>
  <x:si>
    <x:t xml:space="preserve">P013-T5</x:t>
  </x:si>
  <x:si>
    <x:t xml:space="preserve">P013-T6</x:t>
  </x:si>
  <x:si>
    <x:t xml:space="preserve">P014-T1</x:t>
  </x:si>
  <x:si>
    <x:t xml:space="preserve">P014-T2</x:t>
  </x:si>
  <x:si>
    <x:t xml:space="preserve">P014-T3</x:t>
  </x:si>
  <x:si>
    <x:t xml:space="preserve">P014-T4</x:t>
  </x:si>
  <x:si>
    <x:t xml:space="preserve">P014-T5</x:t>
  </x:si>
  <x:si>
    <x:t xml:space="preserve">P014-T6</x:t>
  </x:si>
  <x:si>
    <x:t xml:space="preserve">P015-T1</x:t>
  </x:si>
  <x:si>
    <x:t xml:space="preserve">P015-T2</x:t>
  </x:si>
  <x:si>
    <x:t xml:space="preserve">P015-T3</x:t>
  </x:si>
  <x:si>
    <x:t xml:space="preserve">P015-T4</x:t>
  </x:si>
  <x:si>
    <x:t xml:space="preserve">P015-T5</x:t>
  </x:si>
  <x:si>
    <x:t xml:space="preserve">P015-T6</x:t>
  </x:si>
  <x:si>
    <x:t xml:space="preserve">P016-T1</x:t>
  </x:si>
  <x:si>
    <x:t xml:space="preserve">P016-T2</x:t>
  </x:si>
  <x:si>
    <x:t xml:space="preserve">P016-T3</x:t>
  </x:si>
  <x:si>
    <x:t xml:space="preserve">P016-T4</x:t>
  </x:si>
  <x:si>
    <x:t xml:space="preserve">P016-T5</x:t>
  </x:si>
  <x:si>
    <x:t xml:space="preserve">P016-T6</x:t>
  </x:si>
  <x:si>
    <x:t xml:space="preserve">P017-T1</x:t>
  </x:si>
  <x:si>
    <x:t xml:space="preserve">P017-T2</x:t>
  </x:si>
  <x:si>
    <x:t xml:space="preserve">P017-T3</x:t>
  </x:si>
  <x:si>
    <x:t xml:space="preserve">P017-T4</x:t>
  </x:si>
  <x:si>
    <x:t xml:space="preserve">P017-T5</x:t>
  </x:si>
  <x:si>
    <x:t xml:space="preserve">P017-T6</x:t>
  </x:si>
  <x:si>
    <x:t xml:space="preserve">P018-T1</x:t>
  </x:si>
  <x:si>
    <x:t xml:space="preserve">P018-T2</x:t>
  </x:si>
  <x:si>
    <x:t xml:space="preserve">P018-T3</x:t>
  </x:si>
  <x:si>
    <x:t xml:space="preserve">P018-T4</x:t>
  </x:si>
  <x:si>
    <x:t xml:space="preserve">P018-T5</x:t>
  </x:si>
  <x:si>
    <x:t xml:space="preserve">P018-T6</x:t>
  </x:si>
  <x:si>
    <x:t xml:space="preserve">P019-T1</x:t>
  </x:si>
  <x:si>
    <x:t xml:space="preserve">P019-T2</x:t>
  </x:si>
  <x:si>
    <x:t xml:space="preserve">P019-T3</x:t>
  </x:si>
  <x:si>
    <x:t xml:space="preserve">P019-T4</x:t>
  </x:si>
  <x:si>
    <x:t xml:space="preserve">P019-T5</x:t>
  </x:si>
  <x:si>
    <x:t xml:space="preserve">P019-T6</x:t>
  </x:si>
  <x:si>
    <x:t xml:space="preserve">P020-T1</x:t>
  </x:si>
  <x:si>
    <x:t xml:space="preserve">P020-T2</x:t>
  </x:si>
  <x:si>
    <x:t xml:space="preserve">P020-T3</x:t>
  </x:si>
  <x:si>
    <x:t xml:space="preserve">P020-T4</x:t>
  </x:si>
  <x:si>
    <x:t xml:space="preserve">P020-T5</x:t>
  </x:si>
  <x:si>
    <x:t xml:space="preserve">P020-T6</x:t>
  </x:si>
  <x:si>
    <x:t xml:space="preserve">P021-T1</x:t>
  </x:si>
  <x:si>
    <x:t xml:space="preserve">P021-T2</x:t>
  </x:si>
  <x:si>
    <x:t xml:space="preserve">P021-T3</x:t>
  </x:si>
  <x:si>
    <x:t xml:space="preserve">P021-T4</x:t>
  </x:si>
  <x:si>
    <x:t xml:space="preserve">P021-T5</x:t>
  </x:si>
  <x:si>
    <x:t xml:space="preserve">P021-T6</x:t>
  </x:si>
  <x:si>
    <x:t xml:space="preserve">P022-T1</x:t>
  </x:si>
  <x:si>
    <x:t xml:space="preserve">P022-T2</x:t>
  </x:si>
  <x:si>
    <x:t xml:space="preserve">P022-T3</x:t>
  </x:si>
  <x:si>
    <x:t xml:space="preserve">P022-T4</x:t>
  </x:si>
  <x:si>
    <x:t xml:space="preserve">P022-T5</x:t>
  </x:si>
  <x:si>
    <x:t xml:space="preserve">P022-T6</x:t>
  </x:si>
  <x:si>
    <x:t xml:space="preserve">P023-T1</x:t>
  </x:si>
  <x:si>
    <x:t xml:space="preserve">P023-T2</x:t>
  </x:si>
  <x:si>
    <x:t xml:space="preserve">P023-T3</x:t>
  </x:si>
  <x:si>
    <x:t xml:space="preserve">P023-T4</x:t>
  </x:si>
  <x:si>
    <x:t xml:space="preserve">P023-T5</x:t>
  </x:si>
  <x:si>
    <x:t xml:space="preserve">P023-T6</x:t>
  </x:si>
  <x:si>
    <x:t xml:space="preserve">P024-T1</x:t>
  </x:si>
  <x:si>
    <x:t xml:space="preserve">P024-T2</x:t>
  </x:si>
  <x:si>
    <x:t xml:space="preserve">P024-T3</x:t>
  </x:si>
  <x:si>
    <x:t xml:space="preserve">P024-T4</x:t>
  </x:si>
  <x:si>
    <x:t xml:space="preserve">P024-T5</x:t>
  </x:si>
  <x:si>
    <x:t xml:space="preserve">P024-T6</x:t>
  </x:si>
  <x:si>
    <x:t xml:space="preserve">P025-T1</x:t>
  </x:si>
  <x:si>
    <x:t xml:space="preserve">P025-T2</x:t>
  </x:si>
  <x:si>
    <x:t xml:space="preserve">P025-T3</x:t>
  </x:si>
  <x:si>
    <x:t xml:space="preserve">P025-T4</x:t>
  </x:si>
  <x:si>
    <x:t xml:space="preserve">P025-T5</x:t>
  </x:si>
  <x:si>
    <x:t xml:space="preserve">P025-T6</x:t>
  </x:si>
  <x:si>
    <x:t xml:space="preserve">P026-T1</x:t>
  </x:si>
  <x:si>
    <x:t xml:space="preserve">P026-T2</x:t>
  </x:si>
  <x:si>
    <x:t xml:space="preserve">P026-T3</x:t>
  </x:si>
  <x:si>
    <x:t xml:space="preserve">P026-T4</x:t>
  </x:si>
  <x:si>
    <x:t xml:space="preserve">P026-T5</x:t>
  </x:si>
  <x:si>
    <x:t xml:space="preserve">P026-T6</x:t>
  </x:si>
  <x:si>
    <x:t xml:space="preserve">P027-T1</x:t>
  </x:si>
  <x:si>
    <x:t xml:space="preserve">P027-T2</x:t>
  </x:si>
  <x:si>
    <x:t xml:space="preserve">P027-T3</x:t>
  </x:si>
  <x:si>
    <x:t xml:space="preserve">P027-T4</x:t>
  </x:si>
  <x:si>
    <x:t xml:space="preserve">P027-T5</x:t>
  </x:si>
  <x:si>
    <x:t xml:space="preserve">P027-T6</x:t>
  </x:si>
  <x:si>
    <x:t xml:space="preserve">P028-T1</x:t>
  </x:si>
  <x:si>
    <x:t xml:space="preserve">P028-T2</x:t>
  </x:si>
  <x:si>
    <x:t xml:space="preserve">P028-T3</x:t>
  </x:si>
  <x:si>
    <x:t xml:space="preserve">P028-T4</x:t>
  </x:si>
  <x:si>
    <x:t xml:space="preserve">P028-T5</x:t>
  </x:si>
  <x:si>
    <x:t xml:space="preserve">P028-T6</x:t>
  </x:si>
  <x:si>
    <x:t xml:space="preserve">P029-T1</x:t>
  </x:si>
  <x:si>
    <x:t xml:space="preserve">P029-T2</x:t>
  </x:si>
  <x:si>
    <x:t xml:space="preserve">P029-T3</x:t>
  </x:si>
  <x:si>
    <x:t xml:space="preserve">P029-T4</x:t>
  </x:si>
  <x:si>
    <x:t xml:space="preserve">P029-T5</x:t>
  </x:si>
  <x:si>
    <x:t xml:space="preserve">P029-T6</x:t>
  </x:si>
  <x:si>
    <x:t xml:space="preserve">P030-T1</x:t>
  </x:si>
  <x:si>
    <x:t xml:space="preserve">P030-T2</x:t>
  </x:si>
  <x:si>
    <x:t xml:space="preserve">P030-T3</x:t>
  </x:si>
  <x:si>
    <x:t xml:space="preserve">P030-T4</x:t>
  </x:si>
  <x:si>
    <x:t xml:space="preserve">P030-T5</x:t>
  </x:si>
  <x:si>
    <x:t xml:space="preserve">P030-T6</x:t>
  </x:si>
  <x:si>
    <x:t xml:space="preserve">P031-T1</x:t>
  </x:si>
  <x:si>
    <x:t xml:space="preserve">P031-T2</x:t>
  </x:si>
  <x:si>
    <x:t xml:space="preserve">P031-T3</x:t>
  </x:si>
  <x:si>
    <x:t xml:space="preserve">P031-T4</x:t>
  </x:si>
  <x:si>
    <x:t xml:space="preserve">P031-T5</x:t>
  </x:si>
  <x:si>
    <x:t xml:space="preserve">P031-T6</x:t>
  </x:si>
  <x:si>
    <x:t xml:space="preserve">P032-T1</x:t>
  </x:si>
  <x:si>
    <x:t xml:space="preserve">P032-T2</x:t>
  </x:si>
  <x:si>
    <x:t xml:space="preserve">P032-T3</x:t>
  </x:si>
  <x:si>
    <x:t xml:space="preserve">P032-T4</x:t>
  </x:si>
  <x:si>
    <x:t xml:space="preserve">P032-T5</x:t>
  </x:si>
  <x:si>
    <x:t xml:space="preserve">P032-T6</x:t>
  </x:si>
  <x:si>
    <x:t xml:space="preserve">P033-T1</x:t>
  </x:si>
  <x:si>
    <x:t xml:space="preserve">P033-T2</x:t>
  </x:si>
  <x:si>
    <x:t xml:space="preserve">P033-T3</x:t>
  </x:si>
  <x:si>
    <x:t xml:space="preserve">P033-T4</x:t>
  </x:si>
  <x:si>
    <x:t xml:space="preserve">P033-T5</x:t>
  </x:si>
  <x:si>
    <x:t xml:space="preserve">P033-T6</x:t>
  </x:si>
  <x:si>
    <x:t xml:space="preserve">P034-T1</x:t>
  </x:si>
  <x:si>
    <x:t xml:space="preserve">P034-T2</x:t>
  </x:si>
  <x:si>
    <x:t xml:space="preserve">P034-T3</x:t>
  </x:si>
  <x:si>
    <x:t xml:space="preserve">P034-T4</x:t>
  </x:si>
  <x:si>
    <x:t xml:space="preserve">P034-T5</x:t>
  </x:si>
  <x:si>
    <x:t xml:space="preserve">P034-T6</x:t>
  </x:si>
  <x:si>
    <x:t xml:space="preserve">P035-T1</x:t>
  </x:si>
  <x:si>
    <x:t xml:space="preserve">P035-T2</x:t>
  </x:si>
  <x:si>
    <x:t xml:space="preserve">P035-T3</x:t>
  </x:si>
  <x:si>
    <x:t xml:space="preserve">P035-T4</x:t>
  </x:si>
  <x:si>
    <x:t xml:space="preserve">P035-T5</x:t>
  </x:si>
  <x:si>
    <x:t xml:space="preserve">P035-T6</x:t>
  </x:si>
  <x:si>
    <x:t xml:space="preserve">P036-T1</x:t>
  </x:si>
  <x:si>
    <x:t xml:space="preserve">P036-T2</x:t>
  </x:si>
  <x:si>
    <x:t xml:space="preserve">P036-T3</x:t>
  </x:si>
  <x:si>
    <x:t xml:space="preserve">P036-T4</x:t>
  </x:si>
  <x:si>
    <x:t xml:space="preserve">P036-T5</x:t>
  </x:si>
  <x:si>
    <x:t xml:space="preserve">P036-T6</x:t>
  </x:si>
  <x:si>
    <x:t xml:space="preserve">P037-T1</x:t>
  </x:si>
  <x:si>
    <x:t xml:space="preserve">P037-T2</x:t>
  </x:si>
  <x:si>
    <x:t xml:space="preserve">P037-T3</x:t>
  </x:si>
  <x:si>
    <x:t xml:space="preserve">P037-T4</x:t>
  </x:si>
  <x:si>
    <x:t xml:space="preserve">P037-T5</x:t>
  </x:si>
  <x:si>
    <x:t xml:space="preserve">P037-T6</x:t>
  </x:si>
  <x:si>
    <x:t xml:space="preserve">P038-T1</x:t>
  </x:si>
  <x:si>
    <x:t xml:space="preserve">P038-T2</x:t>
  </x:si>
  <x:si>
    <x:t xml:space="preserve">P038-T3</x:t>
  </x:si>
  <x:si>
    <x:t xml:space="preserve">P038-T4</x:t>
  </x:si>
  <x:si>
    <x:t xml:space="preserve">P038-T5</x:t>
  </x:si>
  <x:si>
    <x:t xml:space="preserve">P038-T6</x:t>
  </x:si>
  <x:si>
    <x:t xml:space="preserve">P039-T1</x:t>
  </x:si>
  <x:si>
    <x:t xml:space="preserve">P039-T2</x:t>
  </x:si>
  <x:si>
    <x:t xml:space="preserve">P039-T3</x:t>
  </x:si>
  <x:si>
    <x:t xml:space="preserve">P039-T4</x:t>
  </x:si>
  <x:si>
    <x:t xml:space="preserve">P039-T5</x:t>
  </x:si>
  <x:si>
    <x:t xml:space="preserve">P039-T6</x:t>
  </x:si>
  <x:si>
    <x:t xml:space="preserve">P040-T1</x:t>
  </x:si>
  <x:si>
    <x:t xml:space="preserve">P040-T2</x:t>
  </x:si>
  <x:si>
    <x:t xml:space="preserve">P040-T3</x:t>
  </x:si>
  <x:si>
    <x:t xml:space="preserve">P040-T4</x:t>
  </x:si>
  <x:si>
    <x:t xml:space="preserve">P040-T5</x:t>
  </x:si>
  <x:si>
    <x:t xml:space="preserve">P040-T6</x:t>
  </x:si>
  <x:si>
    <x:t xml:space="preserve">P041-T1</x:t>
  </x:si>
  <x:si>
    <x:t xml:space="preserve">P041-T2</x:t>
  </x:si>
  <x:si>
    <x:t xml:space="preserve">P041-T3</x:t>
  </x:si>
  <x:si>
    <x:t xml:space="preserve">P041-T4</x:t>
  </x:si>
  <x:si>
    <x:t xml:space="preserve">P041-T5</x:t>
  </x:si>
  <x:si>
    <x:t xml:space="preserve">P041-T6</x:t>
  </x:si>
  <x:si>
    <x:t xml:space="preserve">P042-T1</x:t>
  </x:si>
  <x:si>
    <x:t xml:space="preserve">P042-T2</x:t>
  </x:si>
  <x:si>
    <x:t xml:space="preserve">P042-T3</x:t>
  </x:si>
  <x:si>
    <x:t xml:space="preserve">P042-T4</x:t>
  </x:si>
  <x:si>
    <x:t xml:space="preserve">P042-T5</x:t>
  </x:si>
  <x:si>
    <x:t xml:space="preserve">P042-T6</x:t>
  </x:si>
  <x:si>
    <x:t xml:space="preserve">P043-T1</x:t>
  </x:si>
  <x:si>
    <x:t xml:space="preserve">P043-T2</x:t>
  </x:si>
  <x:si>
    <x:t xml:space="preserve">P043-T3</x:t>
  </x:si>
  <x:si>
    <x:t xml:space="preserve">P043-T4</x:t>
  </x:si>
  <x:si>
    <x:t xml:space="preserve">P043-T5</x:t>
  </x:si>
  <x:si>
    <x:t xml:space="preserve">P043-T6</x:t>
  </x:si>
  <x:si>
    <x:t xml:space="preserve">P044-T1</x:t>
  </x:si>
  <x:si>
    <x:t xml:space="preserve">P044-T2</x:t>
  </x:si>
  <x:si>
    <x:t xml:space="preserve">P044-T3</x:t>
  </x:si>
  <x:si>
    <x:t xml:space="preserve">P044-T4</x:t>
  </x:si>
  <x:si>
    <x:t xml:space="preserve">P044-T5</x:t>
  </x:si>
  <x:si>
    <x:t xml:space="preserve">P044-T6</x:t>
  </x:si>
  <x:si>
    <x:t xml:space="preserve">P045-T1</x:t>
  </x:si>
  <x:si>
    <x:t xml:space="preserve">P045-T2</x:t>
  </x:si>
  <x:si>
    <x:t xml:space="preserve">P045-T3</x:t>
  </x:si>
  <x:si>
    <x:t xml:space="preserve">P045-T4</x:t>
  </x:si>
  <x:si>
    <x:t xml:space="preserve">P045-T5</x:t>
  </x:si>
  <x:si>
    <x:t xml:space="preserve">P045-T6</x:t>
  </x:si>
  <x:si>
    <x:t xml:space="preserve">P046-T1</x:t>
  </x:si>
  <x:si>
    <x:t xml:space="preserve">P046-T2</x:t>
  </x:si>
  <x:si>
    <x:t xml:space="preserve">P046-T3</x:t>
  </x:si>
  <x:si>
    <x:t xml:space="preserve">P046-T4</x:t>
  </x:si>
  <x:si>
    <x:t xml:space="preserve">P046-T5</x:t>
  </x:si>
  <x:si>
    <x:t xml:space="preserve">P046-T6</x:t>
  </x:si>
  <x:si>
    <x:t xml:space="preserve">P047-T1</x:t>
  </x:si>
  <x:si>
    <x:t xml:space="preserve">P047-T2</x:t>
  </x:si>
  <x:si>
    <x:t xml:space="preserve">P047-T3</x:t>
  </x:si>
  <x:si>
    <x:t xml:space="preserve">P047-T4</x:t>
  </x:si>
  <x:si>
    <x:t xml:space="preserve">P047-T5</x:t>
  </x:si>
  <x:si>
    <x:t xml:space="preserve">P047-T6</x:t>
  </x:si>
  <x:si>
    <x:t xml:space="preserve">P048-T1</x:t>
  </x:si>
  <x:si>
    <x:t xml:space="preserve">P048-T2</x:t>
  </x:si>
  <x:si>
    <x:t xml:space="preserve">P048-T3</x:t>
  </x:si>
  <x:si>
    <x:t xml:space="preserve">P048-T4</x:t>
  </x:si>
  <x:si>
    <x:t xml:space="preserve">P048-T5</x:t>
  </x:si>
  <x:si>
    <x:t xml:space="preserve">P048-T6</x:t>
  </x:si>
  <x:si>
    <x:t xml:space="preserve">P049-T1</x:t>
  </x:si>
  <x:si>
    <x:t xml:space="preserve">P049-T2</x:t>
  </x:si>
  <x:si>
    <x:t xml:space="preserve">P049-T3</x:t>
  </x:si>
  <x:si>
    <x:t xml:space="preserve">P049-T4</x:t>
  </x:si>
  <x:si>
    <x:t xml:space="preserve">P049-T5</x:t>
  </x:si>
  <x:si>
    <x:t xml:space="preserve">P049-T6</x:t>
  </x:si>
  <x:si>
    <x:t xml:space="preserve">P050-T1</x:t>
  </x:si>
  <x:si>
    <x:t xml:space="preserve">P050-T2</x:t>
  </x:si>
  <x:si>
    <x:t xml:space="preserve">P050-T3</x:t>
  </x:si>
  <x:si>
    <x:t xml:space="preserve">P050-T4</x:t>
  </x:si>
  <x:si>
    <x:t xml:space="preserve">P050-T5</x:t>
  </x:si>
  <x:si>
    <x:t xml:space="preserve">P050-T6</x:t>
  </x:si>
  <x:si>
    <x:t xml:space="preserve">P051-T1</x:t>
  </x:si>
  <x:si>
    <x:t xml:space="preserve">P051-T2</x:t>
  </x:si>
  <x:si>
    <x:t xml:space="preserve">P051-T3</x:t>
  </x:si>
  <x:si>
    <x:t xml:space="preserve">P051-T4</x:t>
  </x:si>
  <x:si>
    <x:t xml:space="preserve">P051-T5</x:t>
  </x:si>
  <x:si>
    <x:t xml:space="preserve">P051-T6</x:t>
  </x:si>
  <x:si>
    <x:t xml:space="preserve">P052-T1</x:t>
  </x:si>
  <x:si>
    <x:t xml:space="preserve">P052-T2</x:t>
  </x:si>
  <x:si>
    <x:t xml:space="preserve">P052-T3</x:t>
  </x:si>
  <x:si>
    <x:t xml:space="preserve">P052-T4</x:t>
  </x:si>
  <x:si>
    <x:t xml:space="preserve">P052-T5</x:t>
  </x:si>
  <x:si>
    <x:t xml:space="preserve">P052-T6</x:t>
  </x:si>
  <x:si>
    <x:t xml:space="preserve">P053-T1</x:t>
  </x:si>
  <x:si>
    <x:t xml:space="preserve">P053-T2</x:t>
  </x:si>
  <x:si>
    <x:t xml:space="preserve">P053-T3</x:t>
  </x:si>
  <x:si>
    <x:t xml:space="preserve">P053-T4</x:t>
  </x:si>
  <x:si>
    <x:t xml:space="preserve">P053-T5</x:t>
  </x:si>
  <x:si>
    <x:t xml:space="preserve">P053-T6</x:t>
  </x:si>
  <x:si>
    <x:t xml:space="preserve">P054-T1</x:t>
  </x:si>
  <x:si>
    <x:t xml:space="preserve">P054-T2</x:t>
  </x:si>
  <x:si>
    <x:t xml:space="preserve">P054-T3</x:t>
  </x:si>
  <x:si>
    <x:t xml:space="preserve">P054-T4</x:t>
  </x:si>
  <x:si>
    <x:t xml:space="preserve">P054-T5</x:t>
  </x:si>
  <x:si>
    <x:t xml:space="preserve">P054-T6</x:t>
  </x:si>
  <x:si>
    <x:t xml:space="preserve">P055-T1</x:t>
  </x:si>
  <x:si>
    <x:t xml:space="preserve">P055-T2</x:t>
  </x:si>
  <x:si>
    <x:t xml:space="preserve">P055-T3</x:t>
  </x:si>
  <x:si>
    <x:t xml:space="preserve">P055-T4</x:t>
  </x:si>
  <x:si>
    <x:t xml:space="preserve">P055-T5</x:t>
  </x:si>
  <x:si>
    <x:t xml:space="preserve">P055-T6</x:t>
  </x:si>
  <x:si>
    <x:t xml:space="preserve">P056-T1</x:t>
  </x:si>
  <x:si>
    <x:t xml:space="preserve">P056-T2</x:t>
  </x:si>
  <x:si>
    <x:t xml:space="preserve">P056-T3</x:t>
  </x:si>
  <x:si>
    <x:t xml:space="preserve">P056-T4</x:t>
  </x:si>
  <x:si>
    <x:t xml:space="preserve">P056-T5</x:t>
  </x:si>
  <x:si>
    <x:t xml:space="preserve">P056-T6</x:t>
  </x:si>
  <x:si>
    <x:t xml:space="preserve">P057-T1</x:t>
  </x:si>
  <x:si>
    <x:t xml:space="preserve">P057-T2</x:t>
  </x:si>
  <x:si>
    <x:t xml:space="preserve">P057-T3</x:t>
  </x:si>
  <x:si>
    <x:t xml:space="preserve">P057-T4</x:t>
  </x:si>
  <x:si>
    <x:t xml:space="preserve">P057-T5</x:t>
  </x:si>
  <x:si>
    <x:t xml:space="preserve">P057-T6</x:t>
  </x:si>
  <x:si>
    <x:t xml:space="preserve">P058-T1</x:t>
  </x:si>
  <x:si>
    <x:t xml:space="preserve">P058-T2</x:t>
  </x:si>
  <x:si>
    <x:t xml:space="preserve">P058-T3</x:t>
  </x:si>
  <x:si>
    <x:t xml:space="preserve">P058-T4</x:t>
  </x:si>
  <x:si>
    <x:t xml:space="preserve">P058-T5</x:t>
  </x:si>
  <x:si>
    <x:t xml:space="preserve">P058-T6</x:t>
  </x:si>
  <x:si>
    <x:t xml:space="preserve">P059-T1</x:t>
  </x:si>
  <x:si>
    <x:t xml:space="preserve">P059-T2</x:t>
  </x:si>
  <x:si>
    <x:t xml:space="preserve">P059-T3</x:t>
  </x:si>
  <x:si>
    <x:t xml:space="preserve">P059-T4</x:t>
  </x:si>
  <x:si>
    <x:t xml:space="preserve">P059-T5</x:t>
  </x:si>
  <x:si>
    <x:t xml:space="preserve">P059-T6</x:t>
  </x:si>
  <x:si>
    <x:t xml:space="preserve">P060-T1</x:t>
  </x:si>
  <x:si>
    <x:t xml:space="preserve">P060-T2</x:t>
  </x:si>
  <x:si>
    <x:t xml:space="preserve">P060-T3</x:t>
  </x:si>
  <x:si>
    <x:t xml:space="preserve">P060-T4</x:t>
  </x:si>
  <x:si>
    <x:t xml:space="preserve">P060-T5</x:t>
  </x:si>
  <x:si>
    <x:t xml:space="preserve">P060-T6</x:t>
  </x:si>
  <x:si>
    <x:t xml:space="preserve">P061-T1</x:t>
  </x:si>
  <x:si>
    <x:t xml:space="preserve">P061-T2</x:t>
  </x:si>
  <x:si>
    <x:t xml:space="preserve">P061-T3</x:t>
  </x:si>
  <x:si>
    <x:t xml:space="preserve">P061-T4</x:t>
  </x:si>
  <x:si>
    <x:t xml:space="preserve">P061-T5</x:t>
  </x:si>
  <x:si>
    <x:t xml:space="preserve">P061-T6</x:t>
  </x:si>
  <x:si>
    <x:t xml:space="preserve">P062-T1</x:t>
  </x:si>
  <x:si>
    <x:t xml:space="preserve">P062-T2</x:t>
  </x:si>
  <x:si>
    <x:t xml:space="preserve">P062-T3</x:t>
  </x:si>
  <x:si>
    <x:t xml:space="preserve">P062-T4</x:t>
  </x:si>
  <x:si>
    <x:t xml:space="preserve">P062-T5</x:t>
  </x:si>
  <x:si>
    <x:t xml:space="preserve">P062-T6</x:t>
  </x:si>
  <x:si>
    <x:t xml:space="preserve">P063-T1</x:t>
  </x:si>
  <x:si>
    <x:t xml:space="preserve">P063-T2</x:t>
  </x:si>
  <x:si>
    <x:t xml:space="preserve">P063-T3</x:t>
  </x:si>
  <x:si>
    <x:t xml:space="preserve">P063-T4</x:t>
  </x:si>
  <x:si>
    <x:t xml:space="preserve">P063-T5</x:t>
  </x:si>
  <x:si>
    <x:t xml:space="preserve">P063-T6</x:t>
  </x:si>
  <x:si>
    <x:t xml:space="preserve">P064-T1</x:t>
  </x:si>
  <x:si>
    <x:t xml:space="preserve">P064-T2</x:t>
  </x:si>
  <x:si>
    <x:t xml:space="preserve">P064-T3</x:t>
  </x:si>
  <x:si>
    <x:t xml:space="preserve">P064-T4</x:t>
  </x:si>
  <x:si>
    <x:t xml:space="preserve">P064-T5</x:t>
  </x:si>
  <x:si>
    <x:t xml:space="preserve">P064-T6</x:t>
  </x:si>
  <x:si>
    <x:t xml:space="preserve">P065-T1</x:t>
  </x:si>
  <x:si>
    <x:t xml:space="preserve">P065-T2</x:t>
  </x:si>
  <x:si>
    <x:t xml:space="preserve">P065-T3</x:t>
  </x:si>
  <x:si>
    <x:t xml:space="preserve">P065-T4</x:t>
  </x:si>
  <x:si>
    <x:t xml:space="preserve">P065-T5</x:t>
  </x:si>
  <x:si>
    <x:t xml:space="preserve">P065-T6</x:t>
  </x:si>
  <x:si>
    <x:t xml:space="preserve">P066-T1</x:t>
  </x:si>
  <x:si>
    <x:t xml:space="preserve">P066-T2</x:t>
  </x:si>
  <x:si>
    <x:t xml:space="preserve">P066-T3</x:t>
  </x:si>
  <x:si>
    <x:t xml:space="preserve">P066-T4</x:t>
  </x:si>
  <x:si>
    <x:t xml:space="preserve">P066-T5</x:t>
  </x:si>
  <x:si>
    <x:t xml:space="preserve">P066-T6</x:t>
  </x:si>
  <x:si>
    <x:t xml:space="preserve">P067-T1</x:t>
  </x:si>
  <x:si>
    <x:t xml:space="preserve">P067-T2</x:t>
  </x:si>
  <x:si>
    <x:t xml:space="preserve">P067-T3</x:t>
  </x:si>
  <x:si>
    <x:t xml:space="preserve">P067-T4</x:t>
  </x:si>
  <x:si>
    <x:t xml:space="preserve">P067-T5</x:t>
  </x:si>
  <x:si>
    <x:t xml:space="preserve">P067-T6</x:t>
  </x:si>
  <x:si>
    <x:t xml:space="preserve">P068-T1</x:t>
  </x:si>
  <x:si>
    <x:t xml:space="preserve">P068-T2</x:t>
  </x:si>
  <x:si>
    <x:t xml:space="preserve">P068-T3</x:t>
  </x:si>
  <x:si>
    <x:t xml:space="preserve">P068-T4</x:t>
  </x:si>
  <x:si>
    <x:t xml:space="preserve">P068-T5</x:t>
  </x:si>
  <x:si>
    <x:t xml:space="preserve">P068-T6</x:t>
  </x:si>
  <x:si>
    <x:t xml:space="preserve">P069-T1</x:t>
  </x:si>
  <x:si>
    <x:t xml:space="preserve">P069-T2</x:t>
  </x:si>
  <x:si>
    <x:t xml:space="preserve">P069-T3</x:t>
  </x:si>
  <x:si>
    <x:t xml:space="preserve">P069-T4</x:t>
  </x:si>
  <x:si>
    <x:t xml:space="preserve">P069-T5</x:t>
  </x:si>
  <x:si>
    <x:t xml:space="preserve">P069-T6</x:t>
  </x:si>
  <x:si>
    <x:t xml:space="preserve">P070-T1</x:t>
  </x:si>
  <x:si>
    <x:t xml:space="preserve">P070-T2</x:t>
  </x:si>
  <x:si>
    <x:t xml:space="preserve">P070-T3</x:t>
  </x:si>
  <x:si>
    <x:t xml:space="preserve">P070-T4</x:t>
  </x:si>
  <x:si>
    <x:t xml:space="preserve">P070-T5</x:t>
  </x:si>
  <x:si>
    <x:t xml:space="preserve">P070-T6</x:t>
  </x:si>
  <x:si>
    <x:t xml:space="preserve">P071-T1</x:t>
  </x:si>
  <x:si>
    <x:t xml:space="preserve">P071-T2</x:t>
  </x:si>
  <x:si>
    <x:t xml:space="preserve">P071-T3</x:t>
  </x:si>
  <x:si>
    <x:t xml:space="preserve">P071-T4</x:t>
  </x:si>
  <x:si>
    <x:t xml:space="preserve">P071-T5</x:t>
  </x:si>
  <x:si>
    <x:t xml:space="preserve">P071-T6</x:t>
  </x:si>
  <x:si>
    <x:t xml:space="preserve">P072-T1</x:t>
  </x:si>
  <x:si>
    <x:t xml:space="preserve">P072-T2</x:t>
  </x:si>
  <x:si>
    <x:t xml:space="preserve">P072-T3</x:t>
  </x:si>
  <x:si>
    <x:t xml:space="preserve">P072-T4</x:t>
  </x:si>
  <x:si>
    <x:t xml:space="preserve">P072-T5</x:t>
  </x:si>
  <x:si>
    <x:t xml:space="preserve">P072-T6</x:t>
  </x:si>
  <x:si>
    <x:t xml:space="preserve">P073-T1</x:t>
  </x:si>
  <x:si>
    <x:t xml:space="preserve">P073-T2</x:t>
  </x:si>
  <x:si>
    <x:t xml:space="preserve">P073-T3</x:t>
  </x:si>
  <x:si>
    <x:t xml:space="preserve">P073-T4</x:t>
  </x:si>
  <x:si>
    <x:t xml:space="preserve">P073-T5</x:t>
  </x:si>
  <x:si>
    <x:t xml:space="preserve">P073-T6</x:t>
  </x:si>
  <x:si>
    <x:t xml:space="preserve">P074-T1</x:t>
  </x:si>
  <x:si>
    <x:t xml:space="preserve">P074-T2</x:t>
  </x:si>
  <x:si>
    <x:t xml:space="preserve">P074-T3</x:t>
  </x:si>
  <x:si>
    <x:t xml:space="preserve">P074-T4</x:t>
  </x:si>
  <x:si>
    <x:t xml:space="preserve">P074-T5</x:t>
  </x:si>
  <x:si>
    <x:t xml:space="preserve">P074-T6</x:t>
  </x:si>
  <x:si>
    <x:t xml:space="preserve">P075-T1</x:t>
  </x:si>
  <x:si>
    <x:t xml:space="preserve">P075-T2</x:t>
  </x:si>
  <x:si>
    <x:t xml:space="preserve">P075-T3</x:t>
  </x:si>
  <x:si>
    <x:t xml:space="preserve">P075-T4</x:t>
  </x:si>
  <x:si>
    <x:t xml:space="preserve">P075-T5</x:t>
  </x:si>
  <x:si>
    <x:t xml:space="preserve">P075-T6</x:t>
  </x:si>
  <x:si>
    <x:t xml:space="preserve">P076-T1</x:t>
  </x:si>
  <x:si>
    <x:t xml:space="preserve">P076-T2</x:t>
  </x:si>
  <x:si>
    <x:t xml:space="preserve">P076-T3</x:t>
  </x:si>
  <x:si>
    <x:t xml:space="preserve">P076-T4</x:t>
  </x:si>
  <x:si>
    <x:t xml:space="preserve">P076-T5</x:t>
  </x:si>
  <x:si>
    <x:t xml:space="preserve">P076-T6</x:t>
  </x:si>
  <x:si>
    <x:t xml:space="preserve">P077-T1</x:t>
  </x:si>
  <x:si>
    <x:t xml:space="preserve">P077-T2</x:t>
  </x:si>
  <x:si>
    <x:t xml:space="preserve">P077-T3</x:t>
  </x:si>
  <x:si>
    <x:t xml:space="preserve">P077-T4</x:t>
  </x:si>
  <x:si>
    <x:t xml:space="preserve">P077-T5</x:t>
  </x:si>
  <x:si>
    <x:t xml:space="preserve">P077-T6</x:t>
  </x:si>
  <x:si>
    <x:t xml:space="preserve">P078-T1</x:t>
  </x:si>
  <x:si>
    <x:t xml:space="preserve">P078-T2</x:t>
  </x:si>
  <x:si>
    <x:t xml:space="preserve">P078-T3</x:t>
  </x:si>
  <x:si>
    <x:t xml:space="preserve">P078-T4</x:t>
  </x:si>
  <x:si>
    <x:t xml:space="preserve">P078-T5</x:t>
  </x:si>
  <x:si>
    <x:t xml:space="preserve">P078-T6</x:t>
  </x:si>
  <x:si>
    <x:t xml:space="preserve">P079-T1</x:t>
  </x:si>
  <x:si>
    <x:t xml:space="preserve">P079-T2</x:t>
  </x:si>
  <x:si>
    <x:t xml:space="preserve">P079-T3</x:t>
  </x:si>
  <x:si>
    <x:t xml:space="preserve">P079-T4</x:t>
  </x:si>
  <x:si>
    <x:t xml:space="preserve">P079-T5</x:t>
  </x:si>
  <x:si>
    <x:t xml:space="preserve">P079-T6</x:t>
  </x:si>
  <x:si>
    <x:t xml:space="preserve">P080-T1</x:t>
  </x:si>
  <x:si>
    <x:t xml:space="preserve">P080-T2</x:t>
  </x:si>
  <x:si>
    <x:t xml:space="preserve">P080-T3</x:t>
  </x:si>
  <x:si>
    <x:t xml:space="preserve">P080-T4</x:t>
  </x:si>
  <x:si>
    <x:t xml:space="preserve">P080-T5</x:t>
  </x:si>
  <x:si>
    <x:t xml:space="preserve">P080-T6</x:t>
  </x:si>
  <x:si>
    <x:t xml:space="preserve">P081-T1</x:t>
  </x:si>
  <x:si>
    <x:t xml:space="preserve">P081-T2</x:t>
  </x:si>
  <x:si>
    <x:t xml:space="preserve">P081-T3</x:t>
  </x:si>
  <x:si>
    <x:t xml:space="preserve">P081-T4</x:t>
  </x:si>
  <x:si>
    <x:t xml:space="preserve">P081-T5</x:t>
  </x:si>
  <x:si>
    <x:t xml:space="preserve">P081-T6</x:t>
  </x:si>
  <x:si>
    <x:t xml:space="preserve">P082-T1</x:t>
  </x:si>
  <x:si>
    <x:t xml:space="preserve">P082-T2</x:t>
  </x:si>
  <x:si>
    <x:t xml:space="preserve">P082-T3</x:t>
  </x:si>
  <x:si>
    <x:t xml:space="preserve">P082-T4</x:t>
  </x:si>
  <x:si>
    <x:t xml:space="preserve">P082-T5</x:t>
  </x:si>
  <x:si>
    <x:t xml:space="preserve">P082-T6</x:t>
  </x:si>
  <x:si>
    <x:t xml:space="preserve">P083-T1</x:t>
  </x:si>
  <x:si>
    <x:t xml:space="preserve">P083-T2</x:t>
  </x:si>
  <x:si>
    <x:t xml:space="preserve">P083-T3</x:t>
  </x:si>
  <x:si>
    <x:t xml:space="preserve">P083-T4</x:t>
  </x:si>
  <x:si>
    <x:t xml:space="preserve">P083-T5</x:t>
  </x:si>
  <x:si>
    <x:t xml:space="preserve">P083-T6</x:t>
  </x:si>
  <x:si>
    <x:t xml:space="preserve">P084-T1</x:t>
  </x:si>
  <x:si>
    <x:t xml:space="preserve">P084-T2</x:t>
  </x:si>
  <x:si>
    <x:t xml:space="preserve">P084-T3</x:t>
  </x:si>
  <x:si>
    <x:t xml:space="preserve">P084-T4</x:t>
  </x:si>
  <x:si>
    <x:t xml:space="preserve">P084-T5</x:t>
  </x:si>
  <x:si>
    <x:t xml:space="preserve">P084-T6</x:t>
  </x:si>
  <x:si>
    <x:t xml:space="preserve">P085-T1</x:t>
  </x:si>
  <x:si>
    <x:t xml:space="preserve">P085-T2</x:t>
  </x:si>
  <x:si>
    <x:t xml:space="preserve">P085-T3</x:t>
  </x:si>
  <x:si>
    <x:t xml:space="preserve">P085-T4</x:t>
  </x:si>
  <x:si>
    <x:t xml:space="preserve">P085-T5</x:t>
  </x:si>
  <x:si>
    <x:t xml:space="preserve">P085-T6</x:t>
  </x:si>
  <x:si>
    <x:t xml:space="preserve">P086-T1</x:t>
  </x:si>
  <x:si>
    <x:t xml:space="preserve">P086-T2</x:t>
  </x:si>
  <x:si>
    <x:t xml:space="preserve">P086-T3</x:t>
  </x:si>
  <x:si>
    <x:t xml:space="preserve">P086-T4</x:t>
  </x:si>
  <x:si>
    <x:t xml:space="preserve">P086-T5</x:t>
  </x:si>
  <x:si>
    <x:t xml:space="preserve">P086-T6</x:t>
  </x:si>
  <x:si>
    <x:t xml:space="preserve">P087-T1</x:t>
  </x:si>
  <x:si>
    <x:t xml:space="preserve">P087-T2</x:t>
  </x:si>
  <x:si>
    <x:t xml:space="preserve">P087-T3</x:t>
  </x:si>
  <x:si>
    <x:t xml:space="preserve">P087-T4</x:t>
  </x:si>
  <x:si>
    <x:t xml:space="preserve">P087-T5</x:t>
  </x:si>
  <x:si>
    <x:t xml:space="preserve">P087-T6</x:t>
  </x:si>
  <x:si>
    <x:t xml:space="preserve">P088-T1</x:t>
  </x:si>
  <x:si>
    <x:t xml:space="preserve">P088-T2</x:t>
  </x:si>
  <x:si>
    <x:t xml:space="preserve">P088-T3</x:t>
  </x:si>
  <x:si>
    <x:t xml:space="preserve">P088-T4</x:t>
  </x:si>
  <x:si>
    <x:t xml:space="preserve">P088-T5</x:t>
  </x:si>
  <x:si>
    <x:t xml:space="preserve">P088-T6</x:t>
  </x:si>
  <x:si>
    <x:t xml:space="preserve">P089-T1</x:t>
  </x:si>
  <x:si>
    <x:t xml:space="preserve">P089-T2</x:t>
  </x:si>
  <x:si>
    <x:t xml:space="preserve">P089-T3</x:t>
  </x:si>
  <x:si>
    <x:t xml:space="preserve">P089-T4</x:t>
  </x:si>
  <x:si>
    <x:t xml:space="preserve">P089-T5</x:t>
  </x:si>
  <x:si>
    <x:t xml:space="preserve">P089-T6</x:t>
  </x:si>
  <x:si>
    <x:t xml:space="preserve">P090-T1</x:t>
  </x:si>
  <x:si>
    <x:t xml:space="preserve">P090-T2</x:t>
  </x:si>
  <x:si>
    <x:t xml:space="preserve">P090-T3</x:t>
  </x:si>
  <x:si>
    <x:t xml:space="preserve">P090-T4</x:t>
  </x:si>
  <x:si>
    <x:t xml:space="preserve">P090-T5</x:t>
  </x:si>
  <x:si>
    <x:t xml:space="preserve">P090-T6</x:t>
  </x:si>
  <x:si>
    <x:t xml:space="preserve">P091-T1</x:t>
  </x:si>
  <x:si>
    <x:t xml:space="preserve">P091-T2</x:t>
  </x:si>
  <x:si>
    <x:t xml:space="preserve">P091-T3</x:t>
  </x:si>
  <x:si>
    <x:t xml:space="preserve">P091-T4</x:t>
  </x:si>
  <x:si>
    <x:t xml:space="preserve">P091-T5</x:t>
  </x:si>
  <x:si>
    <x:t xml:space="preserve">P091-T6</x:t>
  </x:si>
  <x:si>
    <x:t xml:space="preserve">P092-T1</x:t>
  </x:si>
  <x:si>
    <x:t xml:space="preserve">P092-T2</x:t>
  </x:si>
  <x:si>
    <x:t xml:space="preserve">P092-T3</x:t>
  </x:si>
  <x:si>
    <x:t xml:space="preserve">P092-T4</x:t>
  </x:si>
  <x:si>
    <x:t xml:space="preserve">P092-T5</x:t>
  </x:si>
  <x:si>
    <x:t xml:space="preserve">P092-T6</x:t>
  </x:si>
  <x:si>
    <x:t xml:space="preserve">P093-T1</x:t>
  </x:si>
  <x:si>
    <x:t xml:space="preserve">P093-T2</x:t>
  </x:si>
  <x:si>
    <x:t xml:space="preserve">P093-T3</x:t>
  </x:si>
  <x:si>
    <x:t xml:space="preserve">P093-T4</x:t>
  </x:si>
  <x:si>
    <x:t xml:space="preserve">P093-T5</x:t>
  </x:si>
  <x:si>
    <x:t xml:space="preserve">P093-T6</x:t>
  </x:si>
  <x:si>
    <x:t xml:space="preserve">P094-T1</x:t>
  </x:si>
  <x:si>
    <x:t xml:space="preserve">P094-T2</x:t>
  </x:si>
  <x:si>
    <x:t xml:space="preserve">P094-T3</x:t>
  </x:si>
  <x:si>
    <x:t xml:space="preserve">P094-T4</x:t>
  </x:si>
  <x:si>
    <x:t xml:space="preserve">P094-T5</x:t>
  </x:si>
  <x:si>
    <x:t xml:space="preserve">P094-T6</x:t>
  </x:si>
  <x:si>
    <x:t xml:space="preserve">P095-T1</x:t>
  </x:si>
  <x:si>
    <x:t xml:space="preserve">P095-T2</x:t>
  </x:si>
  <x:si>
    <x:t xml:space="preserve">P095-T3</x:t>
  </x:si>
  <x:si>
    <x:t xml:space="preserve">P095-T4</x:t>
  </x:si>
  <x:si>
    <x:t xml:space="preserve">P095-T5</x:t>
  </x:si>
  <x:si>
    <x:t xml:space="preserve">P095-T6</x:t>
  </x:si>
  <x:si>
    <x:t xml:space="preserve">P096-T1</x:t>
  </x:si>
  <x:si>
    <x:t xml:space="preserve">P096-T2</x:t>
  </x:si>
  <x:si>
    <x:t xml:space="preserve">P096-T3</x:t>
  </x:si>
  <x:si>
    <x:t xml:space="preserve">P096-T4</x:t>
  </x:si>
  <x:si>
    <x:t xml:space="preserve">P096-T5</x:t>
  </x:si>
  <x:si>
    <x:t xml:space="preserve">P096-T6</x:t>
  </x:si>
  <x:si>
    <x:t xml:space="preserve">P097-T1</x:t>
  </x:si>
  <x:si>
    <x:t xml:space="preserve">P097-T2</x:t>
  </x:si>
  <x:si>
    <x:t xml:space="preserve">P097-T3</x:t>
  </x:si>
  <x:si>
    <x:t xml:space="preserve">P097-T4</x:t>
  </x:si>
  <x:si>
    <x:t xml:space="preserve">P097-T5</x:t>
  </x:si>
  <x:si>
    <x:t xml:space="preserve">P097-T6</x:t>
  </x:si>
  <x:si>
    <x:t xml:space="preserve">P098-T1</x:t>
  </x:si>
  <x:si>
    <x:t xml:space="preserve">P098-T2</x:t>
  </x:si>
  <x:si>
    <x:t xml:space="preserve">P098-T3</x:t>
  </x:si>
  <x:si>
    <x:t xml:space="preserve">P098-T4</x:t>
  </x:si>
  <x:si>
    <x:t xml:space="preserve">P098-T5</x:t>
  </x:si>
  <x:si>
    <x:t xml:space="preserve">P098-T6</x:t>
  </x:si>
  <x:si>
    <x:t xml:space="preserve">P099-T1</x:t>
  </x:si>
  <x:si>
    <x:t xml:space="preserve">P099-T2</x:t>
  </x:si>
  <x:si>
    <x:t xml:space="preserve">P099-T3</x:t>
  </x:si>
  <x:si>
    <x:t xml:space="preserve">P099-T4</x:t>
  </x:si>
  <x:si>
    <x:t xml:space="preserve">P099-T5</x:t>
  </x:si>
  <x:si>
    <x:t xml:space="preserve">P099-T6</x:t>
  </x:si>
  <x:si>
    <x:t xml:space="preserve">P100-T1</x:t>
  </x:si>
  <x:si>
    <x:t xml:space="preserve">P100-T2</x:t>
  </x:si>
  <x:si>
    <x:t xml:space="preserve">P100-T3</x:t>
  </x:si>
  <x:si>
    <x:t xml:space="preserve">P100-T4</x:t>
  </x:si>
  <x:si>
    <x:t xml:space="preserve">P100-T5</x:t>
  </x:si>
  <x:si>
    <x:t xml:space="preserve">P100-T6</x:t>
  </x:si>
  <x:si>
    <x:t xml:space="preserve">DATA INTEGRITY | CONTROL CHECKS</x:t>
  </x:si>
  <x:si>
    <x:t xml:space="preserve">Visible quality gate: every core dashboard number should trace back to the data engine.</x:t>
  </x:si>
  <x:si>
    <x:t xml:space="preserve">CONTROL CHECKS</x:t>
  </x:si>
  <x:si>
    <x:t xml:space="preserve">Project records</x:t>
  </x:si>
  <x:si>
    <x:t xml:space="preserve">100 expected</x:t>
  </x:si>
  <x:si>
    <x:t xml:space="preserve">Task records</x:t>
  </x:si>
  <x:si>
    <x:t xml:space="preserve">600 expected</x:t>
  </x:si>
  <x:si>
    <x:t xml:space="preserve">Duplicate project IDs</x:t>
  </x:si>
  <x:si>
    <x:t xml:space="preserve">0 expected</x:t>
  </x:si>
  <x:si>
    <x:t xml:space="preserve">Duplicate task IDs</x:t>
  </x:si>
  <x:si>
    <x:t xml:space="preserve">Tasks without project</x:t>
  </x:si>
  <x:si>
    <x:t xml:space="preserve">Invalid progress values</x:t>
  </x:si>
  <x:si>
    <x:t xml:space="preserve">Blank required task status</x:t>
  </x:si>
  <x:si>
    <x:t xml:space="preserve">Project rows failing baseline check</x:t>
  </x:si>
  <x:si>
    <x:t xml:space="preserve">Design standard: dashboards use white canvas, navy structure, one consistent status palette, and enough whitespace to keep executive attention on exceptions.</x:t>
  </x:si>
  <x:si>
    <x:t xml:space="preserve">SYNERGY | DESIGN &amp; OPERATING STANDARD</x:t>
  </x:si>
  <x:si>
    <x:t xml:space="preserve">What changed in V2: cleaner canvas, stable layouts, populated visuals, complete Gantt, traceable data.</x:t>
  </x:si>
  <x:si>
    <x:t xml:space="preserve">01</x:t>
  </x:si>
  <x:si>
    <x:t xml:space="preserve">Executive-first</x:t>
  </x:si>
  <x:si>
    <x:t xml:space="preserve">Sponsor page leads with Revenue, Profit, Pipeline, Resources, Risk and Health.</x:t>
  </x:si>
  <x:si>
    <x:t xml:space="preserve">02</x:t>
  </x:si>
  <x:si>
    <x:t xml:space="preserve">White / plain canvas</x:t>
  </x:si>
  <x:si>
    <x:t xml:space="preserve">White canvas with light grey structure keeps charts readable and avoids visual displacement.</x:t>
  </x:si>
  <x:si>
    <x:t xml:space="preserve">03</x:t>
  </x:si>
  <x:si>
    <x:t xml:space="preserve">Consistent status standard</x:t>
  </x:si>
  <x:si>
    <x:t xml:space="preserve">GREEN = healthy, AMBER = watch, RED = intervention. Status is also written as text, not color-only.</x:t>
  </x:si>
  <x:si>
    <x:t xml:space="preserve">04</x:t>
  </x:si>
  <x:si>
    <x:t xml:space="preserve">Complete Gantt</x:t>
  </x:si>
  <x:si>
    <x:t xml:space="preserve">Portfolio Gantt contains all 100 projects across 27 weekly columns. Selected-project Gantt contains task-level bars.</x:t>
  </x:si>
  <x:si>
    <x:t xml:space="preserve">05</x:t>
  </x:si>
  <x:si>
    <x:t xml:space="preserve">Data integrity</x:t>
  </x:si>
  <x:si>
    <x:t xml:space="preserve">Project and task engines include controlled inputs, validation, calculated roll-ups and a visible Integrity page.</x:t>
  </x:si>
  <x:si>
    <x:t xml:space="preserve">06</x:t>
  </x:si>
  <x:si>
    <x:t xml:space="preserve">Drill-down</x:t>
  </x:si>
  <x:si>
    <x:t xml:space="preserve">Sponsor → Project 360 → Gantt / Decision / Dependency / PM / Team.</x:t>
  </x:si>
  <x:si>
    <x:t xml:space="preserve">07</x:t>
  </x:si>
  <x:si>
    <x:t xml:space="preserve">Logo</x:t>
  </x:si>
  <x:si>
    <x:t xml:space="preserve">SYNERGY logo is placed top-right on every management page.</x:t>
  </x:si>
  <x:si>
    <x:t xml:space="preserve">08</x:t>
  </x:si>
  <x:si>
    <x:t xml:space="preserve">No blank executive cards</x:t>
  </x:si>
  <x:si>
    <x:t xml:space="preserve">Dashboard KPIs and charts are formula-linked to the data engine and recalculate on open.</x:t>
  </x:si>
  <x:si>
    <x:t xml:space="preserve">09</x:t>
  </x:si>
  <x:si>
    <x:t xml:space="preserve">Editable input layer</x:t>
  </x:si>
  <x:si>
    <x:t xml:space="preserve">Yellow cells in Project Data, Task Data and control pages are the intended operating inputs.</x:t>
  </x:si>
  <x:si>
    <x:t xml:space="preserve">10</x:t>
  </x:si>
  <x:si>
    <x:t xml:space="preserve">Design discipline</x:t>
  </x:si>
  <x:si>
    <x:t xml:space="preserve">Visual hierarchy follows common dashboard guidance: one-screen story, important information first, consistent scales and restrained colors.</x:t>
  </x:si>
  <x:si>
    <x:t xml:space="preserve">CONFIGURATION &amp; STANDARDS</x:t>
  </x:si>
  <x:si>
    <x:t xml:space="preserve">SYNERGY VISUAL STANDARD</x:t>
  </x:si>
  <x:si>
    <x:t xml:space="preserve">Controlled lists and visual standards for the prototype.</x:t>
  </x:si>
  <x:si>
    <x:t xml:space="preserve">Primary</x:t>
  </x:si>
  <x:si>
    <x:t xml:space="preserve">#17324D</x:t>
  </x:si>
  <x:si>
    <x:t xml:space="preserve">Secondary</x:t>
  </x:si>
  <x:si>
    <x:t xml:space="preserve">#2F75B5</x:t>
  </x:si>
  <x:si>
    <x:t xml:space="preserve">Phase</x:t>
  </x:si>
  <x:si>
    <x:t xml:space="preserve">Positive</x:t>
  </x:si>
  <x:si>
    <x:t xml:space="preserve">#2E9B5B</x:t>
  </x:si>
  <x:si>
    <x:t xml:space="preserve">Not Started</x:t>
  </x:si>
  <x:si>
    <x:t xml:space="preserve">Initiation</x:t>
  </x:si>
  <x:si>
    <x:t xml:space="preserve">Watch</x:t>
  </x:si>
  <x:si>
    <x:t xml:space="preserve">#E5A400</x:t>
  </x:si>
  <x:si>
    <x:t xml:space="preserve">Planning</x:t>
  </x:si>
  <x:si>
    <x:t xml:space="preserve">Approved</x:t>
  </x:si>
  <x:si>
    <x:t xml:space="preserve">#D9534F</x:t>
  </x:si>
  <x:si>
    <x:t xml:space="preserve">Design</x:t>
  </x:si>
  <x:si>
    <x:t xml:space="preserve">Rejected</x:t>
  </x:si>
  <x:si>
    <x:t xml:space="preserve">Accent</x:t>
  </x:si>
  <x:si>
    <x:t xml:space="preserve">#20B8C8</x:t>
  </x:si>
  <x:si>
    <x:t xml:space="preserve">Build</x:t>
  </x:si>
  <x:si>
    <x:t xml:space="preserve">Escalated</x:t>
  </x:si>
  <x:si>
    <x:t xml:space="preserve">Neutral</x:t>
  </x:si>
  <x:si>
    <x:t xml:space="preserve">#667085</x:t>
  </x:si>
  <x:si>
    <x:t xml:space="preserve">On Hold</x:t>
  </x:si>
  <x:si>
    <x:t xml:space="preserve">Testing</x:t>
  </x:si>
  <x:si>
    <x:t xml:space="preserve">Canvas</x:t>
  </x:si>
  <x:si>
    <x:t xml:space="preserve">#F5F7FA</x:t>
  </x:si>
  <x:si>
    <x:t xml:space="preserve">Deployment</x:t>
  </x:si>
  <x:si>
    <x:t xml:space="preserve">Closure</x:t>
  </x:si>
</x:sst>
</file>

<file path=xl/styles.xml><?xml version="1.0" encoding="utf-8"?>
<x:styleSheet xmlns:x="http://schemas.openxmlformats.org/spreadsheetml/2006/main">
  <x:numFmts count="15">
    <x:numFmt numFmtId="164" formatCode="General"/>
    <x:numFmt numFmtId="165" formatCode="\₹#,##0"/>
    <x:numFmt numFmtId="166" formatCode="#,##0"/>
    <x:numFmt numFmtId="167" formatCode="\₹#,##0.0"/>
    <x:numFmt numFmtId="168" formatCode="mmm\-yy"/>
    <x:numFmt numFmtId="169" formatCode="0.0"/>
    <x:numFmt numFmtId="170" formatCode="0.0%"/>
    <x:numFmt numFmtId="171" formatCode="0"/>
    <x:numFmt numFmtId="172" formatCode="dd\-mmm\-yy"/>
    <x:numFmt numFmtId="173" formatCode="dd\-mmm"/>
    <x:numFmt numFmtId="200" formatCode="₹#,##0.0"/>
    <x:numFmt numFmtId="201" formatCode="mmm-yy"/>
    <x:numFmt numFmtId="202" formatCode="dd-mmm-yy"/>
    <x:numFmt numFmtId="203" formatCode="dd-mmm"/>
    <x:numFmt numFmtId="204" formatCode="0%"/>
  </x:numFmts>
  <x:fonts count="5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20"/>
      <x:color rgb="FF17324D"/>
      <x:name val="Cambria"/>
    </x:font>
    <x:font>
      <x:i/>
      <x:sz val="10"/>
      <x:color rgb="FF667085"/>
      <x:name val="Cambria"/>
    </x:font>
    <x:font>
      <x:b/>
      <x:sz val="9"/>
      <x:color rgb="FFFFFFFF"/>
      <x:name val="Cambria"/>
    </x:font>
    <x:font>
      <x:sz val="12"/>
      <x:color theme="10"/>
      <x:name val="Calibri"/>
    </x:font>
    <x:font>
      <x:b/>
      <x:sz val="11"/>
      <x:color rgb="FFFFFFFF"/>
      <x:name val="Cambria"/>
    </x:font>
    <x:font>
      <x:b/>
      <x:sz val="24"/>
      <x:color rgb="FF17324D"/>
      <x:name val="Cambria"/>
    </x:font>
    <x:font>
      <x:sz val="13"/>
      <x:color rgb="FF667085"/>
      <x:name val="Cambria"/>
    </x:font>
    <x:font>
      <x:b/>
      <x:sz val="9"/>
      <x:color rgb="FF667085"/>
      <x:name val="Cambria"/>
    </x:font>
    <x:font>
      <x:b/>
      <x:sz val="20"/>
      <x:color rgb="FF2F75B5"/>
      <x:name val="Cambria"/>
    </x:font>
    <x:font>
      <x:b/>
      <x:sz val="20"/>
      <x:color rgb="FF20B8C8"/>
      <x:name val="Cambria"/>
    </x:font>
    <x:font>
      <x:b/>
      <x:sz val="20"/>
      <x:color rgb="FF00A6A6"/>
      <x:name val="Cambria"/>
    </x:font>
    <x:font>
      <x:b/>
      <x:sz val="20"/>
      <x:color rgb="FF2E9B5B"/>
      <x:name val="Cambria"/>
    </x:font>
    <x:font>
      <x:b/>
      <x:sz val="20"/>
      <x:color rgb="FF7657D9"/>
      <x:name val="Cambria"/>
    </x:font>
    <x:font>
      <x:b/>
      <x:sz val="20"/>
      <x:color rgb="FFD9534F"/>
      <x:name val="Cambria"/>
    </x:font>
    <x:font>
      <x:b/>
      <x:sz val="20"/>
      <x:color rgb="FFE5A400"/>
      <x:name val="Cambria"/>
    </x:font>
    <x:font>
      <x:b/>
      <x:sz val="16"/>
      <x:color rgb="FF20B8C8"/>
      <x:name val="Cambria"/>
    </x:font>
    <x:font>
      <x:b/>
      <x:sz val="11"/>
      <x:color rgb="FF17202A"/>
      <x:name val="Cambria"/>
    </x:font>
    <x:font>
      <x:sz val="10"/>
      <x:color rgb="FF667085"/>
      <x:name val="Cambria"/>
    </x:font>
    <x:font>
      <x:b/>
      <x:sz val="13"/>
      <x:color rgb="FF17324D"/>
      <x:name val="Cambria"/>
    </x:font>
    <x:font>
      <x:b/>
      <x:sz val="11"/>
      <x:color rgb="FFD9534F"/>
      <x:name val="Cambria"/>
    </x:font>
    <x:font>
      <x:sz val="11"/>
      <x:color rgb="FF2F75B5"/>
      <x:name val="Cambria"/>
    </x:font>
    <x:font>
      <x:b/>
      <x:sz val="11"/>
      <x:color rgb="FF2E9B5B"/>
      <x:name val="Cambria"/>
    </x:font>
    <x:font>
      <x:b/>
      <x:sz val="11"/>
      <x:color rgb="FFE5A400"/>
      <x:name val="Cambria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2"/>
      <x:color rgb="FF17324D"/>
      <x:name val="Cambria"/>
    </x:font>
    <x:font>
      <x:b/>
      <x:sz val="15"/>
      <x:color rgb="FF17324D"/>
      <x:name val="Cambria"/>
    </x:font>
    <x:font>
      <x:b/>
      <x:sz val="12"/>
      <x:color rgb="FF17202A"/>
      <x:name val="Cambria"/>
    </x:font>
    <x:font>
      <x:b/>
      <x:sz val="11"/>
      <x:name val="Cambria"/>
    </x:font>
    <x:font>
      <x:sz val="11"/>
      <x:color rgb="FFD9534F"/>
      <x:name val="Cambria"/>
    </x:font>
    <x:font>
      <x:sz val="12"/>
      <x:color rgb="FF17202A"/>
      <x:name val="Cambria"/>
    </x:font>
    <x:font>
      <x:b/>
      <x:sz val="11"/>
      <x:color rgb="FF17324D"/>
      <x:name val="Cambria"/>
    </x:font>
    <x:font>
      <x:b/>
      <x:sz val="11"/>
      <x:color rgb="FF2F75B5"/>
      <x:name val="Cambria"/>
    </x:font>
    <x:font>
      <x:b/>
      <x:sz val="12"/>
      <x:color rgb="FF2F75B5"/>
      <x:name val="Cambria"/>
    </x:font>
    <x:font>
      <x:sz val="11"/>
      <x:color rgb="FF667085"/>
      <x:name val="Cambria"/>
    </x:font>
    <x:font>
      <x:b/>
      <x:sz val="12"/>
      <x:color rgb="FF20B8C8"/>
      <x:name val="Cambria"/>
    </x:font>
    <x:font>
      <x:sz val="11"/>
      <x:color rgb="FF17202A"/>
      <x:name val="Cambria"/>
    </x:font>
    <x:font>
      <x:b/>
      <x:sz val="18"/>
      <x:color rgb="FF163A5F"/>
      <x:name val="Cambria"/>
    </x:font>
    <x:font>
      <x:i/>
      <x:sz val="10"/>
      <x:color rgb="FF6B7785"/>
      <x:name val="Cambria"/>
    </x:font>
    <x:font>
      <x:b/>
      <x:sz val="18"/>
      <x:color rgb="FF163A5F"/>
      <x:name val="Calibri"/>
    </x:font>
    <x:font>
      <x:i/>
      <x:sz val="10"/>
      <x:color rgb="FF6B7785"/>
      <x:name val="Calibri"/>
    </x:font>
    <x:font>
      <x:b/>
      <x:sz val="20"/>
      <x:color rgb="FF1F2937"/>
      <x:name val="Cambria"/>
    </x:font>
    <x:font>
      <x:sz val="11"/>
      <x:color rgb="FF1F2937"/>
      <x:name val="Calibri"/>
    </x:font>
    <x:font>
      <x:b/>
      <x:sz val="11"/>
      <x:color rgb="FF1F2937"/>
      <x:name val="Cambria"/>
    </x:font>
    <x:font>
      <x:sz val="9"/>
      <x:color rgb="FF6B7280"/>
      <x:name val="Calibri"/>
    </x:font>
    <x:font>
      <x:b/>
      <x:sz val="10"/>
      <x:color rgb="FFFFFFFF"/>
      <x:name val="Calibri"/>
    </x:font>
    <x:font>
      <x:b/>
      <x:sz val="9"/>
      <x:color rgb="FF163A5F"/>
      <x:name val="Calibri"/>
    </x:font>
    <x:font>
      <x:sz val="9"/>
      <x:color rgb="FF1F2937"/>
      <x:name val="Calibri"/>
    </x:font>
  </x:fonts>
  <x:fills count="2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234B6F"/>
      </x:patternFill>
    </x:fill>
    <x:fill>
      <x:patternFill patternType="solid">
        <x:fgColor rgb="FFEAF3FA"/>
      </x:patternFill>
    </x:fill>
    <x:fill>
      <x:patternFill patternType="solid">
        <x:fgColor rgb="FFFDEDEC"/>
      </x:patternFill>
    </x:fill>
    <x:fill>
      <x:patternFill patternType="solid">
        <x:fgColor rgb="FFEAF6EE"/>
      </x:patternFill>
    </x:fill>
    <x:fill>
      <x:patternFill patternType="solid">
        <x:fgColor rgb="FFFFF6DD"/>
      </x:patternFill>
    </x:fill>
    <x:fill>
      <x:patternFill patternType="solid">
        <x:fgColor rgb="FFFFF2B2"/>
      </x:patternFill>
    </x:fill>
    <x:fill>
      <x:patternFill patternType="solid">
        <x:fgColor rgb="FFFFFDF0"/>
      </x:patternFill>
    </x:fill>
    <x:fill>
      <x:patternFill patternType="solid">
        <x:fgColor rgb="FF2F75B5"/>
      </x:patternFill>
    </x:fill>
    <x:fill>
      <x:patternFill patternType="solid">
        <x:fgColor rgb="FF2E9B5B"/>
      </x:patternFill>
    </x:fill>
    <x:fill>
      <x:patternFill patternType="solid">
        <x:fgColor rgb="FFE5A400"/>
      </x:patternFill>
    </x:fill>
    <x:fill>
      <x:patternFill patternType="solid">
        <x:fgColor rgb="FFD9534F"/>
      </x:patternFill>
    </x:fill>
    <x:fill>
      <x:patternFill patternType="solid">
        <x:fgColor rgb="FF20B8C8"/>
      </x:patternFill>
    </x:fill>
    <x:fill>
      <x:patternFill patternType="solid">
        <x:fgColor rgb="FF667085"/>
      </x:patternFill>
    </x:fill>
    <x:fill>
      <x:patternFill patternType="solid">
        <x:fgColor rgb="FFF5F7FA"/>
      </x:patternFill>
    </x:fill>
    <x:fill>
      <x:patternFill patternType="solid">
        <x:fgColor rgb="FF244F73"/>
      </x:patternFill>
    </x:fill>
    <x:fill>
      <x:patternFill patternType="solid">
        <x:fgColor rgb="FFDCE6F1"/>
      </x:patternFill>
    </x:fill>
    <x:fill>
      <x:patternFill patternType="solid">
        <x:fgColor rgb="FFF2F6FA"/>
      </x:patternFill>
    </x:fill>
  </x:fills>
  <x:borders count="14">
    <x:border diagonalUp="0" diagonalDown="0"/>
    <x:border diagonalUp="0" diagonalDown="0"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 diagonalUp="0" diagonalDown="0">
      <x:left style="medium">
        <x:color rgb="FF2F75B5"/>
      </x:left>
      <x:top style="medium">
        <x:color rgb="FF2F75B5"/>
      </x:top>
    </x:border>
    <x:border diagonalUp="0" diagonalDown="0">
      <x:left style="thin">
        <x:color rgb="FFD6DEE8"/>
      </x:left>
      <x:top style="thin">
        <x:color rgb="FFD6DEE8"/>
      </x:top>
      <x:bottom style="thin">
        <x:color rgb="FFD6DEE8"/>
      </x:bottom>
    </x:border>
    <x:border diagonalUp="0" diagonalDown="0">
      <x:bottom style="thin">
        <x:color rgb="FFD6DEE8"/>
      </x:bottom>
    </x:border>
    <x:border diagonalUp="0" diagonalDown="0">
      <x:right style="hair">
        <x:color rgb="FFD6DEE8"/>
      </x:right>
      <x:bottom style="hair">
        <x:color rgb="FFD6DEE8"/>
      </x:bottom>
    </x:border>
    <x:border diagonalUp="0" diagonalDown="0">
      <x:bottom style="hair">
        <x:color rgb="FFD6DEE8"/>
      </x:bottom>
    </x:border>
    <x:border diagonalUp="0" diagonalDown="0"/>
    <x:border diagonalUp="0" diagonalDown="0"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 diagonalUp="0" diagonalDown="0">
      <x:left style="medium">
        <x:color rgb="FF2F75B5"/>
      </x:left>
      <x:top style="medium">
        <x:color rgb="FF2F75B5"/>
      </x:top>
    </x:border>
    <x:border diagonalUp="0" diagonalDown="0">
      <x:left style="thin">
        <x:color rgb="FFD6DEE8"/>
      </x:left>
      <x:top style="thin">
        <x:color rgb="FFD6DEE8"/>
      </x:top>
      <x:bottom style="thin">
        <x:color rgb="FFD6DEE8"/>
      </x:bottom>
    </x:border>
    <x:border diagonalUp="0" diagonalDown="0">
      <x:bottom style="thin">
        <x:color rgb="FFD6DEE8"/>
      </x:bottom>
    </x:border>
    <x:border diagonalUp="0" diagonalDown="0">
      <x:right style="hair">
        <x:color rgb="FFD6DEE8"/>
      </x:right>
      <x:bottom style="hair">
        <x:color rgb="FFD6DEE8"/>
      </x:bottom>
    </x:border>
    <x:border diagonalUp="0" diagonalDown="0">
      <x:bottom style="hair">
        <x:color rgb="FFD6DEE8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7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323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1">
      <x:alignment horizontal="general" vertical="center" wrapText="0"/>
    </x:xf>
    <x:xf numFmtId="164" fontId="5" fillId="0" borderId="0" xfId="0" applyFont="1" applyBorder="1" applyAlignment="1">
      <x:alignment horizontal="general" vertical="center" wrapText="0"/>
    </x:xf>
    <x:xf numFmtId="164" fontId="6" fillId="0" borderId="0" xfId="20" applyFont="1" applyBorder="0" applyAlignment="0">
      <x:alignment horizontal="general" vertical="bottom" wrapText="0"/>
    </x:xf>
    <x:xf numFmtId="164" fontId="8" fillId="2" borderId="0" xfId="0" applyFont="1" applyBorder="1" applyAlignment="1">
      <x:alignment horizontal="left" vertical="center" wrapText="0"/>
    </x:xf>
    <x:xf numFmtId="164" fontId="9" fillId="0" borderId="0" xfId="0" applyFont="1" applyBorder="1" applyAlignment="1">
      <x:alignment horizontal="center" vertical="center" wrapText="0"/>
    </x:xf>
    <x:xf numFmtId="164" fontId="10" fillId="0" borderId="0" xfId="0" applyFont="1" applyBorder="1" applyAlignment="1">
      <x:alignment horizontal="center" vertical="center" wrapText="1"/>
    </x:xf>
    <x:xf numFmtId="164" fontId="11" fillId="3" borderId="1" xfId="0" applyFont="1" applyBorder="1" applyAlignment="1">
      <x:alignment horizontal="general" vertical="center" wrapText="0"/>
    </x:xf>
    <x:xf numFmtId="164" fontId="12" fillId="3" borderId="1" xfId="0" applyFont="1" applyBorder="1" applyAlignment="1">
      <x:alignment horizontal="general" vertical="center" wrapText="0"/>
    </x:xf>
    <x:xf numFmtId="164" fontId="13" fillId="3" borderId="1" xfId="0" applyFont="1" applyBorder="1" applyAlignment="1">
      <x:alignment horizontal="general" vertical="center" wrapText="0"/>
    </x:xf>
    <x:xf numFmtId="165" fontId="14" fillId="3" borderId="1" xfId="0" applyFont="1" applyBorder="1" applyAlignment="1">
      <x:alignment horizontal="general" vertical="center" wrapText="0"/>
    </x:xf>
    <x:xf numFmtId="165" fontId="15" fillId="3" borderId="1" xfId="0" applyFont="1" applyBorder="1" applyAlignment="1">
      <x:alignment horizontal="general" vertical="center" wrapText="0"/>
    </x:xf>
    <x:xf numFmtId="165" fontId="16" fillId="3" borderId="1" xfId="0" applyFont="1" applyBorder="1" applyAlignment="1">
      <x:alignment horizontal="general" vertical="center" wrapText="0"/>
    </x:xf>
    <x:xf numFmtId="164" fontId="17" fillId="3" borderId="1" xfId="0" applyFont="1" applyBorder="1" applyAlignment="1">
      <x:alignment horizontal="general" vertical="center" wrapText="0"/>
    </x:xf>
    <x:xf numFmtId="164" fontId="18" fillId="3" borderId="1" xfId="0" applyFont="1" applyBorder="1" applyAlignment="1">
      <x:alignment horizontal="general" vertical="center" wrapText="0"/>
    </x:xf>
    <x:xf numFmtId="164" fontId="8" fillId="4" borderId="0" xfId="0" applyFont="1" applyBorder="1" applyAlignment="1">
      <x:alignment horizontal="left" vertical="center" wrapText="0"/>
    </x:xf>
    <x:xf numFmtId="164" fontId="19" fillId="0" borderId="0" xfId="0" applyFont="1" applyBorder="0" applyAlignment="0">
      <x:alignment horizontal="general" vertical="bottom" wrapText="0"/>
    </x:xf>
    <x:xf numFmtId="164" fontId="20" fillId="0" borderId="0" xfId="0" applyFont="1" applyBorder="0" applyAlignment="0">
      <x:alignment horizontal="general" vertical="bottom" wrapText="0"/>
    </x:xf>
    <x:xf numFmtId="164" fontId="21" fillId="0" borderId="0" xfId="0" applyFont="1" applyBorder="1" applyAlignment="0">
      <x:alignment horizontal="general" vertical="bottom" wrapText="0"/>
    </x:xf>
    <x:xf numFmtId="164" fontId="22" fillId="5" borderId="2" xfId="0" applyFont="1" applyBorder="1" applyAlignment="1">
      <x:alignment horizontal="center" vertical="center" wrapText="1"/>
    </x:xf>
    <x:xf numFmtId="165" fontId="12" fillId="3" borderId="1" xfId="0" applyFont="1" applyBorder="1" applyAlignment="1">
      <x:alignment horizontal="general" vertical="center" wrapText="0"/>
    </x:xf>
    <x:xf numFmtId="166" fontId="13" fillId="3" borderId="1" xfId="0" applyFont="1" applyBorder="1" applyAlignment="1">
      <x:alignment horizontal="general" vertical="center" wrapText="0"/>
    </x:xf>
    <x:xf numFmtId="164" fontId="15" fillId="3" borderId="1" xfId="0" applyFont="1" applyBorder="1" applyAlignment="1">
      <x:alignment horizontal="general" vertical="center" wrapText="0"/>
    </x:xf>
    <x:xf numFmtId="164" fontId="8" fillId="4" borderId="0" xfId="0" applyFont="1" applyBorder="0" applyAlignment="0">
      <x:alignment horizontal="general" vertical="bottom" wrapText="0"/>
    </x:xf>
    <x:xf numFmtId="165" fontId="0" fillId="0" borderId="0" xfId="0" applyFont="0" applyBorder="0" applyAlignment="1">
      <x:alignment horizontal="right" vertical="bottom" wrapText="0"/>
    </x:xf>
    <x:xf numFmtId="164" fontId="8" fillId="4" borderId="0" xfId="0" applyFont="1" applyBorder="0" applyAlignment="1">
      <x:alignment horizontal="center" vertical="bottom" wrapText="0"/>
    </x:xf>
    <x:xf numFmtId="164" fontId="23" fillId="6" borderId="0" xfId="0" applyFont="1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4" fontId="8" fillId="4" borderId="0" xfId="0" applyFont="1" applyBorder="0" applyAlignment="1">
      <x:alignment horizontal="center" vertical="bottom" wrapText="1"/>
    </x:xf>
    <x:xf numFmtId="168" fontId="8" fillId="4" borderId="0" xfId="0" applyFont="1" applyBorder="0" applyAlignment="1">
      <x:alignment horizontal="center" vertical="bottom" wrapText="1"/>
    </x:xf>
    <x:xf numFmtId="165" fontId="8" fillId="4" borderId="0" xfId="0" applyFont="1" applyBorder="0" applyAlignment="1">
      <x:alignment horizontal="center" vertical="bottom" wrapText="1"/>
    </x:xf>
    <x:xf numFmtId="164" fontId="24" fillId="0" borderId="0" xfId="0" applyFont="1" applyBorder="0" applyAlignment="0">
      <x:alignment horizontal="general" vertical="bottom" wrapText="0"/>
    </x:xf>
    <x:xf numFmtId="169" fontId="0" fillId="0" borderId="0" xfId="0" applyFont="0" applyBorder="0" applyAlignment="0">
      <x:alignment horizontal="general" vertical="bottom" wrapText="0"/>
    </x:xf>
    <x:xf numFmtId="170" fontId="0" fillId="0" borderId="0" xfId="0" applyFont="0" applyBorder="0" applyAlignment="0">
      <x:alignment horizontal="general" vertical="bottom" wrapText="0"/>
    </x:xf>
    <x:xf numFmtId="164" fontId="25" fillId="7" borderId="0" xfId="0" applyFont="1" applyBorder="0" applyAlignment="0">
      <x:alignment horizontal="general" vertical="bottom" wrapText="0"/>
    </x:xf>
    <x:xf numFmtId="164" fontId="26" fillId="8" borderId="0" xfId="0" applyFont="1" applyBorder="0" applyAlignment="0">
      <x:alignment horizontal="general" vertical="bottom" wrapText="0"/>
    </x:xf>
    <x:xf numFmtId="169" fontId="12" fillId="3" borderId="1" xfId="0" applyFont="1" applyBorder="1" applyAlignment="1">
      <x:alignment horizontal="general" vertical="center" wrapText="0"/>
    </x:xf>
    <x:xf numFmtId="169" fontId="14" fillId="3" borderId="1" xfId="0" applyFont="1" applyBorder="1" applyAlignment="1">
      <x:alignment horizontal="general" vertical="center" wrapText="0"/>
    </x:xf>
    <x:xf numFmtId="169" fontId="17" fillId="3" borderId="1" xfId="0" applyFont="1" applyBorder="1" applyAlignment="1">
      <x:alignment horizontal="general" vertical="center" wrapText="0"/>
    </x:xf>
    <x:xf numFmtId="169" fontId="13" fillId="3" borderId="1" xfId="0" applyFont="1" applyBorder="1" applyAlignment="1">
      <x:alignment horizontal="general" vertical="center" wrapText="0"/>
    </x:xf>
    <x:xf numFmtId="169" fontId="0" fillId="5" borderId="0" xfId="0" applyFont="0" applyBorder="1" applyAlignment="0">
      <x:alignment horizontal="general" vertical="bottom" wrapText="0"/>
    </x:xf>
    <x:xf numFmtId="169" fontId="16" fillId="3" borderId="1" xfId="0" applyFont="1" applyBorder="1" applyAlignment="1">
      <x:alignment horizontal="general" vertical="center" wrapText="0"/>
    </x:xf>
    <x:xf numFmtId="169" fontId="15" fillId="3" borderId="1" xfId="0" applyFont="1" applyBorder="1" applyAlignment="1">
      <x:alignment horizontal="general" vertical="center" wrapText="0"/>
    </x:xf>
    <x:xf numFmtId="169" fontId="18" fillId="3" borderId="1" xfId="0" applyFont="1" applyBorder="1" applyAlignment="1">
      <x:alignment horizontal="general" vertical="center" wrapText="0"/>
    </x:xf>
    <x:xf numFmtId="164" fontId="30" fillId="9" borderId="0" xfId="0" applyFont="1" applyBorder="0" applyAlignment="1">
      <x:alignment horizontal="center" vertical="bottom" wrapText="0"/>
    </x:xf>
    <x:xf numFmtId="164" fontId="11" fillId="0" borderId="0" xfId="0" applyFont="1" applyBorder="1" applyAlignment="0">
      <x:alignment horizontal="general" vertical="bottom" wrapText="0"/>
    </x:xf>
    <x:xf numFmtId="164" fontId="31" fillId="3" borderId="3" xfId="0" applyFont="1" applyBorder="1" applyAlignment="0">
      <x:alignment horizontal="general" vertical="bottom" wrapText="0"/>
    </x:xf>
    <x:xf numFmtId="167" fontId="12" fillId="3" borderId="1" xfId="0" applyFont="1" applyBorder="1" applyAlignment="1">
      <x:alignment horizontal="general" vertical="center" wrapText="0"/>
    </x:xf>
    <x:xf numFmtId="167" fontId="15" fillId="3" borderId="1" xfId="0" applyFont="1" applyBorder="1" applyAlignment="1">
      <x:alignment horizontal="general" vertical="center" wrapText="0"/>
    </x:xf>
    <x:xf numFmtId="167" fontId="16" fillId="3" borderId="1" xfId="0" applyFont="1" applyBorder="1" applyAlignment="1">
      <x:alignment horizontal="general" vertical="center" wrapText="0"/>
    </x:xf>
    <x:xf numFmtId="171" fontId="17" fillId="3" borderId="1" xfId="0" applyFont="1" applyBorder="1" applyAlignment="1">
      <x:alignment horizontal="general" vertical="center" wrapText="0"/>
    </x:xf>
    <x:xf numFmtId="171" fontId="14" fillId="3" borderId="1" xfId="0" applyFont="1" applyBorder="1" applyAlignment="1">
      <x:alignment horizontal="general" vertical="center" wrapText="0"/>
    </x:xf>
    <x:xf numFmtId="164" fontId="32" fillId="8" borderId="0" xfId="0" applyFont="1" applyBorder="1" applyAlignment="1">
      <x:alignment horizontal="general" vertical="center" wrapText="1"/>
    </x:xf>
    <x:xf numFmtId="164" fontId="8" fillId="4" borderId="0" xfId="0" applyFont="1" applyBorder="1" applyAlignment="0">
      <x:alignment horizontal="general" vertical="bottom" wrapText="0"/>
    </x:xf>
    <x:xf numFmtId="164" fontId="0" fillId="0" borderId="4" xfId="0" applyFont="0" applyBorder="1" applyAlignment="0">
      <x:alignment horizontal="general" vertical="bottom" wrapText="0"/>
    </x:xf>
    <x:xf numFmtId="164" fontId="33" fillId="0" borderId="4" xfId="0" applyFont="1" applyBorder="1" applyAlignment="0">
      <x:alignment horizontal="general" vertical="bottom" wrapText="0"/>
    </x:xf>
    <x:xf numFmtId="171" fontId="0" fillId="0" borderId="4" xfId="0" applyFont="0" applyBorder="1" applyAlignment="0">
      <x:alignment horizontal="general" vertical="bottom" wrapText="0"/>
    </x:xf>
    <x:xf numFmtId="164" fontId="34" fillId="0" borderId="4" xfId="0" applyFont="1" applyBorder="1" applyAlignment="0">
      <x:alignment horizontal="general" vertical="bottom" wrapText="0"/>
    </x:xf>
    <x:xf numFmtId="172" fontId="0" fillId="0" borderId="4" xfId="0" applyFont="0" applyBorder="1" applyAlignment="0">
      <x:alignment horizontal="general" vertical="bottom" wrapText="0"/>
    </x:xf>
    <x:xf numFmtId="164" fontId="35" fillId="5" borderId="0" xfId="0" applyFont="1" applyBorder="1" applyAlignment="1">
      <x:alignment horizontal="general" vertical="top" wrapText="1"/>
    </x:xf>
    <x:xf numFmtId="164" fontId="30" fillId="9" borderId="0" xfId="0" applyFont="1" applyBorder="0" applyAlignment="0">
      <x:alignment horizontal="general" vertical="bottom" wrapText="0"/>
    </x:xf>
    <x:xf numFmtId="171" fontId="18" fillId="3" borderId="1" xfId="0" applyFont="1" applyBorder="1" applyAlignment="1">
      <x:alignment horizontal="general" vertical="center" wrapText="0"/>
    </x:xf>
    <x:xf numFmtId="172" fontId="0" fillId="0" borderId="0" xfId="0" applyFont="0" applyBorder="0" applyAlignment="0">
      <x:alignment horizontal="general" vertical="bottom" wrapText="0"/>
    </x:xf>
    <x:xf numFmtId="171" fontId="0" fillId="0" borderId="0" xfId="0" applyFont="0" applyBorder="0" applyAlignment="0">
      <x:alignment horizontal="general" vertical="bottom" wrapText="0"/>
    </x:xf>
    <x:xf numFmtId="164" fontId="36" fillId="0" borderId="0" xfId="0" applyFont="1" applyBorder="0" applyAlignment="0">
      <x:alignment horizontal="general" vertical="bottom" wrapText="0"/>
    </x:xf>
    <x:xf numFmtId="164" fontId="36" fillId="0" borderId="4" xfId="0" applyFont="1" applyBorder="1" applyAlignment="0">
      <x:alignment horizontal="general" vertical="bottom" wrapText="0"/>
    </x:xf>
    <x:xf numFmtId="171" fontId="12" fillId="3" borderId="1" xfId="0" applyFont="1" applyBorder="1" applyAlignment="1">
      <x:alignment horizontal="general" vertical="center" wrapText="0"/>
    </x:xf>
    <x:xf numFmtId="164" fontId="30" fillId="0" borderId="0" xfId="0" applyFont="1" applyBorder="0" applyAlignment="0">
      <x:alignment horizontal="general" vertical="bottom" wrapText="0"/>
    </x:xf>
    <x:xf numFmtId="173" fontId="8" fillId="4" borderId="0" xfId="0" applyFont="1" applyBorder="0" applyAlignment="1">
      <x:alignment horizontal="center" vertical="bottom" wrapText="0"/>
    </x:xf>
    <x:xf numFmtId="164" fontId="26" fillId="3" borderId="5" xfId="0" applyFont="1" applyBorder="1" applyAlignment="1">
      <x:alignment horizontal="center" vertical="bottom" wrapText="0"/>
    </x:xf>
    <x:xf numFmtId="164" fontId="0" fillId="3" borderId="5" xfId="0" applyFont="0" applyBorder="1" applyAlignment="0">
      <x:alignment horizontal="general" vertical="bottom" wrapText="0"/>
    </x:xf>
    <x:xf numFmtId="164" fontId="23" fillId="3" borderId="5" xfId="0" applyFont="1" applyBorder="1" applyAlignment="1">
      <x:alignment horizontal="center" vertical="bottom" wrapText="0"/>
    </x:xf>
    <x:xf numFmtId="164" fontId="25" fillId="3" borderId="5" xfId="0" applyFont="1" applyBorder="1" applyAlignment="1">
      <x:alignment horizontal="center" vertical="bottom" wrapText="0"/>
    </x:xf>
    <x:xf numFmtId="164" fontId="36" fillId="9" borderId="0" xfId="0" applyFont="1" applyBorder="0" applyAlignment="0">
      <x:alignment horizontal="general" vertical="bottom" wrapText="0"/>
    </x:xf>
    <x:xf numFmtId="164" fontId="37" fillId="0" borderId="5" xfId="0" applyFont="1" applyBorder="1" applyAlignment="1">
      <x:alignment horizontal="center" vertical="bottom" wrapText="0"/>
    </x:xf>
    <x:xf numFmtId="164" fontId="25" fillId="0" borderId="0" xfId="0" applyFont="1" applyBorder="0" applyAlignment="0">
      <x:alignment horizontal="general" vertical="bottom" wrapText="0"/>
    </x:xf>
    <x:xf numFmtId="164" fontId="26" fillId="0" borderId="0" xfId="0" applyFont="1" applyBorder="0" applyAlignment="0">
      <x:alignment horizontal="general" vertical="bottom" wrapText="0"/>
    </x:xf>
    <x:xf numFmtId="164" fontId="23" fillId="0" borderId="0" xfId="0" applyFont="1" applyBorder="0" applyAlignment="0">
      <x:alignment horizontal="general" vertical="bottom" wrapText="0"/>
    </x:xf>
    <x:xf numFmtId="164" fontId="0" fillId="8" borderId="0" xfId="0" applyFont="1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4" fontId="8" fillId="4" borderId="0" xfId="0" applyFont="1" applyBorder="0" applyAlignment="1">
      <x:alignment horizontal="center" vertical="center" wrapText="1"/>
    </x:xf>
    <x:xf numFmtId="164" fontId="0" fillId="10" borderId="6" xfId="0" applyFont="1" applyBorder="1" applyAlignment="1">
      <x:alignment horizontal="general" vertical="center" wrapText="0"/>
    </x:xf>
    <x:xf numFmtId="167" fontId="0" fillId="10" borderId="6" xfId="0" applyFont="0" applyBorder="1" applyAlignment="1">
      <x:alignment horizontal="general" vertical="center" wrapText="0"/>
    </x:xf>
    <x:xf numFmtId="172" fontId="0" fillId="10" borderId="6" xfId="0" applyFont="0" applyBorder="1" applyAlignment="1">
      <x:alignment horizontal="general" vertical="center" wrapText="0"/>
    </x:xf>
    <x:xf numFmtId="170" fontId="0" fillId="10" borderId="6" xfId="0" applyFont="0" applyBorder="1" applyAlignment="1">
      <x:alignment horizontal="general" vertical="center" wrapText="0"/>
    </x:xf>
    <x:xf numFmtId="171" fontId="0" fillId="10" borderId="6" xfId="0" applyFont="0" applyBorder="1" applyAlignment="1">
      <x:alignment horizontal="general" vertical="center" wrapText="0"/>
    </x:xf>
    <x:xf numFmtId="170" fontId="0" fillId="0" borderId="6" xfId="0" applyFont="0" applyBorder="1" applyAlignment="1">
      <x:alignment horizontal="general" vertical="center" wrapText="0"/>
    </x:xf>
    <x:xf numFmtId="164" fontId="0" fillId="0" borderId="6" xfId="0" applyFont="0" applyBorder="1" applyAlignment="1">
      <x:alignment horizontal="general" vertical="center" wrapText="0"/>
    </x:xf>
    <x:xf numFmtId="164" fontId="0" fillId="0" borderId="6" xfId="0" applyFont="1" applyBorder="1" applyAlignment="1">
      <x:alignment horizontal="general" vertical="center" wrapText="0"/>
    </x:xf>
    <x:xf numFmtId="164" fontId="20" fillId="0" borderId="4" xfId="0" applyFont="1" applyBorder="1" applyAlignment="0">
      <x:alignment horizontal="general" vertical="bottom" wrapText="0"/>
    </x:xf>
    <x:xf numFmtId="164" fontId="38" fillId="0" borderId="4" xfId="0" applyFont="1" applyBorder="1" applyAlignment="1">
      <x:alignment horizontal="center" vertical="bottom" wrapText="0"/>
    </x:xf>
    <x:xf numFmtId="164" fontId="39" fillId="0" borderId="0" xfId="0" applyFont="1" applyBorder="1" applyAlignment="1">
      <x:alignment horizontal="general" vertical="top" wrapText="1"/>
    </x:xf>
    <x:xf numFmtId="164" fontId="40" fillId="0" borderId="0" xfId="0" applyFont="1" applyBorder="0" applyAlignment="0">
      <x:alignment horizontal="general" vertical="bottom" wrapText="0"/>
    </x:xf>
    <x:xf numFmtId="164" fontId="41" fillId="0" borderId="0" xfId="0" applyFont="1" applyBorder="0" applyAlignment="1">
      <x:alignment horizontal="general" vertical="bottom" wrapText="1"/>
    </x:xf>
    <x:xf numFmtId="164" fontId="8" fillId="2" borderId="0" xfId="0" applyFont="1" applyBorder="0" applyAlignment="0">
      <x:alignment horizontal="general" vertical="bottom" wrapText="0"/>
    </x:xf>
    <x:xf numFmtId="164" fontId="8" fillId="11" borderId="0" xfId="0" applyFont="1" applyBorder="0" applyAlignment="0">
      <x:alignment horizontal="general" vertical="bottom" wrapText="0"/>
    </x:xf>
    <x:xf numFmtId="164" fontId="8" fillId="4" borderId="4" xfId="0" applyFont="1" applyBorder="1" applyAlignment="0">
      <x:alignment horizontal="general" vertical="bottom" wrapText="0"/>
    </x:xf>
    <x:xf numFmtId="164" fontId="8" fillId="12" borderId="0" xfId="0" applyFont="1" applyBorder="0" applyAlignment="0">
      <x:alignment horizontal="general" vertical="bottom" wrapText="0"/>
    </x:xf>
    <x:xf numFmtId="164" fontId="8" fillId="13" borderId="0" xfId="0" applyFont="1" applyBorder="0" applyAlignment="0">
      <x:alignment horizontal="general" vertical="bottom" wrapText="0"/>
    </x:xf>
    <x:xf numFmtId="164" fontId="8" fillId="14" borderId="0" xfId="0" applyFont="1" applyBorder="0" applyAlignment="0">
      <x:alignment horizontal="general" vertical="bottom" wrapText="0"/>
    </x:xf>
    <x:xf numFmtId="164" fontId="8" fillId="15" borderId="0" xfId="0" applyFont="1" applyBorder="0" applyAlignment="0">
      <x:alignment horizontal="general" vertical="bottom" wrapText="0"/>
    </x:xf>
    <x:xf numFmtId="164" fontId="8" fillId="16" borderId="0" xfId="0" applyFont="1" applyBorder="0" applyAlignment="0">
      <x:alignment horizontal="general" vertical="bottom" wrapText="0"/>
    </x:xf>
    <x:xf numFmtId="164" fontId="20" fillId="17" borderId="0" xfId="0" applyFont="1" applyBorder="0" applyAlignment="0">
      <x:alignment horizontal="general" vertical="bottom" wrapText="0"/>
    </x:xf>
    <x:xf numFmtId="164" fontId="0" fillId="0" borderId="7" xfId="0" applyNumberFormat="1" applyFont="1" applyFill="1" applyBorder="1" applyAlignment="1">
      <x:alignment horizontal="general" vertical="bottom" wrapText="0"/>
    </x:xf>
    <x:xf numFmtId="164" fontId="4" fillId="0" borderId="7" xfId="0" applyNumberFormat="1" applyFont="1" applyFill="1" applyBorder="1" applyAlignment="1">
      <x:alignment horizontal="general" vertical="center" wrapText="0"/>
    </x:xf>
    <x:xf numFmtId="164" fontId="5" fillId="0" borderId="7" xfId="0" applyNumberFormat="1" applyFont="1" applyFill="1" applyBorder="1" applyAlignment="1">
      <x:alignment horizontal="general" vertical="center" wrapText="0"/>
    </x:xf>
    <x:xf numFmtId="164" fontId="6" fillId="0" borderId="7" xfId="0" applyNumberFormat="1" applyFont="1" applyFill="1" applyBorder="1" applyAlignment="1">
      <x:alignment horizontal="general" vertical="bottom" wrapText="0"/>
    </x:xf>
    <x:xf numFmtId="164" fontId="8" fillId="2" borderId="7" xfId="0" applyNumberFormat="1" applyFont="1" applyFill="1" applyBorder="1" applyAlignment="1">
      <x:alignment horizontal="left" vertical="center" wrapText="0"/>
    </x:xf>
    <x:xf numFmtId="164" fontId="9" fillId="0" borderId="7" xfId="0" applyNumberFormat="1" applyFont="1" applyFill="1" applyBorder="1" applyAlignment="1">
      <x:alignment horizontal="center" vertical="center" wrapText="0"/>
    </x:xf>
    <x:xf numFmtId="164" fontId="10" fillId="0" borderId="7" xfId="0" applyNumberFormat="1" applyFont="1" applyFill="1" applyBorder="1" applyAlignment="1">
      <x:alignment horizontal="center" vertical="center" wrapText="1"/>
    </x:xf>
    <x:xf numFmtId="164" fontId="11" fillId="3" borderId="8" xfId="0" applyNumberFormat="1" applyFont="1" applyFill="1" applyBorder="1" applyAlignment="1">
      <x:alignment horizontal="general" vertical="center" wrapText="0"/>
    </x:xf>
    <x:xf numFmtId="164" fontId="12" fillId="3" borderId="8" xfId="0" applyNumberFormat="1" applyFont="1" applyFill="1" applyBorder="1" applyAlignment="1">
      <x:alignment horizontal="general" vertical="center" wrapText="0"/>
    </x:xf>
    <x:xf numFmtId="164" fontId="13" fillId="3" borderId="8" xfId="0" applyNumberFormat="1" applyFont="1" applyFill="1" applyBorder="1" applyAlignment="1">
      <x:alignment horizontal="general" vertical="center" wrapText="0"/>
    </x:xf>
    <x:xf numFmtId="165" fontId="14" fillId="3" borderId="8" xfId="0" applyNumberFormat="1" applyFont="1" applyFill="1" applyBorder="1" applyAlignment="1">
      <x:alignment horizontal="general" vertical="center" wrapText="0"/>
    </x:xf>
    <x:xf numFmtId="165" fontId="15" fillId="3" borderId="8" xfId="0" applyNumberFormat="1" applyFont="1" applyFill="1" applyBorder="1" applyAlignment="1">
      <x:alignment horizontal="general" vertical="center" wrapText="0"/>
    </x:xf>
    <x:xf numFmtId="165" fontId="16" fillId="3" borderId="8" xfId="0" applyNumberFormat="1" applyFont="1" applyFill="1" applyBorder="1" applyAlignment="1">
      <x:alignment horizontal="general" vertical="center" wrapText="0"/>
    </x:xf>
    <x:xf numFmtId="164" fontId="17" fillId="3" borderId="8" xfId="0" applyNumberFormat="1" applyFont="1" applyFill="1" applyBorder="1" applyAlignment="1">
      <x:alignment horizontal="general" vertical="center" wrapText="0"/>
    </x:xf>
    <x:xf numFmtId="164" fontId="18" fillId="3" borderId="8" xfId="0" applyNumberFormat="1" applyFont="1" applyFill="1" applyBorder="1" applyAlignment="1">
      <x:alignment horizontal="general" vertical="center" wrapText="0"/>
    </x:xf>
    <x:xf numFmtId="164" fontId="8" fillId="4" borderId="7" xfId="0" applyNumberFormat="1" applyFont="1" applyFill="1" applyBorder="1" applyAlignment="1">
      <x:alignment horizontal="left" vertical="center" wrapText="0"/>
    </x:xf>
    <x:xf numFmtId="164" fontId="19" fillId="0" borderId="7" xfId="0" applyNumberFormat="1" applyFont="1" applyFill="1" applyBorder="1" applyAlignment="1">
      <x:alignment horizontal="general" vertical="bottom" wrapText="0"/>
    </x:xf>
    <x:xf numFmtId="164" fontId="20" fillId="0" borderId="7" xfId="0" applyNumberFormat="1" applyFont="1" applyFill="1" applyBorder="1" applyAlignment="1">
      <x:alignment horizontal="general" vertical="bottom" wrapText="0"/>
    </x:xf>
    <x:xf numFmtId="164" fontId="21" fillId="0" borderId="7" xfId="0" applyNumberFormat="1" applyFont="1" applyFill="1" applyBorder="1" applyAlignment="1">
      <x:alignment horizontal="general" vertical="bottom" wrapText="0"/>
    </x:xf>
    <x:xf numFmtId="164" fontId="22" fillId="5" borderId="9" xfId="0" applyNumberFormat="1" applyFont="1" applyFill="1" applyBorder="1" applyAlignment="1">
      <x:alignment horizontal="center" vertical="center" wrapText="1"/>
    </x:xf>
    <x:xf numFmtId="165" fontId="12" fillId="3" borderId="8" xfId="0" applyNumberFormat="1" applyFont="1" applyFill="1" applyBorder="1" applyAlignment="1">
      <x:alignment horizontal="general" vertical="center" wrapText="0"/>
    </x:xf>
    <x:xf numFmtId="166" fontId="13" fillId="3" borderId="8" xfId="0" applyNumberFormat="1" applyFont="1" applyFill="1" applyBorder="1" applyAlignment="1">
      <x:alignment horizontal="general" vertical="center" wrapText="0"/>
    </x:xf>
    <x:xf numFmtId="164" fontId="15" fillId="3" borderId="8" xfId="0" applyNumberFormat="1" applyFont="1" applyFill="1" applyBorder="1" applyAlignment="1">
      <x:alignment horizontal="general" vertical="center" wrapText="0"/>
    </x:xf>
    <x:xf numFmtId="164" fontId="8" fillId="4" borderId="7" xfId="0" applyNumberFormat="1" applyFont="1" applyFill="1" applyBorder="1" applyAlignment="1">
      <x:alignment horizontal="general" vertical="bottom" wrapText="0"/>
    </x:xf>
    <x:xf numFmtId="165" fontId="0" fillId="0" borderId="7" xfId="0" applyNumberFormat="1" applyFont="1" applyFill="1" applyBorder="1" applyAlignment="1">
      <x:alignment horizontal="right" vertical="bottom" wrapText="0"/>
    </x:xf>
    <x:xf numFmtId="164" fontId="8" fillId="4" borderId="7" xfId="0" applyNumberFormat="1" applyFont="1" applyFill="1" applyBorder="1" applyAlignment="1">
      <x:alignment horizontal="center" vertical="bottom" wrapText="0"/>
    </x:xf>
    <x:xf numFmtId="164" fontId="23" fillId="6" borderId="7" xfId="0" applyNumberFormat="1" applyFont="1" applyFill="1" applyBorder="1" applyAlignment="1">
      <x:alignment horizontal="general" vertical="bottom" wrapText="0"/>
    </x:xf>
    <x:xf numFmtId="167" fontId="0" fillId="0" borderId="7" xfId="0" applyNumberFormat="1" applyFont="1" applyFill="1" applyBorder="1" applyAlignment="1">
      <x:alignment horizontal="general" vertical="bottom" wrapText="0"/>
    </x:xf>
    <x:xf numFmtId="168" fontId="0" fillId="0" borderId="7" xfId="0" applyNumberFormat="1" applyFont="1" applyFill="1" applyBorder="1" applyAlignment="1">
      <x:alignment horizontal="general" vertical="bottom" wrapText="0"/>
    </x:xf>
    <x:xf numFmtId="165" fontId="0" fillId="0" borderId="7" xfId="0" applyNumberFormat="1" applyFont="1" applyFill="1" applyBorder="1" applyAlignment="1">
      <x:alignment horizontal="general" vertical="bottom" wrapText="0"/>
    </x:xf>
    <x:xf numFmtId="164" fontId="8" fillId="4" borderId="7" xfId="0" applyNumberFormat="1" applyFont="1" applyFill="1" applyBorder="1" applyAlignment="1">
      <x:alignment horizontal="center" vertical="bottom" wrapText="1"/>
    </x:xf>
    <x:xf numFmtId="168" fontId="8" fillId="4" borderId="7" xfId="0" applyNumberFormat="1" applyFont="1" applyFill="1" applyBorder="1" applyAlignment="1">
      <x:alignment horizontal="center" vertical="bottom" wrapText="1"/>
    </x:xf>
    <x:xf numFmtId="165" fontId="8" fillId="4" borderId="7" xfId="0" applyNumberFormat="1" applyFont="1" applyFill="1" applyBorder="1" applyAlignment="1">
      <x:alignment horizontal="center" vertical="bottom" wrapText="1"/>
    </x:xf>
    <x:xf numFmtId="164" fontId="24" fillId="0" borderId="7" xfId="0" applyNumberFormat="1" applyFont="1" applyFill="1" applyBorder="1" applyAlignment="1">
      <x:alignment horizontal="general" vertical="bottom" wrapText="0"/>
    </x:xf>
    <x:xf numFmtId="169" fontId="0" fillId="0" borderId="7" xfId="0" applyNumberFormat="1" applyFont="1" applyFill="1" applyBorder="1" applyAlignment="1">
      <x:alignment horizontal="general" vertical="bottom" wrapText="0"/>
    </x:xf>
    <x:xf numFmtId="170" fontId="0" fillId="0" borderId="7" xfId="0" applyNumberFormat="1" applyFont="1" applyFill="1" applyBorder="1" applyAlignment="1">
      <x:alignment horizontal="general" vertical="bottom" wrapText="0"/>
    </x:xf>
    <x:xf numFmtId="164" fontId="25" fillId="7" borderId="7" xfId="0" applyNumberFormat="1" applyFont="1" applyFill="1" applyBorder="1" applyAlignment="1">
      <x:alignment horizontal="general" vertical="bottom" wrapText="0"/>
    </x:xf>
    <x:xf numFmtId="164" fontId="26" fillId="8" borderId="7" xfId="0" applyNumberFormat="1" applyFont="1" applyFill="1" applyBorder="1" applyAlignment="1">
      <x:alignment horizontal="general" vertical="bottom" wrapText="0"/>
    </x:xf>
    <x:xf numFmtId="169" fontId="12" fillId="3" borderId="8" xfId="0" applyNumberFormat="1" applyFont="1" applyFill="1" applyBorder="1" applyAlignment="1">
      <x:alignment horizontal="general" vertical="center" wrapText="0"/>
    </x:xf>
    <x:xf numFmtId="169" fontId="14" fillId="3" borderId="8" xfId="0" applyNumberFormat="1" applyFont="1" applyFill="1" applyBorder="1" applyAlignment="1">
      <x:alignment horizontal="general" vertical="center" wrapText="0"/>
    </x:xf>
    <x:xf numFmtId="169" fontId="17" fillId="3" borderId="8" xfId="0" applyNumberFormat="1" applyFont="1" applyFill="1" applyBorder="1" applyAlignment="1">
      <x:alignment horizontal="general" vertical="center" wrapText="0"/>
    </x:xf>
    <x:xf numFmtId="169" fontId="13" fillId="3" borderId="8" xfId="0" applyNumberFormat="1" applyFont="1" applyFill="1" applyBorder="1" applyAlignment="1">
      <x:alignment horizontal="general" vertical="center" wrapText="0"/>
    </x:xf>
    <x:xf numFmtId="169" fontId="0" fillId="5" borderId="7" xfId="0" applyNumberFormat="1" applyFont="1" applyFill="1" applyBorder="1" applyAlignment="1">
      <x:alignment horizontal="general" vertical="bottom" wrapText="0"/>
    </x:xf>
    <x:xf numFmtId="169" fontId="16" fillId="3" borderId="8" xfId="0" applyNumberFormat="1" applyFont="1" applyFill="1" applyBorder="1" applyAlignment="1">
      <x:alignment horizontal="general" vertical="center" wrapText="0"/>
    </x:xf>
    <x:xf numFmtId="169" fontId="15" fillId="3" borderId="8" xfId="0" applyNumberFormat="1" applyFont="1" applyFill="1" applyBorder="1" applyAlignment="1">
      <x:alignment horizontal="general" vertical="center" wrapText="0"/>
    </x:xf>
    <x:xf numFmtId="169" fontId="18" fillId="3" borderId="8" xfId="0" applyNumberFormat="1" applyFont="1" applyFill="1" applyBorder="1" applyAlignment="1">
      <x:alignment horizontal="general" vertical="center" wrapText="0"/>
    </x:xf>
    <x:xf numFmtId="164" fontId="30" fillId="9" borderId="7" xfId="0" applyNumberFormat="1" applyFont="1" applyFill="1" applyBorder="1" applyAlignment="1">
      <x:alignment horizontal="center" vertical="bottom" wrapText="0"/>
    </x:xf>
    <x:xf numFmtId="164" fontId="11" fillId="0" borderId="7" xfId="0" applyNumberFormat="1" applyFont="1" applyFill="1" applyBorder="1" applyAlignment="1">
      <x:alignment horizontal="general" vertical="bottom" wrapText="0"/>
    </x:xf>
    <x:xf numFmtId="164" fontId="31" fillId="3" borderId="10" xfId="0" applyNumberFormat="1" applyFont="1" applyFill="1" applyBorder="1" applyAlignment="1">
      <x:alignment horizontal="general" vertical="bottom" wrapText="0"/>
    </x:xf>
    <x:xf numFmtId="167" fontId="12" fillId="3" borderId="8" xfId="0" applyNumberFormat="1" applyFont="1" applyFill="1" applyBorder="1" applyAlignment="1">
      <x:alignment horizontal="general" vertical="center" wrapText="0"/>
    </x:xf>
    <x:xf numFmtId="167" fontId="15" fillId="3" borderId="8" xfId="0" applyNumberFormat="1" applyFont="1" applyFill="1" applyBorder="1" applyAlignment="1">
      <x:alignment horizontal="general" vertical="center" wrapText="0"/>
    </x:xf>
    <x:xf numFmtId="167" fontId="16" fillId="3" borderId="8" xfId="0" applyNumberFormat="1" applyFont="1" applyFill="1" applyBorder="1" applyAlignment="1">
      <x:alignment horizontal="general" vertical="center" wrapText="0"/>
    </x:xf>
    <x:xf numFmtId="171" fontId="17" fillId="3" borderId="8" xfId="0" applyNumberFormat="1" applyFont="1" applyFill="1" applyBorder="1" applyAlignment="1">
      <x:alignment horizontal="general" vertical="center" wrapText="0"/>
    </x:xf>
    <x:xf numFmtId="171" fontId="14" fillId="3" borderId="8" xfId="0" applyNumberFormat="1" applyFont="1" applyFill="1" applyBorder="1" applyAlignment="1">
      <x:alignment horizontal="general" vertical="center" wrapText="0"/>
    </x:xf>
    <x:xf numFmtId="164" fontId="32" fillId="8" borderId="7" xfId="0" applyNumberFormat="1" applyFont="1" applyFill="1" applyBorder="1" applyAlignment="1">
      <x:alignment horizontal="general" vertical="center" wrapText="1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33" fillId="0" borderId="11" xfId="0" applyNumberFormat="1" applyFont="1" applyFill="1" applyBorder="1" applyAlignment="1">
      <x:alignment horizontal="general" vertical="bottom" wrapText="0"/>
    </x:xf>
    <x:xf numFmtId="171" fontId="0" fillId="0" borderId="11" xfId="0" applyNumberFormat="1" applyFont="1" applyFill="1" applyBorder="1" applyAlignment="1">
      <x:alignment horizontal="general" vertical="bottom" wrapText="0"/>
    </x:xf>
    <x:xf numFmtId="164" fontId="34" fillId="0" borderId="11" xfId="0" applyNumberFormat="1" applyFont="1" applyFill="1" applyBorder="1" applyAlignment="1">
      <x:alignment horizontal="general" vertical="bottom" wrapText="0"/>
    </x:xf>
    <x:xf numFmtId="172" fontId="0" fillId="0" borderId="11" xfId="0" applyNumberFormat="1" applyFont="1" applyFill="1" applyBorder="1" applyAlignment="1">
      <x:alignment horizontal="general" vertical="bottom" wrapText="0"/>
    </x:xf>
    <x:xf numFmtId="164" fontId="35" fillId="5" borderId="7" xfId="0" applyNumberFormat="1" applyFont="1" applyFill="1" applyBorder="1" applyAlignment="1">
      <x:alignment horizontal="general" vertical="top" wrapText="1"/>
    </x:xf>
    <x:xf numFmtId="164" fontId="30" fillId="9" borderId="7" xfId="0" applyNumberFormat="1" applyFont="1" applyFill="1" applyBorder="1" applyAlignment="1">
      <x:alignment horizontal="general" vertical="bottom" wrapText="0"/>
    </x:xf>
    <x:xf numFmtId="171" fontId="18" fillId="3" borderId="8" xfId="0" applyNumberFormat="1" applyFont="1" applyFill="1" applyBorder="1" applyAlignment="1">
      <x:alignment horizontal="general" vertical="center" wrapText="0"/>
    </x:xf>
    <x:xf numFmtId="172" fontId="0" fillId="0" borderId="7" xfId="0" applyNumberFormat="1" applyFont="1" applyFill="1" applyBorder="1" applyAlignment="1">
      <x:alignment horizontal="general" vertical="bottom" wrapText="0"/>
    </x:xf>
    <x:xf numFmtId="171" fontId="0" fillId="0" borderId="7" xfId="0" applyNumberFormat="1" applyFont="1" applyFill="1" applyBorder="1" applyAlignment="1">
      <x:alignment horizontal="general" vertical="bottom" wrapText="0"/>
    </x:xf>
    <x:xf numFmtId="164" fontId="36" fillId="0" borderId="7" xfId="0" applyNumberFormat="1" applyFont="1" applyFill="1" applyBorder="1" applyAlignment="1">
      <x:alignment horizontal="general" vertical="bottom" wrapText="0"/>
    </x:xf>
    <x:xf numFmtId="164" fontId="36" fillId="0" borderId="11" xfId="0" applyNumberFormat="1" applyFont="1" applyFill="1" applyBorder="1" applyAlignment="1">
      <x:alignment horizontal="general" vertical="bottom" wrapText="0"/>
    </x:xf>
    <x:xf numFmtId="171" fontId="12" fillId="3" borderId="8" xfId="0" applyNumberFormat="1" applyFont="1" applyFill="1" applyBorder="1" applyAlignment="1">
      <x:alignment horizontal="general" vertical="center" wrapText="0"/>
    </x:xf>
    <x:xf numFmtId="164" fontId="30" fillId="0" borderId="7" xfId="0" applyNumberFormat="1" applyFont="1" applyFill="1" applyBorder="1" applyAlignment="1">
      <x:alignment horizontal="general" vertical="bottom" wrapText="0"/>
    </x:xf>
    <x:xf numFmtId="173" fontId="8" fillId="4" borderId="7" xfId="0" applyNumberFormat="1" applyFont="1" applyFill="1" applyBorder="1" applyAlignment="1">
      <x:alignment horizontal="center" vertical="bottom" wrapText="0"/>
    </x:xf>
    <x:xf numFmtId="164" fontId="26" fillId="3" borderId="12" xfId="0" applyNumberFormat="1" applyFont="1" applyFill="1" applyBorder="1" applyAlignment="1">
      <x:alignment horizontal="center" vertical="bottom" wrapText="0"/>
    </x:xf>
    <x:xf numFmtId="164" fontId="0" fillId="3" borderId="12" xfId="0" applyNumberFormat="1" applyFont="1" applyFill="1" applyBorder="1" applyAlignment="1">
      <x:alignment horizontal="general" vertical="bottom" wrapText="0"/>
    </x:xf>
    <x:xf numFmtId="164" fontId="23" fillId="3" borderId="12" xfId="0" applyNumberFormat="1" applyFont="1" applyFill="1" applyBorder="1" applyAlignment="1">
      <x:alignment horizontal="center" vertical="bottom" wrapText="0"/>
    </x:xf>
    <x:xf numFmtId="164" fontId="25" fillId="3" borderId="12" xfId="0" applyNumberFormat="1" applyFont="1" applyFill="1" applyBorder="1" applyAlignment="1">
      <x:alignment horizontal="center" vertical="bottom" wrapText="0"/>
    </x:xf>
    <x:xf numFmtId="164" fontId="36" fillId="9" borderId="7" xfId="0" applyNumberFormat="1" applyFont="1" applyFill="1" applyBorder="1" applyAlignment="1">
      <x:alignment horizontal="general" vertical="bottom" wrapText="0"/>
    </x:xf>
    <x:xf numFmtId="164" fontId="37" fillId="0" borderId="12" xfId="0" applyNumberFormat="1" applyFont="1" applyFill="1" applyBorder="1" applyAlignment="1">
      <x:alignment horizontal="center" vertical="bottom" wrapText="0"/>
    </x:xf>
    <x:xf numFmtId="164" fontId="25" fillId="0" borderId="7" xfId="0" applyNumberFormat="1" applyFont="1" applyFill="1" applyBorder="1" applyAlignment="1">
      <x:alignment horizontal="general" vertical="bottom" wrapText="0"/>
    </x:xf>
    <x:xf numFmtId="164" fontId="26" fillId="0" borderId="7" xfId="0" applyNumberFormat="1" applyFont="1" applyFill="1" applyBorder="1" applyAlignment="1">
      <x:alignment horizontal="general" vertical="bottom" wrapText="0"/>
    </x:xf>
    <x:xf numFmtId="164" fontId="23" fillId="0" borderId="7" xfId="0" applyNumberFormat="1" applyFont="1" applyFill="1" applyBorder="1" applyAlignment="1">
      <x:alignment horizontal="general" vertical="bottom" wrapText="0"/>
    </x:xf>
    <x:xf numFmtId="164" fontId="0" fillId="8" borderId="7" xfId="0" applyNumberFormat="1" applyFont="1" applyFill="1" applyBorder="1" applyAlignment="1">
      <x:alignment horizontal="general" vertical="bottom" wrapText="0"/>
    </x:xf>
    <x:xf numFmtId="164" fontId="8" fillId="4" borderId="7" xfId="0" applyNumberFormat="1" applyFont="1" applyFill="1" applyBorder="1" applyAlignment="1">
      <x:alignment horizontal="center" vertical="center" wrapText="1"/>
    </x:xf>
    <x:xf numFmtId="164" fontId="0" fillId="10" borderId="13" xfId="0" applyNumberFormat="1" applyFont="1" applyFill="1" applyBorder="1" applyAlignment="1">
      <x:alignment horizontal="general" vertical="center" wrapText="0"/>
    </x:xf>
    <x:xf numFmtId="167" fontId="0" fillId="10" borderId="13" xfId="0" applyNumberFormat="1" applyFont="1" applyFill="1" applyBorder="1" applyAlignment="1">
      <x:alignment horizontal="general" vertical="center" wrapText="0"/>
    </x:xf>
    <x:xf numFmtId="172" fontId="0" fillId="10" borderId="13" xfId="0" applyNumberFormat="1" applyFont="1" applyFill="1" applyBorder="1" applyAlignment="1">
      <x:alignment horizontal="general" vertical="center" wrapText="0"/>
    </x:xf>
    <x:xf numFmtId="170" fontId="0" fillId="10" borderId="13" xfId="0" applyNumberFormat="1" applyFont="1" applyFill="1" applyBorder="1" applyAlignment="1">
      <x:alignment horizontal="general" vertical="center" wrapText="0"/>
    </x:xf>
    <x:xf numFmtId="171" fontId="0" fillId="10" borderId="13" xfId="0" applyNumberFormat="1" applyFont="1" applyFill="1" applyBorder="1" applyAlignment="1">
      <x:alignment horizontal="general" vertical="center" wrapText="0"/>
    </x:xf>
    <x:xf numFmtId="170" fontId="0" fillId="0" borderId="13" xfId="0" applyNumberFormat="1" applyFont="1" applyFill="1" applyBorder="1" applyAlignment="1">
      <x:alignment horizontal="general" vertical="center" wrapText="0"/>
    </x:xf>
    <x:xf numFmtId="164" fontId="0" fillId="0" borderId="13" xfId="0" applyNumberFormat="1" applyFont="1" applyFill="1" applyBorder="1" applyAlignment="1">
      <x:alignment horizontal="general" vertical="center" wrapText="0"/>
    </x:xf>
    <x:xf numFmtId="164" fontId="20" fillId="0" borderId="11" xfId="0" applyNumberFormat="1" applyFont="1" applyFill="1" applyBorder="1" applyAlignment="1">
      <x:alignment horizontal="general" vertical="bottom" wrapText="0"/>
    </x:xf>
    <x:xf numFmtId="164" fontId="38" fillId="0" borderId="11" xfId="0" applyNumberFormat="1" applyFont="1" applyFill="1" applyBorder="1" applyAlignment="1">
      <x:alignment horizontal="center" vertical="bottom" wrapText="0"/>
    </x:xf>
    <x:xf numFmtId="164" fontId="39" fillId="0" borderId="7" xfId="0" applyNumberFormat="1" applyFont="1" applyFill="1" applyBorder="1" applyAlignment="1">
      <x:alignment horizontal="general" vertical="top" wrapText="1"/>
    </x:xf>
    <x:xf numFmtId="164" fontId="40" fillId="0" borderId="7" xfId="0" applyNumberFormat="1" applyFont="1" applyFill="1" applyBorder="1" applyAlignment="1">
      <x:alignment horizontal="general" vertical="bottom" wrapText="0"/>
    </x:xf>
    <x:xf numFmtId="164" fontId="41" fillId="0" borderId="7" xfId="0" applyNumberFormat="1" applyFont="1" applyFill="1" applyBorder="1" applyAlignment="1">
      <x:alignment horizontal="general" vertical="bottom" wrapText="1"/>
    </x:xf>
    <x:xf numFmtId="164" fontId="8" fillId="2" borderId="7" xfId="0" applyNumberFormat="1" applyFont="1" applyFill="1" applyBorder="1" applyAlignment="1">
      <x:alignment horizontal="general" vertical="bottom" wrapText="0"/>
    </x:xf>
    <x:xf numFmtId="164" fontId="8" fillId="11" borderId="7" xfId="0" applyNumberFormat="1" applyFont="1" applyFill="1" applyBorder="1" applyAlignment="1">
      <x:alignment horizontal="general" vertical="bottom" wrapText="0"/>
    </x:xf>
    <x:xf numFmtId="164" fontId="8" fillId="4" borderId="11" xfId="0" applyNumberFormat="1" applyFont="1" applyFill="1" applyBorder="1" applyAlignment="1">
      <x:alignment horizontal="general" vertical="bottom" wrapText="0"/>
    </x:xf>
    <x:xf numFmtId="164" fontId="8" fillId="12" borderId="7" xfId="0" applyNumberFormat="1" applyFont="1" applyFill="1" applyBorder="1" applyAlignment="1">
      <x:alignment horizontal="general" vertical="bottom" wrapText="0"/>
    </x:xf>
    <x:xf numFmtId="164" fontId="8" fillId="13" borderId="7" xfId="0" applyNumberFormat="1" applyFont="1" applyFill="1" applyBorder="1" applyAlignment="1">
      <x:alignment horizontal="general" vertical="bottom" wrapText="0"/>
    </x:xf>
    <x:xf numFmtId="164" fontId="8" fillId="14" borderId="7" xfId="0" applyNumberFormat="1" applyFont="1" applyFill="1" applyBorder="1" applyAlignment="1">
      <x:alignment horizontal="general" vertical="bottom" wrapText="0"/>
    </x:xf>
    <x:xf numFmtId="164" fontId="8" fillId="15" borderId="7" xfId="0" applyNumberFormat="1" applyFont="1" applyFill="1" applyBorder="1" applyAlignment="1">
      <x:alignment horizontal="general" vertical="bottom" wrapText="0"/>
    </x:xf>
    <x:xf numFmtId="164" fontId="8" fillId="16" borderId="7" xfId="0" applyNumberFormat="1" applyFont="1" applyFill="1" applyBorder="1" applyAlignment="1">
      <x:alignment horizontal="general" vertical="bottom" wrapText="0"/>
    </x:xf>
    <x:xf numFmtId="164" fontId="20" fillId="17" borderId="7" xfId="0" applyNumberFormat="1" applyFont="1" applyFill="1" applyBorder="1" applyAlignment="1">
      <x:alignment horizontal="general" vertical="bottom" wrapText="0"/>
    </x:xf>
    <x:xf numFmtId="164" fontId="42" fillId="0" borderId="0" xfId="0" applyNumberFormat="1" applyFont="1" applyFill="1" applyBorder="1" applyAlignment="1">
      <x:alignment horizontal="general" vertical="center" wrapText="0"/>
    </x:xf>
    <x:xf numFmtId="164" fontId="42" fillId="0" borderId="7" xfId="0" applyNumberFormat="1" applyFont="1" applyFill="1" applyBorder="1" applyAlignment="1">
      <x:alignment horizontal="general" vertical="center" wrapText="0"/>
    </x:xf>
    <x:xf numFmtId="164" fontId="43" fillId="0" borderId="0" xfId="0" applyNumberFormat="1" applyFont="1" applyFill="1" applyBorder="1" applyAlignment="1">
      <x:alignment horizontal="general" vertical="center" wrapText="0"/>
    </x:xf>
    <x:xf numFmtId="164" fontId="43" fillId="0" borderId="7" xfId="0" applyNumberFormat="1" applyFont="1" applyFill="1" applyBorder="1" applyAlignment="1">
      <x:alignment horizontal="general" vertical="center" wrapText="0"/>
    </x:xf>
    <x:xf numFmtId="164" fontId="44" fillId="0" borderId="0" xfId="0" applyNumberFormat="1" applyFont="1" applyFill="1" applyBorder="1" applyAlignment="1">
      <x:alignment horizontal="general" vertical="bottom" wrapText="0"/>
    </x:xf>
    <x:xf numFmtId="164" fontId="44" fillId="0" borderId="0" xfId="0" applyNumberFormat="1" applyFont="1" applyFill="1" applyBorder="1" applyAlignment="1">
      <x:alignment horizontal="general" vertical="center" wrapText="0"/>
    </x:xf>
    <x:xf numFmtId="164" fontId="44" fillId="0" borderId="7" xfId="0" applyNumberFormat="1" applyFont="1" applyFill="1" applyBorder="1" applyAlignment="1">
      <x:alignment horizontal="general" vertical="bottom" wrapText="0"/>
    </x:xf>
    <x:xf numFmtId="164" fontId="44" fillId="0" borderId="7" xfId="0" applyNumberFormat="1" applyFont="1" applyFill="1" applyBorder="1" applyAlignment="1">
      <x:alignment horizontal="general" vertical="center" wrapText="0"/>
    </x:xf>
    <x:xf numFmtId="164" fontId="45" fillId="0" borderId="0" xfId="0" applyNumberFormat="1" applyFont="1" applyFill="1" applyBorder="1" applyAlignment="1">
      <x:alignment horizontal="general" vertical="bottom" wrapText="0"/>
    </x:xf>
    <x:xf numFmtId="164" fontId="45" fillId="0" borderId="0" xfId="0" applyNumberFormat="1" applyFont="1" applyFill="1" applyBorder="1" applyAlignment="1">
      <x:alignment horizontal="general" vertical="center" wrapText="0"/>
    </x:xf>
    <x:xf numFmtId="164" fontId="45" fillId="0" borderId="7" xfId="0" applyNumberFormat="1" applyFont="1" applyFill="1" applyBorder="1" applyAlignment="1">
      <x:alignment horizontal="general" vertical="bottom" wrapText="0"/>
    </x:xf>
    <x:xf numFmtId="164" fontId="45" fillId="0" borderId="7" xfId="0" applyNumberFormat="1" applyFont="1" applyFill="1" applyBorder="1" applyAlignment="1">
      <x:alignment horizontal="general" vertical="center" wrapText="0"/>
    </x:xf>
    <x:xf numFmtId="165" fontId="46" fillId="3" borderId="1" xfId="0" applyNumberFormat="1" applyFont="1" applyFill="1" applyBorder="1" applyAlignment="1">
      <x:alignment horizontal="general" vertical="center" wrapText="0"/>
    </x:xf>
    <x:xf numFmtId="166" fontId="46" fillId="3" borderId="1" xfId="0" applyNumberFormat="1" applyFont="1" applyFill="1" applyBorder="1" applyAlignment="1">
      <x:alignment horizontal="general" vertical="center" wrapText="0"/>
    </x:xf>
    <x:xf numFmtId="164" fontId="46" fillId="3" borderId="1" xfId="0" applyNumberFormat="1" applyFont="1" applyFill="1" applyBorder="1" applyAlignment="1">
      <x:alignment horizontal="general" vertical="center" wrapText="0"/>
    </x:xf>
    <x:xf numFmtId="164" fontId="47" fillId="0" borderId="0" xfId="0" applyNumberFormat="1" applyFont="1" applyFill="1" applyBorder="1" applyAlignment="1">
      <x:alignment horizontal="general" vertical="bottom" wrapText="0"/>
    </x:xf>
    <x:xf numFmtId="164" fontId="48" fillId="4" borderId="0" xfId="0" applyNumberFormat="1" applyFont="1" applyFill="1" applyBorder="1" applyAlignment="1">
      <x:alignment horizontal="left" vertical="center" wrapText="0"/>
    </x:xf>
    <x:xf numFmtId="164" fontId="48" fillId="4" borderId="0" xfId="0" applyNumberFormat="1" applyFont="1" applyFill="1" applyBorder="1" applyAlignment="1">
      <x:alignment horizontal="general" vertical="bottom" wrapText="0"/>
    </x:xf>
    <x:xf numFmtId="165" fontId="47" fillId="0" borderId="0" xfId="0" applyNumberFormat="1" applyFont="1" applyFill="1" applyBorder="1" applyAlignment="1">
      <x:alignment horizontal="right" vertical="bottom" wrapText="0"/>
    </x:xf>
    <x:xf numFmtId="164" fontId="48" fillId="4" borderId="0" xfId="0" applyNumberFormat="1" applyFont="1" applyFill="1" applyBorder="1" applyAlignment="1">
      <x:alignment horizontal="center" vertical="bottom" wrapText="0"/>
    </x:xf>
    <x:xf numFmtId="164" fontId="48" fillId="6" borderId="0" xfId="0" applyNumberFormat="1" applyFont="1" applyFill="1" applyBorder="1" applyAlignment="1">
      <x:alignment horizontal="general" vertical="bottom" wrapText="0"/>
    </x:xf>
    <x:xf numFmtId="167" fontId="47" fillId="0" borderId="0" xfId="0" applyNumberFormat="1" applyFont="1" applyFill="1" applyBorder="1" applyAlignment="1">
      <x:alignment horizontal="general" vertical="bottom" wrapText="0"/>
    </x:xf>
    <x:xf numFmtId="168" fontId="47" fillId="0" borderId="0" xfId="0" applyNumberFormat="1" applyFont="1" applyFill="1" applyBorder="1" applyAlignment="1">
      <x:alignment horizontal="general" vertical="bottom" wrapText="0"/>
    </x:xf>
    <x:xf numFmtId="165" fontId="47" fillId="0" borderId="0" xfId="0" applyNumberFormat="1" applyFont="1" applyFill="1" applyBorder="1" applyAlignment="1">
      <x:alignment horizontal="general" vertical="bottom" wrapText="0"/>
    </x:xf>
    <x:xf numFmtId="165" fontId="46" fillId="3" borderId="8" xfId="0" applyNumberFormat="1" applyFont="1" applyFill="1" applyBorder="1" applyAlignment="1">
      <x:alignment horizontal="general" vertical="center" wrapText="0"/>
    </x:xf>
    <x:xf numFmtId="166" fontId="46" fillId="3" borderId="8" xfId="0" applyNumberFormat="1" applyFont="1" applyFill="1" applyBorder="1" applyAlignment="1">
      <x:alignment horizontal="general" vertical="center" wrapText="0"/>
    </x:xf>
    <x:xf numFmtId="164" fontId="46" fillId="3" borderId="8" xfId="0" applyNumberFormat="1" applyFont="1" applyFill="1" applyBorder="1" applyAlignment="1">
      <x:alignment horizontal="general" vertical="center" wrapText="0"/>
    </x:xf>
    <x:xf numFmtId="164" fontId="47" fillId="0" borderId="7" xfId="0" applyNumberFormat="1" applyFont="1" applyFill="1" applyBorder="1" applyAlignment="1">
      <x:alignment horizontal="general" vertical="bottom" wrapText="0"/>
    </x:xf>
    <x:xf numFmtId="164" fontId="48" fillId="4" borderId="7" xfId="0" applyNumberFormat="1" applyFont="1" applyFill="1" applyBorder="1" applyAlignment="1">
      <x:alignment horizontal="left" vertical="center" wrapText="0"/>
    </x:xf>
    <x:xf numFmtId="164" fontId="48" fillId="4" borderId="7" xfId="0" applyNumberFormat="1" applyFont="1" applyFill="1" applyBorder="1" applyAlignment="1">
      <x:alignment horizontal="general" vertical="bottom" wrapText="0"/>
    </x:xf>
    <x:xf numFmtId="165" fontId="47" fillId="0" borderId="7" xfId="0" applyNumberFormat="1" applyFont="1" applyFill="1" applyBorder="1" applyAlignment="1">
      <x:alignment horizontal="right" vertical="bottom" wrapText="0"/>
    </x:xf>
    <x:xf numFmtId="164" fontId="48" fillId="4" borderId="7" xfId="0" applyNumberFormat="1" applyFont="1" applyFill="1" applyBorder="1" applyAlignment="1">
      <x:alignment horizontal="center" vertical="bottom" wrapText="0"/>
    </x:xf>
    <x:xf numFmtId="164" fontId="48" fillId="6" borderId="7" xfId="0" applyNumberFormat="1" applyFont="1" applyFill="1" applyBorder="1" applyAlignment="1">
      <x:alignment horizontal="general" vertical="bottom" wrapText="0"/>
    </x:xf>
    <x:xf numFmtId="167" fontId="47" fillId="0" borderId="7" xfId="0" applyNumberFormat="1" applyFont="1" applyFill="1" applyBorder="1" applyAlignment="1">
      <x:alignment horizontal="general" vertical="bottom" wrapText="0"/>
    </x:xf>
    <x:xf numFmtId="168" fontId="47" fillId="0" borderId="7" xfId="0" applyNumberFormat="1" applyFont="1" applyFill="1" applyBorder="1" applyAlignment="1">
      <x:alignment horizontal="general" vertical="bottom" wrapText="0"/>
    </x:xf>
    <x:xf numFmtId="165" fontId="47" fillId="0" borderId="7" xfId="0" applyNumberFormat="1" applyFont="1" applyFill="1" applyBorder="1" applyAlignment="1">
      <x:alignment horizontal="general" vertical="bottom" wrapText="0"/>
    </x:xf>
    <x:xf numFmtId="200" fontId="47" fillId="0" borderId="0" xfId="0" applyNumberFormat="1" applyFont="1" applyFill="1" applyBorder="1" applyAlignment="1">
      <x:alignment horizontal="right" vertical="bottom" wrapText="0"/>
    </x:xf>
    <x:xf numFmtId="200" fontId="47" fillId="0" borderId="7" xfId="0" applyNumberFormat="1" applyFont="1" applyFill="1" applyBorder="1" applyAlignment="1">
      <x:alignment horizontal="right" vertical="bottom" wrapText="0"/>
    </x:xf>
    <x:xf numFmtId="200" fontId="47" fillId="0" borderId="0" xfId="0" applyNumberFormat="1" applyFont="1" applyFill="1" applyBorder="1" applyAlignment="1">
      <x:alignment horizontal="general" vertical="bottom" wrapText="0"/>
    </x:xf>
    <x:xf numFmtId="200" fontId="47" fillId="0" borderId="7" xfId="0" applyNumberFormat="1" applyFont="1" applyFill="1" applyBorder="1" applyAlignment="1">
      <x:alignment horizontal="general" vertical="bottom" wrapText="0"/>
    </x:xf>
    <x:xf numFmtId="200" fontId="8" fillId="4" borderId="0" xfId="0" applyNumberFormat="1" applyFont="1" applyFill="1" applyBorder="1" applyAlignment="1">
      <x:alignment horizontal="left" vertical="center" wrapText="0"/>
    </x:xf>
    <x:xf numFmtId="200" fontId="8" fillId="4" borderId="0" xfId="0" applyNumberFormat="1" applyFont="1" applyFill="1" applyBorder="1" applyAlignment="1">
      <x:alignment horizontal="center" vertical="bottom" wrapText="1"/>
    </x:xf>
    <x:xf numFmtId="200" fontId="8" fillId="4" borderId="7" xfId="0" applyNumberFormat="1" applyFont="1" applyFill="1" applyBorder="1" applyAlignment="1">
      <x:alignment horizontal="left" vertical="center" wrapText="0"/>
    </x:xf>
    <x:xf numFmtId="200" fontId="8" fillId="4" borderId="7" xfId="0" applyNumberFormat="1" applyFont="1" applyFill="1" applyBorder="1" applyAlignment="1">
      <x:alignment horizontal="center" vertical="bottom" wrapText="1"/>
    </x:xf>
    <x:xf numFmtId="201" fontId="47" fillId="0" borderId="0" xfId="0" applyNumberFormat="1" applyFont="1" applyFill="1" applyBorder="1" applyAlignment="1">
      <x:alignment horizontal="general" vertical="bottom" wrapText="0"/>
    </x:xf>
    <x:xf numFmtId="201" fontId="8" fillId="4" borderId="0" xfId="0" applyNumberFormat="1" applyFont="1" applyFill="1" applyBorder="1" applyAlignment="1">
      <x:alignment horizontal="left" vertical="center" wrapText="0"/>
    </x:xf>
    <x:xf numFmtId="201" fontId="8" fillId="4" borderId="0" xfId="0" applyNumberFormat="1" applyFont="1" applyFill="1" applyBorder="1" applyAlignment="1">
      <x:alignment horizontal="center" vertical="bottom" wrapText="1"/>
    </x:xf>
    <x:xf numFmtId="201" fontId="47" fillId="0" borderId="7" xfId="0" applyNumberFormat="1" applyFont="1" applyFill="1" applyBorder="1" applyAlignment="1">
      <x:alignment horizontal="general" vertical="bottom" wrapText="0"/>
    </x:xf>
    <x:xf numFmtId="201" fontId="8" fillId="4" borderId="7" xfId="0" applyNumberFormat="1" applyFont="1" applyFill="1" applyBorder="1" applyAlignment="1">
      <x:alignment horizontal="left" vertical="center" wrapText="0"/>
    </x:xf>
    <x:xf numFmtId="201" fontId="8" fillId="4" borderId="7" xfId="0" applyNumberFormat="1" applyFont="1" applyFill="1" applyBorder="1" applyAlignment="1">
      <x:alignment horizontal="center" vertical="bottom" wrapText="1"/>
    </x:xf>
    <x:xf numFmtId="169" fontId="0" fillId="0" borderId="0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7" xfId="0" applyNumberFormat="1" applyFont="1" applyFill="1" applyBorder="1" applyAlignment="1">
      <x:alignment horizontal="general" vertical="bottom" wrapText="0"/>
    </x:xf>
    <x:xf numFmtId="164" fontId="8" fillId="18" borderId="0" xfId="0" applyNumberFormat="1" applyFont="1" applyFill="1" applyBorder="1" applyAlignment="1">
      <x:alignment horizontal="center" vertical="bottom" wrapText="1"/>
    </x:xf>
    <x:xf numFmtId="173" fontId="8" fillId="18" borderId="0" xfId="0" applyNumberFormat="1" applyFont="1" applyFill="1" applyBorder="1" applyAlignment="1">
      <x:alignment horizontal="center" vertical="bottom" wrapText="0"/>
    </x:xf>
    <x:xf numFmtId="164" fontId="6" fillId="18" borderId="0" xfId="0" applyNumberFormat="1" applyFont="1" applyFill="1" applyBorder="1" applyAlignment="1">
      <x:alignment horizontal="center" vertical="bottom" wrapText="1"/>
    </x:xf>
    <x:xf numFmtId="173" fontId="6" fillId="18" borderId="0" xfId="0" applyNumberFormat="1" applyFont="1" applyFill="1" applyBorder="1" applyAlignment="1">
      <x:alignment horizontal="center" vertical="bottom" wrapText="0"/>
    </x:xf>
    <x:xf numFmtId="173" fontId="6" fillId="18" borderId="0" xfId="0" applyNumberFormat="1" applyFont="1" applyFill="1" applyBorder="1" applyAlignment="1">
      <x:alignment horizontal="center" vertical="bottom" wrapText="1"/>
    </x:xf>
    <x:xf numFmtId="164" fontId="6" fillId="18" borderId="0" xfId="0" applyNumberFormat="1" applyFont="1" applyFill="1" applyBorder="1" applyAlignment="1">
      <x:alignment horizontal="center" vertical="center" wrapText="1"/>
    </x:xf>
    <x:xf numFmtId="173" fontId="6" fillId="18" borderId="0" xfId="0" applyNumberFormat="1" applyFont="1" applyFill="1" applyBorder="1" applyAlignment="1">
      <x:alignment horizontal="center" vertical="center" wrapText="1"/>
    </x:xf>
    <x:xf numFmtId="164" fontId="8" fillId="18" borderId="7" xfId="0" applyNumberFormat="1" applyFont="1" applyFill="1" applyBorder="1" applyAlignment="1">
      <x:alignment horizontal="center" vertical="bottom" wrapText="1"/>
    </x:xf>
    <x:xf numFmtId="173" fontId="8" fillId="18" borderId="7" xfId="0" applyNumberFormat="1" applyFont="1" applyFill="1" applyBorder="1" applyAlignment="1">
      <x:alignment horizontal="center" vertical="bottom" wrapText="0"/>
    </x:xf>
    <x:xf numFmtId="164" fontId="6" fillId="18" borderId="7" xfId="0" applyNumberFormat="1" applyFont="1" applyFill="1" applyBorder="1" applyAlignment="1">
      <x:alignment horizontal="center" vertical="bottom" wrapText="1"/>
    </x:xf>
    <x:xf numFmtId="173" fontId="6" fillId="18" borderId="7" xfId="0" applyNumberFormat="1" applyFont="1" applyFill="1" applyBorder="1" applyAlignment="1">
      <x:alignment horizontal="center" vertical="bottom" wrapText="0"/>
    </x:xf>
    <x:xf numFmtId="173" fontId="6" fillId="18" borderId="7" xfId="0" applyNumberFormat="1" applyFont="1" applyFill="1" applyBorder="1" applyAlignment="1">
      <x:alignment horizontal="center" vertical="bottom" wrapText="1"/>
    </x:xf>
    <x:xf numFmtId="164" fontId="6" fillId="18" borderId="7" xfId="0" applyNumberFormat="1" applyFont="1" applyFill="1" applyBorder="1" applyAlignment="1">
      <x:alignment horizontal="center" vertical="center" wrapText="1"/>
    </x:xf>
    <x:xf numFmtId="173" fontId="6" fillId="18" borderId="7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general" vertical="bottom" wrapText="0"/>
    </x:xf>
    <x:xf numFmtId="202" fontId="0" fillId="0" borderId="7" xfId="0" applyNumberFormat="1" applyFont="1" applyFill="1" applyBorder="1" applyAlignment="1">
      <x:alignment horizontal="general" vertical="bottom" wrapText="0"/>
    </x:xf>
    <x:xf numFmtId="203" fontId="6" fillId="18" borderId="0" xfId="0" applyNumberFormat="1" applyFont="1" applyFill="1" applyBorder="1" applyAlignment="1">
      <x:alignment horizontal="center" vertical="center" wrapText="1"/>
    </x:xf>
    <x:xf numFmtId="203" fontId="6" fillId="18" borderId="7" xfId="0" applyNumberFormat="1" applyFont="1" applyFill="1" applyBorder="1" applyAlignment="1">
      <x:alignment horizontal="center" vertical="center" wrapText="1"/>
    </x:xf>
    <x:xf numFmtId="164" fontId="49" fillId="0" borderId="0" xfId="0" applyNumberFormat="1" applyFont="1" applyFill="1" applyBorder="1" applyAlignment="1">
      <x:alignment horizontal="general" vertical="bottom" wrapText="0"/>
    </x:xf>
    <x:xf numFmtId="164" fontId="49" fillId="0" borderId="7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0" fillId="0" borderId="7" xfId="0" applyNumberFormat="1" applyFont="1" applyFill="1" applyBorder="1" applyAlignment="1">
      <x:alignment horizontal="general" vertical="bottom" wrapText="0"/>
    </x:xf>
    <x:xf numFmtId="204" fontId="0" fillId="0" borderId="0" xfId="0" applyNumberFormat="1" applyFont="1" applyFill="1" applyBorder="1" applyAlignment="1">
      <x:alignment horizontal="general" vertical="bottom" wrapText="0"/>
    </x:xf>
    <x:xf numFmtId="204" fontId="0" fillId="0" borderId="7" xfId="0" applyNumberFormat="1" applyFont="1" applyFill="1" applyBorder="1" applyAlignment="1">
      <x:alignment horizontal="general" vertical="bottom" wrapText="0"/>
    </x:xf>
    <x:xf numFmtId="164" fontId="47" fillId="18" borderId="0" xfId="0" applyNumberFormat="1" applyFont="1" applyFill="1" applyBorder="1" applyAlignment="1">
      <x:alignment horizontal="general" vertical="bottom" wrapText="0"/>
    </x:xf>
    <x:xf numFmtId="164" fontId="50" fillId="18" borderId="0" xfId="0" applyNumberFormat="1" applyFont="1" applyFill="1" applyBorder="1" applyAlignment="1">
      <x:alignment horizontal="general" vertical="bottom" wrapText="0"/>
    </x:xf>
    <x:xf numFmtId="164" fontId="47" fillId="18" borderId="7" xfId="0" applyNumberFormat="1" applyFont="1" applyFill="1" applyBorder="1" applyAlignment="1">
      <x:alignment horizontal="general" vertical="bottom" wrapText="0"/>
    </x:xf>
    <x:xf numFmtId="164" fontId="50" fillId="18" borderId="7" xfId="0" applyNumberFormat="1" applyFont="1" applyFill="1" applyBorder="1" applyAlignment="1">
      <x:alignment horizontal="general" vertical="bottom" wrapText="0"/>
    </x:xf>
    <x:xf numFmtId="164" fontId="47" fillId="19" borderId="0" xfId="0" applyNumberFormat="1" applyFont="1" applyFill="1" applyBorder="1" applyAlignment="1">
      <x:alignment horizontal="general" vertical="bottom" wrapText="0"/>
    </x:xf>
    <x:xf numFmtId="164" fontId="51" fillId="19" borderId="0" xfId="0" applyNumberFormat="1" applyFont="1" applyFill="1" applyBorder="1" applyAlignment="1">
      <x:alignment horizontal="general" vertical="bottom" wrapText="0"/>
    </x:xf>
    <x:xf numFmtId="164" fontId="51" fillId="19" borderId="0" xfId="0" applyNumberFormat="1" applyFont="1" applyFill="1" applyBorder="1" applyAlignment="1">
      <x:alignment horizontal="center" vertical="bottom" wrapText="0"/>
    </x:xf>
    <x:xf numFmtId="164" fontId="47" fillId="19" borderId="7" xfId="0" applyNumberFormat="1" applyFont="1" applyFill="1" applyBorder="1" applyAlignment="1">
      <x:alignment horizontal="general" vertical="bottom" wrapText="0"/>
    </x:xf>
    <x:xf numFmtId="164" fontId="51" fillId="19" borderId="7" xfId="0" applyNumberFormat="1" applyFont="1" applyFill="1" applyBorder="1" applyAlignment="1">
      <x:alignment horizontal="general" vertical="bottom" wrapText="0"/>
    </x:xf>
    <x:xf numFmtId="164" fontId="51" fillId="19" borderId="7" xfId="0" applyNumberFormat="1" applyFont="1" applyFill="1" applyBorder="1" applyAlignment="1">
      <x:alignment horizontal="center" vertical="bottom" wrapText="0"/>
    </x:xf>
    <x:xf numFmtId="164" fontId="52" fillId="0" borderId="0" xfId="0" applyNumberFormat="1" applyFont="1" applyFill="1" applyBorder="1" applyAlignment="1">
      <x:alignment horizontal="general" vertical="bottom" wrapText="0"/>
    </x:xf>
    <x:xf numFmtId="164" fontId="52" fillId="0" borderId="7" xfId="0" applyNumberFormat="1" applyFont="1" applyFill="1" applyBorder="1" applyAlignment="1">
      <x:alignment horizontal="general" vertical="bottom" wrapText="0"/>
    </x:xf>
    <x:xf numFmtId="201" fontId="52" fillId="0" borderId="0" xfId="0" applyNumberFormat="1" applyFont="1" applyFill="1" applyBorder="1" applyAlignment="1">
      <x:alignment horizontal="general" vertical="bottom" wrapText="0"/>
    </x:xf>
    <x:xf numFmtId="201" fontId="52" fillId="0" borderId="7" xfId="0" applyNumberFormat="1" applyFont="1" applyFill="1" applyBorder="1" applyAlignment="1">
      <x:alignment horizontal="general" vertical="bottom" wrapText="0"/>
    </x:xf>
    <x:xf numFmtId="200" fontId="52" fillId="0" borderId="0" xfId="0" applyNumberFormat="1" applyFont="1" applyFill="1" applyBorder="1" applyAlignment="1">
      <x:alignment horizontal="general" vertical="bottom" wrapText="0"/>
    </x:xf>
    <x:xf numFmtId="200" fontId="52" fillId="0" borderId="7" xfId="0" applyNumberFormat="1" applyFont="1" applyFill="1" applyBorder="1" applyAlignment="1">
      <x:alignment horizontal="general" vertical="bottom" wrapText="0"/>
    </x:xf>
    <x:xf numFmtId="171" fontId="47" fillId="0" borderId="0" xfId="0" applyNumberFormat="1" applyFont="1" applyFill="1" applyBorder="1" applyAlignment="1">
      <x:alignment horizontal="general" vertical="bottom" wrapText="0"/>
    </x:xf>
    <x:xf numFmtId="171" fontId="47" fillId="0" borderId="7" xfId="0" applyNumberFormat="1" applyFont="1" applyFill="1" applyBorder="1" applyAlignment="1">
      <x:alignment horizontal="general" vertical="bottom" wrapText="0"/>
    </x:xf>
    <x:xf numFmtId="169" fontId="47" fillId="0" borderId="0" xfId="0" applyNumberFormat="1" applyFont="1" applyFill="1" applyBorder="1" applyAlignment="1">
      <x:alignment horizontal="general" vertical="bottom" wrapText="0"/>
    </x:xf>
    <x:xf numFmtId="169" fontId="47" fillId="0" borderId="7" xfId="0" applyNumberFormat="1" applyFont="1" applyFill="1" applyBorder="1" applyAlignment="1">
      <x:alignment horizontal="general" vertical="bottom" wrapText="0"/>
    </x:xf>
    <x:xf numFmtId="171" fontId="0" fillId="0" borderId="0" xfId="0" applyNumberFormat="1" applyFont="1" applyFill="1" applyBorder="1" applyAlignment="1">
      <x:alignment horizontal="general" vertical="bottom" wrapText="0"/>
    </x:xf>
    <x:xf numFmtId="171" fontId="38" fillId="0" borderId="4" xfId="0" applyNumberFormat="1" applyFont="1" applyFill="1" applyBorder="1" applyAlignment="1">
      <x:alignment horizontal="center" vertical="bottom" wrapText="0"/>
    </x:xf>
    <x:xf numFmtId="171" fontId="38" fillId="0" borderId="11" xfId="0" applyNumberFormat="1" applyFont="1" applyFill="1" applyBorder="1" applyAlignment="1">
      <x:alignment horizontal="center" vertical="bottom" wrapText="0"/>
    </x:xf>
    <x:xf numFmtId="164" fontId="20" fillId="0" borderId="4" xfId="0" applyNumberFormat="1" applyFont="1" applyFill="1" applyBorder="1" applyAlignment="1">
      <x:alignment horizontal="general" vertical="bottom" wrapText="0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42" fillId="20" borderId="0" xfId="0" applyNumberFormat="1" applyFont="1" applyFill="1" applyBorder="1" applyAlignment="1">
      <x:alignment horizontal="general" vertical="center" wrapText="0"/>
    </x:xf>
    <x:xf numFmtId="164" fontId="42" fillId="20" borderId="7" xfId="0" applyNumberFormat="1" applyFont="1" applyFill="1" applyBorder="1" applyAlignment="1">
      <x:alignment horizontal="general" vertical="center" wrapText="0"/>
    </x:xf>
    <x:xf numFmtId="164" fontId="44" fillId="20" borderId="0" xfId="0" applyNumberFormat="1" applyFont="1" applyFill="1" applyBorder="1" applyAlignment="1">
      <x:alignment horizontal="general" vertical="center" wrapText="0"/>
    </x:xf>
    <x:xf numFmtId="164" fontId="44" fillId="20" borderId="7" xfId="0" applyNumberFormat="1" applyFont="1" applyFill="1" applyBorder="1" applyAlignment="1">
      <x:alignment horizontal="general" vertical="center" wrapText="0"/>
    </x:xf>
    <x:xf numFmtId="164" fontId="36" fillId="18" borderId="0" xfId="0" applyNumberFormat="1" applyFont="1" applyFill="1" applyBorder="1" applyAlignment="1">
      <x:alignment horizontal="general" vertical="bottom" wrapText="0"/>
    </x:xf>
    <x:xf numFmtId="164" fontId="39" fillId="18" borderId="0" xfId="0" applyNumberFormat="1" applyFont="1" applyFill="1" applyBorder="1" applyAlignment="1">
      <x:alignment horizontal="general" vertical="top" wrapText="1"/>
    </x:xf>
    <x:xf numFmtId="164" fontId="8" fillId="18" borderId="0" xfId="0" applyNumberFormat="1" applyFont="1" applyFill="1" applyBorder="1" applyAlignment="1">
      <x:alignment horizontal="general" vertical="bottom" wrapText="0"/>
    </x:xf>
    <x:xf numFmtId="164" fontId="8" fillId="18" borderId="0" xfId="0" applyNumberFormat="1" applyFont="1" applyFill="1" applyBorder="1" applyAlignment="1">
      <x:alignment horizontal="general" vertical="top" wrapText="1"/>
    </x:xf>
    <x:xf numFmtId="164" fontId="36" fillId="18" borderId="7" xfId="0" applyNumberFormat="1" applyFont="1" applyFill="1" applyBorder="1" applyAlignment="1">
      <x:alignment horizontal="general" vertical="bottom" wrapText="0"/>
    </x:xf>
    <x:xf numFmtId="164" fontId="39" fillId="18" borderId="7" xfId="0" applyNumberFormat="1" applyFont="1" applyFill="1" applyBorder="1" applyAlignment="1">
      <x:alignment horizontal="general" vertical="top" wrapText="1"/>
    </x:xf>
    <x:xf numFmtId="164" fontId="8" fillId="18" borderId="7" xfId="0" applyNumberFormat="1" applyFont="1" applyFill="1" applyBorder="1" applyAlignment="1">
      <x:alignment horizontal="general" vertical="bottom" wrapText="0"/>
    </x:xf>
    <x:xf numFmtId="164" fontId="8" fillId="18" borderId="7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39" fillId="0" borderId="0" xfId="0" applyNumberFormat="1" applyFont="1" applyFill="1" applyBorder="1" applyAlignment="1">
      <x:alignment horizontal="general" vertical="top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*unknown*" xfId="20"/>
  </x:cellStyles>
  <x:dxfs count="59">
    <x:dxf>
      <x:fill>
        <x:patternFill>
          <x:bgColor rgb="FF234B6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2F75B5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EAF6EE"/>
        </x:patternFill>
      </x:fill>
    </x:dxf>
    <x:dxf>
      <x:fill>
        <x:patternFill>
          <x:bgColor rgb="FFFDEDEC"/>
        </x:patternFill>
      </x:fill>
    </x:dxf>
    <x:dxf>
      <x:fill>
        <x:patternFill>
          <x:bgColor rgb="FFFFF6DD"/>
        </x:patternFill>
      </x:fill>
    </x:dxf>
    <x:dxf>
      <x:fill>
        <x:patternFill>
          <x:bgColor rgb="FF2E9B5B"/>
        </x:patternFill>
      </x:fill>
    </x:dxf>
    <x:dxf>
      <x:fill>
        <x:patternFill>
          <x:bgColor rgb="FFD9534F"/>
        </x:patternFill>
      </x:fill>
    </x:dxf>
    <x:dxf>
      <x:fill>
        <x:patternFill>
          <x:bgColor rgb="FFE5A400"/>
        </x:patternFill>
      </x:fill>
    </x:dxf>
    <x:dxf>
      <x:fill>
        <x:patternFill>
          <x:bgColor rgb="FFFFFDF0"/>
        </x:patternFill>
      </x:fill>
    </x:dxf>
    <x:dxf>
      <x:fill>
        <x:patternFill>
          <x:bgColor rgb="FFEAF6EE"/>
        </x:patternFill>
      </x:fill>
    </x:dxf>
    <x:dxf>
      <x:fill>
        <x:patternFill>
          <x:bgColor rgb="FFFFF6DD"/>
        </x:patternFill>
      </x:fill>
    </x:dxf>
    <x:dxf>
      <x:fill>
        <x:patternFill>
          <x:bgColor rgb="FFFDEDEC"/>
        </x:patternFill>
      </x:fill>
    </x:dxf>
    <x:dxf>
      <x:fill>
        <x:patternFill>
          <x:bgColor rgb="FFEBF6ED"/>
        </x:patternFill>
      </x:fill>
    </x:dxf>
    <x:dxf>
      <x:fill>
        <x:patternFill>
          <x:bgColor rgb="FFECF6EC"/>
        </x:patternFill>
      </x:fill>
    </x:dxf>
    <x:dxf>
      <x:fill>
        <x:patternFill>
          <x:bgColor rgb="FFEDF6EB"/>
        </x:patternFill>
      </x:fill>
    </x:dxf>
    <x:dxf>
      <x:fill>
        <x:patternFill>
          <x:bgColor rgb="FFEDF6EC"/>
        </x:patternFill>
      </x:fill>
    </x:dxf>
    <x:dxf>
      <x:fill>
        <x:patternFill>
          <x:bgColor rgb="FFEEF6EB"/>
        </x:patternFill>
      </x:fill>
    </x:dxf>
    <x:dxf>
      <x:fill>
        <x:patternFill>
          <x:bgColor rgb="FFEFF6EA"/>
        </x:patternFill>
      </x:fill>
    </x:dxf>
    <x:dxf>
      <x:fill>
        <x:patternFill>
          <x:bgColor rgb="FFF0F6E9"/>
        </x:patternFill>
      </x:fill>
    </x:dxf>
    <x:dxf>
      <x:fill>
        <x:patternFill>
          <x:bgColor rgb="FFF1F6E8"/>
        </x:patternFill>
      </x:fill>
    </x:dxf>
    <x:dxf>
      <x:fill>
        <x:patternFill>
          <x:bgColor rgb="FFF2F6E7"/>
        </x:patternFill>
      </x:fill>
    </x:dxf>
    <x:dxf>
      <x:fill>
        <x:patternFill>
          <x:bgColor rgb="FFF3F6E7"/>
        </x:patternFill>
      </x:fill>
    </x:dxf>
    <x:dxf>
      <x:fill>
        <x:patternFill>
          <x:bgColor rgb="FFF4F6E6"/>
        </x:patternFill>
      </x:fill>
    </x:dxf>
    <x:dxf>
      <x:fill>
        <x:patternFill>
          <x:bgColor rgb="FFF5F6E5"/>
        </x:patternFill>
      </x:fill>
    </x:dxf>
    <x:dxf>
      <x:fill>
        <x:patternFill>
          <x:bgColor rgb="FFF6F6E4"/>
        </x:patternFill>
      </x:fill>
    </x:dxf>
    <x:dxf>
      <x:fill>
        <x:patternFill>
          <x:bgColor rgb="FFF7F6E3"/>
        </x:patternFill>
      </x:fill>
    </x:dxf>
    <x:dxf>
      <x:fill>
        <x:patternFill>
          <x:bgColor rgb="FFF8F6E2"/>
        </x:patternFill>
      </x:fill>
    </x:dxf>
    <x:dxf>
      <x:fill>
        <x:patternFill>
          <x:bgColor rgb="FFF8F6E3"/>
        </x:patternFill>
      </x:fill>
    </x:dxf>
    <x:dxf>
      <x:fill>
        <x:patternFill>
          <x:bgColor rgb="FFF9F6E2"/>
        </x:patternFill>
      </x:fill>
    </x:dxf>
    <x:dxf>
      <x:fill>
        <x:patternFill>
          <x:bgColor rgb="FFFAF6E1"/>
        </x:patternFill>
      </x:fill>
    </x:dxf>
    <x:dxf>
      <x:fill>
        <x:patternFill>
          <x:bgColor rgb="FFFBF6E0"/>
        </x:patternFill>
      </x:fill>
    </x:dxf>
    <x:dxf>
      <x:fill>
        <x:patternFill>
          <x:bgColor rgb="FFFCF6DF"/>
        </x:patternFill>
      </x:fill>
    </x:dxf>
    <x:dxf>
      <x:fill>
        <x:patternFill>
          <x:bgColor rgb="FFFDEDEB"/>
        </x:patternFill>
      </x:fill>
    </x:dxf>
    <x:dxf>
      <x:fill>
        <x:patternFill>
          <x:bgColor rgb="FFFDEEE9"/>
        </x:patternFill>
      </x:fill>
    </x:dxf>
    <x:dxf>
      <x:fill>
        <x:patternFill>
          <x:bgColor rgb="FFFDEEEA"/>
        </x:patternFill>
      </x:fill>
    </x:dxf>
    <x:dxf>
      <x:fill>
        <x:patternFill>
          <x:bgColor rgb="FFFDEEEB"/>
        </x:patternFill>
      </x:fill>
    </x:dxf>
    <x:dxf>
      <x:fill>
        <x:patternFill>
          <x:bgColor rgb="FFFDEFE8"/>
        </x:patternFill>
      </x:fill>
    </x:dxf>
    <x:dxf>
      <x:fill>
        <x:patternFill>
          <x:bgColor rgb="FFFDEFE9"/>
        </x:patternFill>
      </x:fill>
    </x:dxf>
    <x:dxf>
      <x:fill>
        <x:patternFill>
          <x:bgColor rgb="FFFDF0E6"/>
        </x:patternFill>
      </x:fill>
    </x:dxf>
    <x:dxf>
      <x:fill>
        <x:patternFill>
          <x:bgColor rgb="FFFDF0E7"/>
        </x:patternFill>
      </x:fill>
    </x:dxf>
    <x:dxf>
      <x:fill>
        <x:patternFill>
          <x:bgColor rgb="FFFDF1E5"/>
        </x:patternFill>
      </x:fill>
    </x:dxf>
    <x:dxf>
      <x:fill>
        <x:patternFill>
          <x:bgColor rgb="FFFDF1E6"/>
        </x:patternFill>
      </x:fill>
    </x:dxf>
    <x:dxf>
      <x:fill>
        <x:patternFill>
          <x:bgColor rgb="FFFDF6DE"/>
        </x:patternFill>
      </x:fill>
    </x:dxf>
    <x:dxf>
      <x:fill>
        <x:patternFill>
          <x:bgColor rgb="FFFDF6DF"/>
        </x:patternFill>
      </x:fill>
    </x:dxf>
    <x:dxf>
      <x:fill>
        <x:patternFill>
          <x:bgColor rgb="FFFEF1E4"/>
        </x:patternFill>
      </x:fill>
    </x:dxf>
    <x:dxf>
      <x:fill>
        <x:patternFill>
          <x:bgColor rgb="FFFEF1E5"/>
        </x:patternFill>
      </x:fill>
    </x:dxf>
    <x:dxf>
      <x:fill>
        <x:patternFill>
          <x:bgColor rgb="FFFEF2E3"/>
        </x:patternFill>
      </x:fill>
    </x:dxf>
    <x:dxf>
      <x:fill>
        <x:patternFill>
          <x:bgColor rgb="FFFEF2E4"/>
        </x:patternFill>
      </x:fill>
    </x:dxf>
    <x:dxf>
      <x:fill>
        <x:patternFill>
          <x:bgColor rgb="FFFEF3E1"/>
        </x:patternFill>
      </x:fill>
    </x:dxf>
    <x:dxf>
      <x:fill>
        <x:patternFill>
          <x:bgColor rgb="FFFEF3E2"/>
        </x:patternFill>
      </x:fill>
    </x:dxf>
    <x:dxf>
      <x:fill>
        <x:patternFill>
          <x:bgColor rgb="FFFEF4DF"/>
        </x:patternFill>
      </x:fill>
    </x:dxf>
    <x:dxf>
      <x:fill>
        <x:patternFill>
          <x:bgColor rgb="FFFEF4E0"/>
        </x:patternFill>
      </x:fill>
    </x:dxf>
    <x:dxf>
      <x:fill>
        <x:patternFill>
          <x:bgColor rgb="FFFEF4E1"/>
        </x:patternFill>
      </x:fill>
    </x:dxf>
    <x:dxf>
      <x:fill>
        <x:patternFill>
          <x:bgColor rgb="FFFEF5DE"/>
        </x:patternFill>
      </x:fill>
    </x:dxf>
    <x:dxf>
      <x:fill>
        <x:patternFill>
          <x:bgColor rgb="FFFEF5DF"/>
        </x:patternFill>
      </x:fill>
    </x:dxf>
    <x:dxf>
      <x:fill>
        <x:patternFill>
          <x:bgColor rgb="FFFEF6D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A6A6"/>
      <x:rgbColor rgb="FFD9D9D9"/>
      <x:rgbColor rgb="FF878787"/>
      <x:rgbColor rgb="FF7657D9"/>
      <x:rgbColor rgb="FFBE4B48"/>
      <x:rgbColor rgb="FFFFF6DD"/>
      <x:rgbColor rgb="FFEAF6EE"/>
      <x:rgbColor rgb="FF660066"/>
      <x:rgbColor rgb="FFFF8080"/>
      <x:rgbColor rgb="FF4A7EBB"/>
      <x:rgbColor rgb="FFD6DEE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AF3FA"/>
      <x:rgbColor rgb="FFF5F7FA"/>
      <x:rgbColor rgb="FFFFF2B2"/>
      <x:rgbColor rgb="FFF9F9F9"/>
      <x:rgbColor rgb="FFFFFDF0"/>
      <x:rgbColor rgb="FFCC99FF"/>
      <x:rgbColor rgb="FFFDEDEC"/>
      <x:rgbColor rgb="FF2F75B5"/>
      <x:rgbColor rgb="FF20B8C8"/>
      <x:rgbColor rgb="FF9BBB59"/>
      <x:rgbColor rgb="FFFFCC00"/>
      <x:rgbColor rgb="FFE5A400"/>
      <x:rgbColor rgb="FFD9534F"/>
      <x:rgbColor rgb="FF667085"/>
      <x:rgbColor rgb="FF4F81BD"/>
      <x:rgbColor rgb="FF17324D"/>
      <x:rgbColor rgb="FF2E9B5B"/>
      <x:rgbColor rgb="FF003300"/>
      <x:rgbColor rgb="FF333300"/>
      <x:rgbColor rgb="FF993300"/>
      <x:rgbColor rgb="FFC0504D"/>
      <x:rgbColor rgb="FF234B6F"/>
      <x:rgbColor rgb="FF17202A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bcbbbb04941f7" /><Relationship Type="http://schemas.openxmlformats.org/officeDocument/2006/relationships/theme" Target="/xl/theme/theme1.xml" Id="Rd4d1412b07154da6" /><Relationship Type="http://schemas.openxmlformats.org/officeDocument/2006/relationships/sharedStrings" Target="/xl/sharedStrings.xml" Id="Rda4b84e0eaf842c5" /><Relationship Type="http://schemas.openxmlformats.org/officeDocument/2006/relationships/worksheet" Target="/xl/worksheets/sheet1.xml" Id="R2fb4dc1e9f8e40bc" /><Relationship Type="http://schemas.openxmlformats.org/officeDocument/2006/relationships/worksheet" Target="/xl/worksheets/sheet2.xml" Id="R211e6634f9d14732" /><Relationship Type="http://schemas.openxmlformats.org/officeDocument/2006/relationships/worksheet" Target="/xl/worksheets/sheet3.xml" Id="Rbd4e5233bbcf44e9" /><Relationship Type="http://schemas.openxmlformats.org/officeDocument/2006/relationships/worksheet" Target="/xl/worksheets/sheet4.xml" Id="R0725288da4384bc4" /><Relationship Type="http://schemas.openxmlformats.org/officeDocument/2006/relationships/worksheet" Target="/xl/worksheets/sheet5.xml" Id="R5774b0e0c9804512" /><Relationship Type="http://schemas.openxmlformats.org/officeDocument/2006/relationships/worksheet" Target="/xl/worksheets/sheet6.xml" Id="R06166021e8f94dda" /><Relationship Type="http://schemas.openxmlformats.org/officeDocument/2006/relationships/worksheet" Target="/xl/worksheets/sheet7.xml" Id="R4742f694839f4271" /><Relationship Type="http://schemas.openxmlformats.org/officeDocument/2006/relationships/worksheet" Target="/xl/worksheets/sheet8.xml" Id="R21f78678f7a84ad3" /><Relationship Type="http://schemas.openxmlformats.org/officeDocument/2006/relationships/worksheet" Target="/xl/worksheets/sheet9.xml" Id="Rc548e327b8a44f3c" /><Relationship Type="http://schemas.openxmlformats.org/officeDocument/2006/relationships/worksheet" Target="/xl/worksheets/sheet10.xml" Id="Ra0daa88ec6464b7a" /><Relationship Type="http://schemas.openxmlformats.org/officeDocument/2006/relationships/worksheet" Target="/xl/worksheets/sheet11.xml" Id="Rb239a61e1d86423c" /><Relationship Type="http://schemas.openxmlformats.org/officeDocument/2006/relationships/worksheet" Target="/xl/worksheets/sheet12.xml" Id="R6998899aac134bbf" /><Relationship Type="http://schemas.openxmlformats.org/officeDocument/2006/relationships/worksheet" Target="/xl/worksheets/sheet13.xml" Id="Rdad067ca902e47da" /><Relationship Type="http://schemas.openxmlformats.org/officeDocument/2006/relationships/worksheet" Target="/xl/worksheets/sheet14.xml" Id="R2cfbec97e50e4fa0" /><Relationship Type="http://schemas.openxmlformats.org/officeDocument/2006/relationships/worksheet" Target="/xl/worksheets/sheet15.xml" Id="R3c39896eba374b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9d526a45859420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4925cf936044417" /><Relationship Type="http://schemas.openxmlformats.org/officeDocument/2006/relationships/chart" Target="/xl/drawings/charts/chart1.xml" Id="Rd97353e59d9841dd" /><Relationship Type="http://schemas.openxmlformats.org/officeDocument/2006/relationships/chart" Target="/xl/drawings/charts/chart2.xml" Id="R1c20a4d9a0984dd6" /><Relationship Type="http://schemas.openxmlformats.org/officeDocument/2006/relationships/chart" Target="/xl/drawings/charts/chart3.xml" Id="R4e2ec0f3942249e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d2339b9cc5f140b3" /><Relationship Type="http://schemas.openxmlformats.org/officeDocument/2006/relationships/chart" Target="/xl/drawings/charts/chart4.xml" Id="R009d79ed13d541c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0f3af6d5f0ae448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33e51fb96a704c3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a8db38839193488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79b5b0ffa9bc4770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d41cc84e19504b9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f390af467fed4e47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de83d16a8b5847d4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dbd827a5266b478e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2.png" Id="Re72365a99d204b2d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3.png" Id="R435ae3351c7047dd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4.png" Id="R19f7e8f4b4ea4d9e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5.png" Id="Ra6cfd51862fc4f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Value by Function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Revenue ₹L</c:v>
          </c:tx>
          <c:cat>
            <c:strRef>
              <c:f>'01_Sponsor'!$A$13:$A$21</c:f>
              <c:strCache>
                <c:ptCount val="0"/>
              </c:strCache>
            </c:strRef>
          </c:cat>
          <c:val>
            <c:numRef>
              <c:f>'01_Sponsor'!$B$13:$B$21</c:f>
              <c:numCache>
                <c:formatCode>₹#,##0.0</c:formatCode>
                <c:ptCount val="0"/>
              </c:numCache>
            </c:numRef>
          </c:val>
        </c:ser>
        <c:ser>
          <c:idx val="1"/>
          <c:order val="1"/>
          <c:tx>
            <c:v>Profit ₹L</c:v>
          </c:tx>
          <c:cat>
            <c:strRef>
              <c:f>'01_Sponsor'!$A$13:$A$21</c:f>
              <c:strCache>
                <c:ptCount val="0"/>
              </c:strCache>
            </c:strRef>
          </c:cat>
          <c:val>
            <c:numRef>
              <c:f>'01_Sponsor'!$C$13:$C$21</c:f>
              <c:numCache>
                <c:formatCode>₹#,##0.0</c:formatCode>
                <c:ptCount val="0"/>
              </c:numCache>
            </c:numRef>
          </c:val>
        </c:ser>
        <c:ser>
          <c:idx val="2"/>
          <c:order val="2"/>
          <c:tx>
            <c:v>Pipeline ₹L</c:v>
          </c:tx>
          <c:cat>
            <c:strRef>
              <c:f>'01_Sponsor'!$A$13:$A$21</c:f>
              <c:strCache>
                <c:ptCount val="0"/>
              </c:strCache>
            </c:strRef>
          </c:cat>
          <c:val>
            <c:numRef>
              <c:f>'01_Sponsor'!$D$13:$D$21</c:f>
              <c:numCache>
                <c:formatCode>₹#,##0.0</c:formatCode>
                <c:ptCount val="0"/>
              </c:numCache>
            </c:numRef>
          </c:val>
        </c:ser>
        <c:gapWidth val="150"/>
        <c:overlap val="0"/>
        <c:axId val="8232867"/>
        <c:axId val="38626279"/>
      </c:barChart>
      <c:catAx>
        <c:axId val="82328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38626279"/>
        <c:crosses val="autoZero"/>
        <c:lblAlgn val="ctr"/>
        <c:lblOffset val="100"/>
        <c:noMultiLvlLbl val="0"/>
      </c:catAx>
      <c:valAx>
        <c:axId val="38626279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₹ L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u="none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\₹#,##0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8232867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Portfolio RAG Mix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doughnutChart>
        <c:ser>
          <c:idx val="0"/>
          <c:order val="0"/>
          <c:tx>
            <c:v>Projects</c:v>
          </c:tx>
          <c:cat>
            <c:strRef>
              <c:f>'01_Sponsor'!$P$13:$P$15</c:f>
              <c:strCache>
                <c:ptCount val="0"/>
              </c:strCache>
            </c:strRef>
          </c:cat>
          <c:val>
            <c:numRef>
              <c:f>'01_Sponsor'!$Q$13:$Q$15</c:f>
              <c:numCache>
                <c:formatCode>General</c:formatCode>
                <c:ptCount val="0"/>
              </c:numCache>
            </c:numRef>
          </c:val>
        </c:ser>
        <c:firstSliceAng val="0"/>
        <c:holeSize val="50"/>
      </c:doughnutChart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6-Month Value Timing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Revenue ₹L</c:v>
          </c:tx>
          <c:marker>
            <c:symbol val="none"/>
          </c:marker>
          <c:cat>
            <c:strRef>
              <c:f>'01_Sponsor'!$K$24:$K$29</c:f>
              <c:strCache>
                <c:ptCount val="0"/>
              </c:strCache>
            </c:strRef>
          </c:cat>
          <c:val>
            <c:numRef>
              <c:f>'01_Sponsor'!$L$24:$L$29</c:f>
              <c:numCache>
                <c:formatCode>₹#,##0.0</c:formatCode>
                <c:ptCount val="0"/>
              </c:numCache>
            </c:numRef>
          </c:val>
        </c:ser>
        <c:ser>
          <c:idx val="1"/>
          <c:order val="1"/>
          <c:tx>
            <c:v>Profit ₹L</c:v>
          </c:tx>
          <c:marker>
            <c:symbol val="none"/>
          </c:marker>
          <c:cat>
            <c:strRef>
              <c:f>'01_Sponsor'!$K$24:$K$29</c:f>
              <c:strCache>
                <c:ptCount val="0"/>
              </c:strCache>
            </c:strRef>
          </c:cat>
          <c:val>
            <c:numRef>
              <c:f>'01_Sponsor'!$M$24:$M$29</c:f>
              <c:numCache>
                <c:formatCode>₹#,##0.0</c:formatCode>
                <c:ptCount val="0"/>
              </c:numCache>
            </c:numRef>
          </c:val>
        </c:ser>
        <c:axId val="24540873"/>
        <c:axId val="55327933"/>
      </c:lineChart>
      <c:catAx>
        <c:axId val="2454087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5327933"/>
        <c:crosses val="autoZero"/>
        <c:lblAlgn val="ctr"/>
        <c:lblOffset val="100"/>
        <c:noMultiLvlLbl val="0"/>
      </c:catAx>
      <c:valAx>
        <c:axId val="55327933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₹ L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u="none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\₹#,##0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4540873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Risk by Function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02_Program_Head!D21</c:f>
              <c:strCache>
                <c:ptCount val="1"/>
                <c:pt idx="0">
                  <c:v>Avg Risk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02_Program_Head!$A$22:$A$31</c:f>
              <c:strCache>
                <c:ptCount val="10"/>
                <c:pt idx="0">
                  <c:v>Corporate</c:v>
                </c:pt>
                <c:pt idx="1">
                  <c:v>Digital</c:v>
                </c:pt>
                <c:pt idx="2">
                  <c:v>ESG</c:v>
                </c:pt>
                <c:pt idx="3">
                  <c:v>Infrastructure</c:v>
                </c:pt>
                <c:pt idx="4">
                  <c:v>Manufacturing</c:v>
                </c:pt>
                <c:pt idx="5">
                  <c:v>Product</c:v>
                </c:pt>
                <c:pt idx="6">
                  <c:v>Quality</c:v>
                </c:pt>
                <c:pt idx="7">
                  <c:v>Sales</c:v>
                </c:pt>
                <c:pt idx="8">
                  <c:v>Supply Chain</c:v>
                </c:pt>
                <c:pt idx="9">
                  <c:v>Technology</c:v>
                </c:pt>
              </c:strCache>
            </c:strRef>
          </c:cat>
          <c:val>
            <c:numRef>
              <c:f>02_Program_Head!$D$22:$D$31</c:f>
              <c:numCache>
                <c:formatCode>General</c:formatCode>
                <c:ptCount val="10"/>
                <c:pt idx="0">
                  <c:v>47.6</c:v>
                </c:pt>
                <c:pt idx="1">
                  <c:v>59.6666666666667</c:v>
                </c:pt>
                <c:pt idx="2">
                  <c:v>53</c:v>
                </c:pt>
                <c:pt idx="3">
                  <c:v>41.125</c:v>
                </c:pt>
                <c:pt idx="4">
                  <c:v>53.8666666666667</c:v>
                </c:pt>
                <c:pt idx="5">
                  <c:v>48.8</c:v>
                </c:pt>
                <c:pt idx="6">
                  <c:v>48.2727272727273</c:v>
                </c:pt>
                <c:pt idx="7">
                  <c:v>54.9166666666667</c:v>
                </c:pt>
                <c:pt idx="8">
                  <c:v>53.5</c:v>
                </c:pt>
                <c:pt idx="9">
                  <c:v>57.9166666666667</c:v>
                </c:pt>
              </c:numCache>
            </c:numRef>
          </c:val>
        </c:ser>
        <c:gapWidth val="150"/>
        <c:overlap val="0"/>
        <c:axId val="48775026"/>
        <c:axId val="74687747"/>
      </c:barChart>
      <c:catAx>
        <c:axId val="4877502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4687747"/>
        <c:crosses val="autoZero"/>
        <c:lblAlgn val="ctr"/>
        <c:lblOffset val="100"/>
        <c:noMultiLvlLbl val="0"/>
      </c:catAx>
      <c:valAx>
        <c:axId val="74687747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775026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oneCellAnchor>
    <xdr:from>
      <xdr:col>10</xdr:col>
      <xdr:colOff>0</xdr:colOff>
      <xdr:row>0</xdr:row>
      <xdr:rowOff>0</xdr:rowOff>
    </xdr:from>
    <xdr:ext cx="1143000" cy="342900"/>
    <xdr:pic>
      <xdr:nvPicPr>
        <xdr:cNvPr id="1" name="aa373e6f-fa4c-4223-98ea-45c3cebe36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d526a4585942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11</xdr:col>
      <xdr:colOff>591480</xdr:colOff>
      <xdr:row>21</xdr:row>
      <xdr:rowOff>157680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7353e59d9841dd"/>
        </a:graphicData>
      </a:graphic>
    </xdr:graphicFrame>
    <xdr:clientData/>
  </xdr:twoCellAnchor>
  <xdr:twoCellAnchor>
    <xdr:from>
      <xdr:col>15</xdr:col>
      <xdr:colOff>0</xdr:colOff>
      <xdr:row>11</xdr:row>
      <xdr:rowOff>0</xdr:rowOff>
    </xdr:from>
    <xdr:to>
      <xdr:col>18</xdr:col>
      <xdr:colOff>828000</xdr:colOff>
      <xdr:row>21</xdr:row>
      <xdr:rowOff>85320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20a4d9a0984dd6"/>
        </a:graphicData>
      </a:graphic>
    </xdr:graphicFrame>
    <xdr:clientData/>
  </xdr:twoCellAnchor>
  <xdr:twoCellAnchor>
    <xdr:from>
      <xdr:col>13</xdr:col>
      <xdr:colOff>0</xdr:colOff>
      <xdr:row>22</xdr:row>
      <xdr:rowOff>20880</xdr:rowOff>
    </xdr:from>
    <xdr:to>
      <xdr:col>18</xdr:col>
      <xdr:colOff>450720</xdr:colOff>
      <xdr:row>35</xdr:row>
      <xdr:rowOff>156960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2ec0f3942249e9"/>
        </a:graphicData>
      </a:graphic>
    </xdr:graphicFrame>
    <xdr:clientData/>
  </xdr:twoCellAnchor>
  <xdr:oneCellAnchor>
    <xdr:from>
      <xdr:col>15</xdr:col>
      <xdr:colOff>0</xdr:colOff>
      <xdr:row>0</xdr:row>
      <xdr:rowOff>0</xdr:rowOff>
    </xdr:from>
    <xdr:ext cx="1143000" cy="342900"/>
    <xdr:pic>
      <xdr:nvPicPr>
        <xdr:cNvPr id="4" name="5168ca94-d31c-4727-8ac9-43b4987d4c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925cf9360444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20</xdr:row>
      <xdr:rowOff>0</xdr:rowOff>
    </xdr:from>
    <xdr:to>
      <xdr:col>15</xdr:col>
      <xdr:colOff>12600</xdr:colOff>
      <xdr:row>33</xdr:row>
      <xdr:rowOff>43200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9d79ed13d541c9"/>
        </a:graphicData>
      </a:graphic>
    </xdr:graphicFrame>
    <xdr:clientData/>
  </xdr:twoCellAnchor>
  <xdr:oneCellAnchor>
    <xdr:from>
      <xdr:col>10</xdr:col>
      <xdr:colOff>0</xdr:colOff>
      <xdr:row>0</xdr:row>
      <xdr:rowOff>0</xdr:rowOff>
    </xdr:from>
    <xdr:ext cx="1143000" cy="342900"/>
    <xdr:pic>
      <xdr:nvPicPr>
        <xdr:cNvPr id="2" name="c7bbe586-62ad-436a-8bc1-d0bf6b962e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339b9cc5f140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0</xdr:colOff>
      <xdr:row>0</xdr:row>
      <xdr:rowOff>0</xdr:rowOff>
    </xdr:from>
    <xdr:ext cx="1143000" cy="342900"/>
    <xdr:pic>
      <xdr:nvPicPr>
        <xdr:cNvPr id="1" name="4613cdf7-cfc5-47d7-b27b-c68c61dec0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3af6d5f0ae44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11</xdr:col>
      <xdr:colOff>0</xdr:colOff>
      <xdr:row>0</xdr:row>
      <xdr:rowOff>0</xdr:rowOff>
    </xdr:from>
    <xdr:ext cx="1143000" cy="342900"/>
    <xdr:pic>
      <xdr:nvPicPr>
        <xdr:cNvPr id="1" name="a50e2bd2-23e0-4aab-9c3b-1f64611078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e51fb96a704c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0</xdr:colOff>
      <xdr:row>0</xdr:row>
      <xdr:rowOff>0</xdr:rowOff>
    </xdr:from>
    <xdr:ext cx="1143000" cy="342900"/>
    <xdr:pic>
      <xdr:nvPicPr>
        <xdr:cNvPr id="1" name="cd5d4806-0480-463c-b222-90e2938ed6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db3883919348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33</xdr:col>
      <xdr:colOff>0</xdr:colOff>
      <xdr:row>0</xdr:row>
      <xdr:rowOff>0</xdr:rowOff>
    </xdr:from>
    <xdr:ext cx="1143000" cy="342900"/>
    <xdr:pic>
      <xdr:nvPicPr>
        <xdr:cNvPr id="1" name="f137f2ec-b305-4b42-b901-7a12870ee0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b5b0ffa9bc47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11</xdr:col>
      <xdr:colOff>0</xdr:colOff>
      <xdr:row>0</xdr:row>
      <xdr:rowOff>0</xdr:rowOff>
    </xdr:from>
    <xdr:ext cx="1143000" cy="342900"/>
    <xdr:pic>
      <xdr:nvPicPr>
        <xdr:cNvPr id="1" name="aff85b92-7fc2-4e90-819e-b3427b45c2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1cc84e19504b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10</xdr:col>
      <xdr:colOff>0</xdr:colOff>
      <xdr:row>0</xdr:row>
      <xdr:rowOff>0</xdr:rowOff>
    </xdr:from>
    <xdr:ext cx="1143000" cy="342900"/>
    <xdr:pic>
      <xdr:nvPicPr>
        <xdr:cNvPr id="1" name="9f052fe0-db48-44fd-8257-59bb357f4c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90af467fed4e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10</xdr:col>
      <xdr:colOff>0</xdr:colOff>
      <xdr:row>0</xdr:row>
      <xdr:rowOff>0</xdr:rowOff>
    </xdr:from>
    <xdr:ext cx="1143000" cy="342900"/>
    <xdr:pic>
      <xdr:nvPicPr>
        <xdr:cNvPr id="1" name="bf1e5d69-0c78-456d-b5ab-9b1469d52c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83d16a8b5847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twoCellAnchor editAs="oneCell">
    <xdr:from>
      <xdr:col>24</xdr:col>
      <xdr:colOff>0</xdr:colOff>
      <xdr:row>0</xdr:row>
      <xdr:rowOff>0</xdr:rowOff>
    </xdr:from>
    <xdr:to>
      <xdr:col>24</xdr:col>
      <xdr:colOff>495000</xdr:colOff>
      <xdr:row>1</xdr:row>
      <xdr:rowOff>114120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d827a5266b47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2.xml><?xml version="1.0" encoding="utf-8"?>
<xdr:wsDr xmlns:xdr="http://schemas.openxmlformats.org/drawingml/2006/spreadsheetDrawing">
  <xdr:twoCellAnchor editAs="oneCell">
    <xdr:from>
      <xdr:col>14</xdr:col>
      <xdr:colOff>0</xdr:colOff>
      <xdr:row>0</xdr:row>
      <xdr:rowOff>0</xdr:rowOff>
    </xdr:from>
    <xdr:to>
      <xdr:col>14</xdr:col>
      <xdr:colOff>495000</xdr:colOff>
      <xdr:row>1</xdr:row>
      <xdr:rowOff>114120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2365a99d204b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3.xml><?xml version="1.0" encoding="utf-8"?>
<xdr:wsDr xmlns:xdr="http://schemas.openxmlformats.org/drawingml/2006/spreadsheetDrawing">
  <xdr:oneCellAnchor>
    <xdr:from>
      <xdr:col>10</xdr:col>
      <xdr:colOff>0</xdr:colOff>
      <xdr:row>0</xdr:row>
      <xdr:rowOff>0</xdr:rowOff>
    </xdr:from>
    <xdr:ext cx="1143000" cy="342900"/>
    <xdr:pic>
      <xdr:nvPicPr>
        <xdr:cNvPr id="1" name="450cb64d-b809-4478-95e8-e356e4c148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ae3351c7047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twoCellAnchor editAs="oneCell">
    <xdr:from>
      <xdr:col>4</xdr:col>
      <xdr:colOff>0</xdr:colOff>
      <xdr:row>0</xdr:row>
      <xdr:rowOff>0</xdr:rowOff>
    </xdr:from>
    <xdr:to>
      <xdr:col>4</xdr:col>
      <xdr:colOff>495000</xdr:colOff>
      <xdr:row>1</xdr:row>
      <xdr:rowOff>114120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f7e8f4b4ea4d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5.xml><?xml version="1.0" encoding="utf-8"?>
<xdr:wsDr xmlns:xdr="http://schemas.openxmlformats.org/drawingml/2006/spreadsheetDrawing">
  <xdr:twoCellAnchor editAs="oneCell">
    <xdr:from>
      <xdr:col>4</xdr:col>
      <xdr:colOff>0</xdr:colOff>
      <xdr:row>0</xdr:row>
      <xdr:rowOff>0</xdr:rowOff>
    </xdr:from>
    <xdr:to>
      <xdr:col>4</xdr:col>
      <xdr:colOff>495000</xdr:colOff>
      <xdr:row>1</xdr:row>
      <xdr:rowOff>114120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cfd51862fc4f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2" name="SponsorHeatmap" displayName="SponsorHeatmap" ref="A37:R137" headerRowCount="1" totalsRowCount="0" totalsRowShown="0">
  <x:autoFilter ref="A37:R137"/>
  <x:tableColumns count="18">
    <x:tableColumn id="1" name="ID"/>
    <x:tableColumn id="2" name="Project"/>
    <x:tableColumn id="3" name="Function"/>
    <x:tableColumn id="4" name="Revenue ₹L"/>
    <x:tableColumn id="5" name="Profit ₹L"/>
    <x:tableColumn id="6" name="Pipeline ₹L"/>
    <x:tableColumn id="7" name="Progress %"/>
    <x:tableColumn id="8" name="Risk"/>
    <x:tableColumn id="9" name="RAG"/>
    <x:tableColumn id="10" name="PM"/>
    <x:tableColumn id="11" name="Sponsor"/>
    <x:tableColumn id="12" name="Region"/>
    <x:tableColumn id="13" name="Resources"/>
    <x:tableColumn id="14" name="Util."/>
    <x:tableColumn id="15" name="Customer"/>
    <x:tableColumn id="16" name="Budget ₹L"/>
    <x:tableColumn id="17" name="Days Risk"/>
    <x:tableColumn id="18" name="Escalations"/>
  </x:tableColumns>
</x:table>
</file>

<file path=xl/tables/table2.xml><?xml version="1.0" encoding="utf-8"?>
<x:table xmlns:x="http://schemas.openxmlformats.org/spreadsheetml/2006/main" id="1" name="ProjectMaster" displayName="ProjectMaster" ref="A5:Y105" headerRowCount="1" totalsRowCount="0" totalsRowShown="0">
  <x:autoFilter ref="A5:Y105"/>
  <x:tableColumns count="25">
    <x:tableColumn id="1" name="Project ID"/>
    <x:tableColumn id="2" name="Project Name"/>
    <x:tableColumn id="3" name="Function"/>
    <x:tableColumn id="4" name="Program"/>
    <x:tableColumn id="5" name="Region"/>
    <x:tableColumn id="6" name="Sponsor"/>
    <x:tableColumn id="7" name="Project Manager"/>
    <x:tableColumn id="8" name="Budget ₹L"/>
    <x:tableColumn id="9" name="Start"/>
    <x:tableColumn id="10" name="Finish"/>
    <x:tableColumn id="11" name="Revenue ₹L"/>
    <x:tableColumn id="12" name="Profit ₹L"/>
    <x:tableColumn id="13" name="Pipeline ₹L"/>
    <x:tableColumn id="14" name="Resources"/>
    <x:tableColumn id="15" name="Utilization %"/>
    <x:tableColumn id="16" name="Risk Score"/>
    <x:tableColumn id="17" name="Customer Health"/>
    <x:tableColumn id="18" name="Strategic Type"/>
    <x:tableColumn id="19" name="Margin %"/>
    <x:tableColumn id="20" name="Progress %"/>
    <x:tableColumn id="21" name="Blocked Tasks"/>
    <x:tableColumn id="22" name="Open Escalations"/>
    <x:tableColumn id="23" name="Days Risk"/>
    <x:tableColumn id="24" name="Overall RAG"/>
    <x:tableColumn id="25" name="Data Check"/>
  </x:tableColumns>
</x:table>
</file>

<file path=xl/tables/table3.xml><?xml version="1.0" encoding="utf-8"?>
<x:table xmlns:x="http://schemas.openxmlformats.org/spreadsheetml/2006/main" id="3" name="TaskRegister" displayName="TaskRegister" ref="A5:R605" headerRowCount="1" totalsRowCount="0" totalsRowShown="0">
  <x:autoFilter ref="A5:R605"/>
  <x:tableColumns count="18">
    <x:tableColumn id="1" name="Project ID"/>
    <x:tableColumn id="2" name="Task ID"/>
    <x:tableColumn id="3" name="Task"/>
    <x:tableColumn id="4" name="Owner"/>
    <x:tableColumn id="5" name="Support"/>
    <x:tableColumn id="6" name="Priority"/>
    <x:tableColumn id="7" name="Start"/>
    <x:tableColumn id="8" name="Due"/>
    <x:tableColumn id="9" name="Progress %"/>
    <x:tableColumn id="10" name="Status"/>
    <x:tableColumn id="11" name="Blocker"/>
    <x:tableColumn id="12" name="Escalation"/>
    <x:tableColumn id="13" name="Hours Planned"/>
    <x:tableColumn id="14" name="Hours Used"/>
    <x:tableColumn id="15" name="Last Update"/>
    <x:tableColumn id="16" name="Task Key"/>
    <x:tableColumn id="17" name="Open Task Key"/>
    <x:tableColumn id="18" name="Owner Task Key"/>
  </x:tableColumns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1796c1cc6bca4943" /><Relationship Type="http://schemas.openxmlformats.org/officeDocument/2006/relationships/hyperlink" Target="../SYNERGY_PROJECT_CONTROL_TOWER_WORLD_CLASS_V2.xlsx" TargetMode="External" Id="Ra46e1043844141fb" /><Relationship Type="http://schemas.openxmlformats.org/officeDocument/2006/relationships/hyperlink" Target="../SYNERGY_PROJECT_CONTROL_TOWER_WORLD_CLASS_V2.xlsx" TargetMode="External" Id="R56cd4816cfdc4109" /><Relationship Type="http://schemas.openxmlformats.org/officeDocument/2006/relationships/hyperlink" Target="../SYNERGY_PROJECT_CONTROL_TOWER_WORLD_CLASS_V2.xlsx" TargetMode="External" Id="Rbacb9c6cabdd4e24" /><Relationship Type="http://schemas.openxmlformats.org/officeDocument/2006/relationships/hyperlink" Target="../SYNERGY_PROJECT_CONTROL_TOWER_WORLD_CLASS_V2.xlsx" TargetMode="External" Id="R98e9c0fb38aa484a" /><Relationship Type="http://schemas.openxmlformats.org/officeDocument/2006/relationships/hyperlink" Target="../SYNERGY_PROJECT_CONTROL_TOWER_WORLD_CLASS_V2.xlsx" TargetMode="External" Id="R4427b163dc3d4f48" /><Relationship Type="http://schemas.openxmlformats.org/officeDocument/2006/relationships/hyperlink" Target="../SYNERGY_PROJECT_CONTROL_TOWER_WORLD_CLASS_V2.xlsx" TargetMode="External" Id="Rf2813bf7c3934bb7" /><Relationship Type="http://schemas.openxmlformats.org/officeDocument/2006/relationships/hyperlink" Target="../SYNERGY_PROJECT_CONTROL_TOWER_WORLD_CLASS_V2.xlsx" TargetMode="External" Id="Rf1fa1cb519c544e2" /><Relationship Type="http://schemas.openxmlformats.org/officeDocument/2006/relationships/hyperlink" Target="../SYNERGY_PROJECT_CONTROL_TOWER_WORLD_CLASS_V2.xlsx" TargetMode="External" Id="R26f037e91bd74b65" /><Relationship Type="http://schemas.openxmlformats.org/officeDocument/2006/relationships/hyperlink" Target="../SYNERGY_PROJECT_CONTROL_TOWER_WORLD_CLASS_V2.xlsx" TargetMode="External" Id="R496183ab98834477" /><Relationship Type="http://schemas.openxmlformats.org/officeDocument/2006/relationships/hyperlink" Target="../SYNERGY_PROJECT_CONTROL_TOWER_WORLD_CLASS_V2.xlsx" TargetMode="External" Id="R00bc2057c2324c06" /><Relationship Type="http://schemas.openxmlformats.org/officeDocument/2006/relationships/hyperlink" Target="../SYNERGY_PROJECT_CONTROL_TOWER_WORLD_CLASS_V2.xlsx" TargetMode="External" Id="Rae7f44666ec241c8" /><Relationship Type="http://schemas.openxmlformats.org/officeDocument/2006/relationships/hyperlink" Target="../SYNERGY_PROJECT_CONTROL_TOWER_WORLD_CLASS_V2.xlsx" TargetMode="External" Id="R2dcda3449fb24fae" /><Relationship Type="http://schemas.openxmlformats.org/officeDocument/2006/relationships/drawing" Target="/xl/drawings/drawing1.xml" Id="R0be7a9953c3244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b3821024c17b4a0a" /><Relationship Type="http://schemas.openxmlformats.org/officeDocument/2006/relationships/hyperlink" Target="../SYNERGY_PROJECT_CONTROL_TOWER_WORLD_CLASS_V2.xlsx" TargetMode="External" Id="R46f3b2b310e94732" /><Relationship Type="http://schemas.openxmlformats.org/officeDocument/2006/relationships/hyperlink" Target="../SYNERGY_PROJECT_CONTROL_TOWER_WORLD_CLASS_V2.xlsx" TargetMode="External" Id="Ref2a321d810e48ca" /><Relationship Type="http://schemas.openxmlformats.org/officeDocument/2006/relationships/hyperlink" Target="../SYNERGY_PROJECT_CONTROL_TOWER_WORLD_CLASS_V2.xlsx" TargetMode="External" Id="R4cbf52d2787244ec" /><Relationship Type="http://schemas.openxmlformats.org/officeDocument/2006/relationships/hyperlink" Target="../SYNERGY_PROJECT_CONTROL_TOWER_WORLD_CLASS_V2.xlsx" TargetMode="External" Id="R4ed04e2738364092" /><Relationship Type="http://schemas.openxmlformats.org/officeDocument/2006/relationships/hyperlink" Target="../SYNERGY_PROJECT_CONTROL_TOWER_WORLD_CLASS_V2.xlsx" TargetMode="External" Id="Rde5b4643727c4f22" /><Relationship Type="http://schemas.openxmlformats.org/officeDocument/2006/relationships/hyperlink" Target="../SYNERGY_PROJECT_CONTROL_TOWER_WORLD_CLASS_V2.xlsx" TargetMode="External" Id="R31c4512db1194202" /><Relationship Type="http://schemas.openxmlformats.org/officeDocument/2006/relationships/hyperlink" Target="../SYNERGY_PROJECT_CONTROL_TOWER_WORLD_CLASS_V2.xlsx" TargetMode="External" Id="Ra4a110a7af3049e7" /><Relationship Type="http://schemas.openxmlformats.org/officeDocument/2006/relationships/hyperlink" Target="../SYNERGY_PROJECT_CONTROL_TOWER_WORLD_CLASS_V2.xlsx" TargetMode="External" Id="R5613610ae69e4a27" /><Relationship Type="http://schemas.openxmlformats.org/officeDocument/2006/relationships/hyperlink" Target="../SYNERGY_PROJECT_CONTROL_TOWER_WORLD_CLASS_V2.xlsx" TargetMode="External" Id="R2f3fa22af9b84108" /><Relationship Type="http://schemas.openxmlformats.org/officeDocument/2006/relationships/hyperlink" Target="../SYNERGY_PROJECT_CONTROL_TOWER_WORLD_CLASS_V2.xlsx" TargetMode="External" Id="Ra77001c4ed39490d" /><Relationship Type="http://schemas.openxmlformats.org/officeDocument/2006/relationships/hyperlink" Target="../SYNERGY_PROJECT_CONTROL_TOWER_WORLD_CLASS_V2.xlsx" TargetMode="External" Id="R414a2b98061640d2" /><Relationship Type="http://schemas.openxmlformats.org/officeDocument/2006/relationships/hyperlink" Target="../SYNERGY_PROJECT_CONTROL_TOWER_WORLD_CLASS_V2.xlsx" TargetMode="External" Id="Rf315cf1bd20e4a80" /><Relationship Type="http://schemas.openxmlformats.org/officeDocument/2006/relationships/hyperlink" Target="../SYNERGY_PROJECT_CONTROL_TOWER_WORLD_CLASS_V2.xlsx" TargetMode="External" Id="Rcdb87e7aab4d4039" /><Relationship Type="http://schemas.openxmlformats.org/officeDocument/2006/relationships/hyperlink" Target="../SYNERGY_PROJECT_CONTROL_TOWER_WORLD_CLASS_V2.xlsx" TargetMode="External" Id="Rc5b3793c1ad34ce1" /><Relationship Type="http://schemas.openxmlformats.org/officeDocument/2006/relationships/hyperlink" Target="../SYNERGY_PROJECT_CONTROL_TOWER_WORLD_CLASS_V2.xlsx" TargetMode="External" Id="R522c509b51b34e89" /><Relationship Type="http://schemas.openxmlformats.org/officeDocument/2006/relationships/hyperlink" Target="../SYNERGY_PROJECT_CONTROL_TOWER_WORLD_CLASS_V2.xlsx" TargetMode="External" Id="Reaa42935df4542fb" /><Relationship Type="http://schemas.openxmlformats.org/officeDocument/2006/relationships/hyperlink" Target="../SYNERGY_PROJECT_CONTROL_TOWER_WORLD_CLASS_V2.xlsx" TargetMode="External" Id="Rf3584d4ad3644a42" /><Relationship Type="http://schemas.openxmlformats.org/officeDocument/2006/relationships/hyperlink" Target="../SYNERGY_PROJECT_CONTROL_TOWER_WORLD_CLASS_V2.xlsx" TargetMode="External" Id="R6f98d2c39a014293" /><Relationship Type="http://schemas.openxmlformats.org/officeDocument/2006/relationships/hyperlink" Target="../SYNERGY_PROJECT_CONTROL_TOWER_WORLD_CLASS_V2.xlsx" TargetMode="External" Id="R8c95a9b4df21426b" /><Relationship Type="http://schemas.openxmlformats.org/officeDocument/2006/relationships/hyperlink" Target="../SYNERGY_PROJECT_CONTROL_TOWER_WORLD_CLASS_V2.xlsx" TargetMode="External" Id="R7354eaccb60442cc" /><Relationship Type="http://schemas.openxmlformats.org/officeDocument/2006/relationships/hyperlink" Target="../SYNERGY_PROJECT_CONTROL_TOWER_WORLD_CLASS_V2.xlsx" TargetMode="External" Id="R1fc3d06cbde84dcc" /><Relationship Type="http://schemas.openxmlformats.org/officeDocument/2006/relationships/hyperlink" Target="../SYNERGY_PROJECT_CONTROL_TOWER_WORLD_CLASS_V2.xlsx" TargetMode="External" Id="R63f3517eafdb4759" /><Relationship Type="http://schemas.openxmlformats.org/officeDocument/2006/relationships/hyperlink" Target="../SYNERGY_PROJECT_CONTROL_TOWER_WORLD_CLASS_V2.xlsx" TargetMode="External" Id="Rce57f4477038445b" /><Relationship Type="http://schemas.openxmlformats.org/officeDocument/2006/relationships/hyperlink" Target="../SYNERGY_PROJECT_CONTROL_TOWER_WORLD_CLASS_V2.xlsx" TargetMode="External" Id="R7526f741a12b412a" /><Relationship Type="http://schemas.openxmlformats.org/officeDocument/2006/relationships/hyperlink" Target="../SYNERGY_PROJECT_CONTROL_TOWER_WORLD_CLASS_V2.xlsx" TargetMode="External" Id="R052a67ba714b4960" /><Relationship Type="http://schemas.openxmlformats.org/officeDocument/2006/relationships/hyperlink" Target="../SYNERGY_PROJECT_CONTROL_TOWER_WORLD_CLASS_V2.xlsx" TargetMode="External" Id="Ra8e4b177bab44ab0" /><Relationship Type="http://schemas.openxmlformats.org/officeDocument/2006/relationships/hyperlink" Target="../SYNERGY_PROJECT_CONTROL_TOWER_WORLD_CLASS_V2.xlsx" TargetMode="External" Id="Rd3d9e6c773b24b73" /><Relationship Type="http://schemas.openxmlformats.org/officeDocument/2006/relationships/hyperlink" Target="../SYNERGY_PROJECT_CONTROL_TOWER_WORLD_CLASS_V2.xlsx" TargetMode="External" Id="R02378ea4c57b45d9" /><Relationship Type="http://schemas.openxmlformats.org/officeDocument/2006/relationships/hyperlink" Target="../SYNERGY_PROJECT_CONTROL_TOWER_WORLD_CLASS_V2.xlsx" TargetMode="External" Id="R6662017a0490465e" /><Relationship Type="http://schemas.openxmlformats.org/officeDocument/2006/relationships/hyperlink" Target="../SYNERGY_PROJECT_CONTROL_TOWER_WORLD_CLASS_V2.xlsx" TargetMode="External" Id="Rc873ac5dc74c48d3" /><Relationship Type="http://schemas.openxmlformats.org/officeDocument/2006/relationships/hyperlink" Target="../SYNERGY_PROJECT_CONTROL_TOWER_WORLD_CLASS_V2.xlsx" TargetMode="External" Id="R5116afd9feb84b91" /><Relationship Type="http://schemas.openxmlformats.org/officeDocument/2006/relationships/hyperlink" Target="../SYNERGY_PROJECT_CONTROL_TOWER_WORLD_CLASS_V2.xlsx" TargetMode="External" Id="R0c6360688b5b4545" /><Relationship Type="http://schemas.openxmlformats.org/officeDocument/2006/relationships/hyperlink" Target="../SYNERGY_PROJECT_CONTROL_TOWER_WORLD_CLASS_V2.xlsx" TargetMode="External" Id="Rddb31b99a0794e41" /><Relationship Type="http://schemas.openxmlformats.org/officeDocument/2006/relationships/hyperlink" Target="../SYNERGY_PROJECT_CONTROL_TOWER_WORLD_CLASS_V2.xlsx" TargetMode="External" Id="R02a7d3ecded14113" /><Relationship Type="http://schemas.openxmlformats.org/officeDocument/2006/relationships/hyperlink" Target="../SYNERGY_PROJECT_CONTROL_TOWER_WORLD_CLASS_V2.xlsx" TargetMode="External" Id="Rb44b3036373143fb" /><Relationship Type="http://schemas.openxmlformats.org/officeDocument/2006/relationships/hyperlink" Target="../SYNERGY_PROJECT_CONTROL_TOWER_WORLD_CLASS_V2.xlsx" TargetMode="External" Id="Rc12e4e1a28774e95" /><Relationship Type="http://schemas.openxmlformats.org/officeDocument/2006/relationships/hyperlink" Target="../SYNERGY_PROJECT_CONTROL_TOWER_WORLD_CLASS_V2.xlsx" TargetMode="External" Id="R812b0c191a774459" /><Relationship Type="http://schemas.openxmlformats.org/officeDocument/2006/relationships/hyperlink" Target="../SYNERGY_PROJECT_CONTROL_TOWER_WORLD_CLASS_V2.xlsx" TargetMode="External" Id="Rcee4cc2725c949b4" /><Relationship Type="http://schemas.openxmlformats.org/officeDocument/2006/relationships/hyperlink" Target="../SYNERGY_PROJECT_CONTROL_TOWER_WORLD_CLASS_V2.xlsx" TargetMode="External" Id="R2b1ac4bf1ec4457e" /><Relationship Type="http://schemas.openxmlformats.org/officeDocument/2006/relationships/hyperlink" Target="../SYNERGY_PROJECT_CONTROL_TOWER_WORLD_CLASS_V2.xlsx" TargetMode="External" Id="R4494416d61754cfd" /><Relationship Type="http://schemas.openxmlformats.org/officeDocument/2006/relationships/hyperlink" Target="../SYNERGY_PROJECT_CONTROL_TOWER_WORLD_CLASS_V2.xlsx" TargetMode="External" Id="Rfb50243369fa4748" /><Relationship Type="http://schemas.openxmlformats.org/officeDocument/2006/relationships/hyperlink" Target="../SYNERGY_PROJECT_CONTROL_TOWER_WORLD_CLASS_V2.xlsx" TargetMode="External" Id="R4bf169b5ec974711" /><Relationship Type="http://schemas.openxmlformats.org/officeDocument/2006/relationships/hyperlink" Target="../SYNERGY_PROJECT_CONTROL_TOWER_WORLD_CLASS_V2.xlsx" TargetMode="External" Id="R1f8bda9600c34a25" /><Relationship Type="http://schemas.openxmlformats.org/officeDocument/2006/relationships/hyperlink" Target="../SYNERGY_PROJECT_CONTROL_TOWER_WORLD_CLASS_V2.xlsx" TargetMode="External" Id="R8a5acddd798d4a87" /><Relationship Type="http://schemas.openxmlformats.org/officeDocument/2006/relationships/hyperlink" Target="../SYNERGY_PROJECT_CONTROL_TOWER_WORLD_CLASS_V2.xlsx" TargetMode="External" Id="R0234fdfcc55d4937" /><Relationship Type="http://schemas.openxmlformats.org/officeDocument/2006/relationships/hyperlink" Target="../SYNERGY_PROJECT_CONTROL_TOWER_WORLD_CLASS_V2.xlsx" TargetMode="External" Id="Rfff50f0319ba40ad" /><Relationship Type="http://schemas.openxmlformats.org/officeDocument/2006/relationships/hyperlink" Target="../SYNERGY_PROJECT_CONTROL_TOWER_WORLD_CLASS_V2.xlsx" TargetMode="External" Id="Rf71c17957d5d4d86" /><Relationship Type="http://schemas.openxmlformats.org/officeDocument/2006/relationships/hyperlink" Target="../SYNERGY_PROJECT_CONTROL_TOWER_WORLD_CLASS_V2.xlsx" TargetMode="External" Id="R840293fd01ec44ea" /><Relationship Type="http://schemas.openxmlformats.org/officeDocument/2006/relationships/hyperlink" Target="../SYNERGY_PROJECT_CONTROL_TOWER_WORLD_CLASS_V2.xlsx" TargetMode="External" Id="R7fa113e304624544" /><Relationship Type="http://schemas.openxmlformats.org/officeDocument/2006/relationships/hyperlink" Target="../SYNERGY_PROJECT_CONTROL_TOWER_WORLD_CLASS_V2.xlsx" TargetMode="External" Id="R10468f8115d84038" /><Relationship Type="http://schemas.openxmlformats.org/officeDocument/2006/relationships/hyperlink" Target="../SYNERGY_PROJECT_CONTROL_TOWER_WORLD_CLASS_V2.xlsx" TargetMode="External" Id="Rc80cd8ec37a44910" /><Relationship Type="http://schemas.openxmlformats.org/officeDocument/2006/relationships/hyperlink" Target="../SYNERGY_PROJECT_CONTROL_TOWER_WORLD_CLASS_V2.xlsx" TargetMode="External" Id="R48b864e6ae5c4773" /><Relationship Type="http://schemas.openxmlformats.org/officeDocument/2006/relationships/hyperlink" Target="../SYNERGY_PROJECT_CONTROL_TOWER_WORLD_CLASS_V2.xlsx" TargetMode="External" Id="Ra19fa7ea16774c7a" /><Relationship Type="http://schemas.openxmlformats.org/officeDocument/2006/relationships/hyperlink" Target="../SYNERGY_PROJECT_CONTROL_TOWER_WORLD_CLASS_V2.xlsx" TargetMode="External" Id="R34c798ae8e4c4cf6" /><Relationship Type="http://schemas.openxmlformats.org/officeDocument/2006/relationships/hyperlink" Target="../SYNERGY_PROJECT_CONTROL_TOWER_WORLD_CLASS_V2.xlsx" TargetMode="External" Id="Rb7a73e2642c64dd6" /><Relationship Type="http://schemas.openxmlformats.org/officeDocument/2006/relationships/hyperlink" Target="../SYNERGY_PROJECT_CONTROL_TOWER_WORLD_CLASS_V2.xlsx" TargetMode="External" Id="Rf23733b9bf0f4e8e" /><Relationship Type="http://schemas.openxmlformats.org/officeDocument/2006/relationships/hyperlink" Target="../SYNERGY_PROJECT_CONTROL_TOWER_WORLD_CLASS_V2.xlsx" TargetMode="External" Id="R2f567fa6c8054609" /><Relationship Type="http://schemas.openxmlformats.org/officeDocument/2006/relationships/hyperlink" Target="../SYNERGY_PROJECT_CONTROL_TOWER_WORLD_CLASS_V2.xlsx" TargetMode="External" Id="R5356f82366bb4d66" /><Relationship Type="http://schemas.openxmlformats.org/officeDocument/2006/relationships/hyperlink" Target="../SYNERGY_PROJECT_CONTROL_TOWER_WORLD_CLASS_V2.xlsx" TargetMode="External" Id="Ra54b246b6f824d1d" /><Relationship Type="http://schemas.openxmlformats.org/officeDocument/2006/relationships/hyperlink" Target="../SYNERGY_PROJECT_CONTROL_TOWER_WORLD_CLASS_V2.xlsx" TargetMode="External" Id="R8a500add57fa4657" /><Relationship Type="http://schemas.openxmlformats.org/officeDocument/2006/relationships/hyperlink" Target="../SYNERGY_PROJECT_CONTROL_TOWER_WORLD_CLASS_V2.xlsx" TargetMode="External" Id="R3b31ffbde6074f33" /><Relationship Type="http://schemas.openxmlformats.org/officeDocument/2006/relationships/hyperlink" Target="../SYNERGY_PROJECT_CONTROL_TOWER_WORLD_CLASS_V2.xlsx" TargetMode="External" Id="Rab11ec68768046dd" /><Relationship Type="http://schemas.openxmlformats.org/officeDocument/2006/relationships/hyperlink" Target="../SYNERGY_PROJECT_CONTROL_TOWER_WORLD_CLASS_V2.xlsx" TargetMode="External" Id="Re192d4a6f12a4eb8" /><Relationship Type="http://schemas.openxmlformats.org/officeDocument/2006/relationships/hyperlink" Target="../SYNERGY_PROJECT_CONTROL_TOWER_WORLD_CLASS_V2.xlsx" TargetMode="External" Id="R100b2c2cb3254f4c" /><Relationship Type="http://schemas.openxmlformats.org/officeDocument/2006/relationships/hyperlink" Target="../SYNERGY_PROJECT_CONTROL_TOWER_WORLD_CLASS_V2.xlsx" TargetMode="External" Id="Rb905ce2ac06a434a" /><Relationship Type="http://schemas.openxmlformats.org/officeDocument/2006/relationships/hyperlink" Target="../SYNERGY_PROJECT_CONTROL_TOWER_WORLD_CLASS_V2.xlsx" TargetMode="External" Id="R41d64f18813f4dc2" /><Relationship Type="http://schemas.openxmlformats.org/officeDocument/2006/relationships/hyperlink" Target="../SYNERGY_PROJECT_CONTROL_TOWER_WORLD_CLASS_V2.xlsx" TargetMode="External" Id="R97366407b0eb4a31" /><Relationship Type="http://schemas.openxmlformats.org/officeDocument/2006/relationships/hyperlink" Target="../SYNERGY_PROJECT_CONTROL_TOWER_WORLD_CLASS_V2.xlsx" TargetMode="External" Id="R55f8fb0566814314" /><Relationship Type="http://schemas.openxmlformats.org/officeDocument/2006/relationships/hyperlink" Target="../SYNERGY_PROJECT_CONTROL_TOWER_WORLD_CLASS_V2.xlsx" TargetMode="External" Id="Re400859f5c514815" /><Relationship Type="http://schemas.openxmlformats.org/officeDocument/2006/relationships/hyperlink" Target="../SYNERGY_PROJECT_CONTROL_TOWER_WORLD_CLASS_V2.xlsx" TargetMode="External" Id="Rc8384a1e4cef46f8" /><Relationship Type="http://schemas.openxmlformats.org/officeDocument/2006/relationships/hyperlink" Target="../SYNERGY_PROJECT_CONTROL_TOWER_WORLD_CLASS_V2.xlsx" TargetMode="External" Id="R5af5d3315cb14de6" /><Relationship Type="http://schemas.openxmlformats.org/officeDocument/2006/relationships/hyperlink" Target="../SYNERGY_PROJECT_CONTROL_TOWER_WORLD_CLASS_V2.xlsx" TargetMode="External" Id="R8c6a5b413da04988" /><Relationship Type="http://schemas.openxmlformats.org/officeDocument/2006/relationships/hyperlink" Target="../SYNERGY_PROJECT_CONTROL_TOWER_WORLD_CLASS_V2.xlsx" TargetMode="External" Id="Rc3eccb9a9a694e41" /><Relationship Type="http://schemas.openxmlformats.org/officeDocument/2006/relationships/hyperlink" Target="../SYNERGY_PROJECT_CONTROL_TOWER_WORLD_CLASS_V2.xlsx" TargetMode="External" Id="R3d3e62db0bd8475c" /><Relationship Type="http://schemas.openxmlformats.org/officeDocument/2006/relationships/hyperlink" Target="../SYNERGY_PROJECT_CONTROL_TOWER_WORLD_CLASS_V2.xlsx" TargetMode="External" Id="R680fb26e017f48cd" /><Relationship Type="http://schemas.openxmlformats.org/officeDocument/2006/relationships/hyperlink" Target="../SYNERGY_PROJECT_CONTROL_TOWER_WORLD_CLASS_V2.xlsx" TargetMode="External" Id="R57cfb2bb743c4341" /><Relationship Type="http://schemas.openxmlformats.org/officeDocument/2006/relationships/hyperlink" Target="../SYNERGY_PROJECT_CONTROL_TOWER_WORLD_CLASS_V2.xlsx" TargetMode="External" Id="R321763cebee44704" /><Relationship Type="http://schemas.openxmlformats.org/officeDocument/2006/relationships/hyperlink" Target="../SYNERGY_PROJECT_CONTROL_TOWER_WORLD_CLASS_V2.xlsx" TargetMode="External" Id="Rfd90ee6085c7483d" /><Relationship Type="http://schemas.openxmlformats.org/officeDocument/2006/relationships/hyperlink" Target="../SYNERGY_PROJECT_CONTROL_TOWER_WORLD_CLASS_V2.xlsx" TargetMode="External" Id="R97c52fc6cb5845b9" /><Relationship Type="http://schemas.openxmlformats.org/officeDocument/2006/relationships/hyperlink" Target="../SYNERGY_PROJECT_CONTROL_TOWER_WORLD_CLASS_V2.xlsx" TargetMode="External" Id="R10d821c879e844d3" /><Relationship Type="http://schemas.openxmlformats.org/officeDocument/2006/relationships/hyperlink" Target="../SYNERGY_PROJECT_CONTROL_TOWER_WORLD_CLASS_V2.xlsx" TargetMode="External" Id="R3774cb69713740ec" /><Relationship Type="http://schemas.openxmlformats.org/officeDocument/2006/relationships/hyperlink" Target="../SYNERGY_PROJECT_CONTROL_TOWER_WORLD_CLASS_V2.xlsx" TargetMode="External" Id="R1b6a305ab991447b" /><Relationship Type="http://schemas.openxmlformats.org/officeDocument/2006/relationships/hyperlink" Target="../SYNERGY_PROJECT_CONTROL_TOWER_WORLD_CLASS_V2.xlsx" TargetMode="External" Id="Rfdc56e64698c4826" /><Relationship Type="http://schemas.openxmlformats.org/officeDocument/2006/relationships/hyperlink" Target="../SYNERGY_PROJECT_CONTROL_TOWER_WORLD_CLASS_V2.xlsx" TargetMode="External" Id="R8fa0c459123248c9" /><Relationship Type="http://schemas.openxmlformats.org/officeDocument/2006/relationships/hyperlink" Target="../SYNERGY_PROJECT_CONTROL_TOWER_WORLD_CLASS_V2.xlsx" TargetMode="External" Id="R6d88230f64bc40c3" /><Relationship Type="http://schemas.openxmlformats.org/officeDocument/2006/relationships/hyperlink" Target="../SYNERGY_PROJECT_CONTROL_TOWER_WORLD_CLASS_V2.xlsx" TargetMode="External" Id="Refd3061d32ec4236" /><Relationship Type="http://schemas.openxmlformats.org/officeDocument/2006/relationships/hyperlink" Target="../SYNERGY_PROJECT_CONTROL_TOWER_WORLD_CLASS_V2.xlsx" TargetMode="External" Id="R3d327e4811a249a6" /><Relationship Type="http://schemas.openxmlformats.org/officeDocument/2006/relationships/hyperlink" Target="../SYNERGY_PROJECT_CONTROL_TOWER_WORLD_CLASS_V2.xlsx" TargetMode="External" Id="R3785b0e1563d418a" /><Relationship Type="http://schemas.openxmlformats.org/officeDocument/2006/relationships/hyperlink" Target="../SYNERGY_PROJECT_CONTROL_TOWER_WORLD_CLASS_V2.xlsx" TargetMode="External" Id="R1c78b8146cff4482" /><Relationship Type="http://schemas.openxmlformats.org/officeDocument/2006/relationships/hyperlink" Target="../SYNERGY_PROJECT_CONTROL_TOWER_WORLD_CLASS_V2.xlsx" TargetMode="External" Id="R8d0046f5430642a4" /><Relationship Type="http://schemas.openxmlformats.org/officeDocument/2006/relationships/hyperlink" Target="../SYNERGY_PROJECT_CONTROL_TOWER_WORLD_CLASS_V2.xlsx" TargetMode="External" Id="R38393e3487c848b1" /><Relationship Type="http://schemas.openxmlformats.org/officeDocument/2006/relationships/hyperlink" Target="../SYNERGY_PROJECT_CONTROL_TOWER_WORLD_CLASS_V2.xlsx" TargetMode="External" Id="R2d0188ac81b24d07" /><Relationship Type="http://schemas.openxmlformats.org/officeDocument/2006/relationships/hyperlink" Target="../SYNERGY_PROJECT_CONTROL_TOWER_WORLD_CLASS_V2.xlsx" TargetMode="External" Id="Rbafb3e406e454a72" /><Relationship Type="http://schemas.openxmlformats.org/officeDocument/2006/relationships/hyperlink" Target="../SYNERGY_PROJECT_CONTROL_TOWER_WORLD_CLASS_V2.xlsx" TargetMode="External" Id="R5588228be0d1424d" /><Relationship Type="http://schemas.openxmlformats.org/officeDocument/2006/relationships/hyperlink" Target="../SYNERGY_PROJECT_CONTROL_TOWER_WORLD_CLASS_V2.xlsx" TargetMode="External" Id="R92b5d10a47f84851" /><Relationship Type="http://schemas.openxmlformats.org/officeDocument/2006/relationships/hyperlink" Target="../SYNERGY_PROJECT_CONTROL_TOWER_WORLD_CLASS_V2.xlsx" TargetMode="External" Id="R2635535cfef64c3e" /><Relationship Type="http://schemas.openxmlformats.org/officeDocument/2006/relationships/hyperlink" Target="../SYNERGY_PROJECT_CONTROL_TOWER_WORLD_CLASS_V2.xlsx" TargetMode="External" Id="R063f78ef43614c5d" /><Relationship Type="http://schemas.openxmlformats.org/officeDocument/2006/relationships/hyperlink" Target="../SYNERGY_PROJECT_CONTROL_TOWER_WORLD_CLASS_V2.xlsx" TargetMode="External" Id="Reb0d5538897942dc" /><Relationship Type="http://schemas.openxmlformats.org/officeDocument/2006/relationships/hyperlink" Target="../SYNERGY_PROJECT_CONTROL_TOWER_WORLD_CLASS_V2.xlsx" TargetMode="External" Id="R8cf927d39ce94ab5" /><Relationship Type="http://schemas.openxmlformats.org/officeDocument/2006/relationships/hyperlink" Target="../SYNERGY_PROJECT_CONTROL_TOWER_WORLD_CLASS_V2.xlsx" TargetMode="External" Id="R75f5c2ea72bf4fed" /><Relationship Type="http://schemas.openxmlformats.org/officeDocument/2006/relationships/hyperlink" Target="../SYNERGY_PROJECT_CONTROL_TOWER_WORLD_CLASS_V2.xlsx" TargetMode="External" Id="Rc75f0d41dc074a20" /><Relationship Type="http://schemas.openxmlformats.org/officeDocument/2006/relationships/hyperlink" Target="../SYNERGY_PROJECT_CONTROL_TOWER_WORLD_CLASS_V2.xlsx" TargetMode="External" Id="Rd0d7867204f847c5" /><Relationship Type="http://schemas.openxmlformats.org/officeDocument/2006/relationships/hyperlink" Target="../SYNERGY_PROJECT_CONTROL_TOWER_WORLD_CLASS_V2.xlsx" TargetMode="External" Id="R9b9be033af74405a" /><Relationship Type="http://schemas.openxmlformats.org/officeDocument/2006/relationships/hyperlink" Target="../SYNERGY_PROJECT_CONTROL_TOWER_WORLD_CLASS_V2.xlsx" TargetMode="External" Id="R205da4b507534700" /><Relationship Type="http://schemas.openxmlformats.org/officeDocument/2006/relationships/hyperlink" Target="../SYNERGY_PROJECT_CONTROL_TOWER_WORLD_CLASS_V2.xlsx" TargetMode="External" Id="Rff52ed8c63174a68" /><Relationship Type="http://schemas.openxmlformats.org/officeDocument/2006/relationships/hyperlink" Target="../SYNERGY_PROJECT_CONTROL_TOWER_WORLD_CLASS_V2.xlsx" TargetMode="External" Id="R46235d5666fb4806" /><Relationship Type="http://schemas.openxmlformats.org/officeDocument/2006/relationships/hyperlink" Target="../SYNERGY_PROJECT_CONTROL_TOWER_WORLD_CLASS_V2.xlsx" TargetMode="External" Id="R4895090cfe9145bd" /><Relationship Type="http://schemas.openxmlformats.org/officeDocument/2006/relationships/hyperlink" Target="../SYNERGY_PROJECT_CONTROL_TOWER_WORLD_CLASS_V2.xlsx" TargetMode="External" Id="Rc88ae0271ccb4636" /><Relationship Type="http://schemas.openxmlformats.org/officeDocument/2006/relationships/hyperlink" Target="../SYNERGY_PROJECT_CONTROL_TOWER_WORLD_CLASS_V2.xlsx" TargetMode="External" Id="R3f28430cadb64745" /><Relationship Type="http://schemas.openxmlformats.org/officeDocument/2006/relationships/hyperlink" Target="../SYNERGY_PROJECT_CONTROL_TOWER_WORLD_CLASS_V2.xlsx" TargetMode="External" Id="Re163a14680ea49b6" /><Relationship Type="http://schemas.openxmlformats.org/officeDocument/2006/relationships/hyperlink" Target="../SYNERGY_PROJECT_CONTROL_TOWER_WORLD_CLASS_V2.xlsx" TargetMode="External" Id="Re02ce8e638174699" /><Relationship Type="http://schemas.openxmlformats.org/officeDocument/2006/relationships/hyperlink" Target="../SYNERGY_PROJECT_CONTROL_TOWER_WORLD_CLASS_V2.xlsx" TargetMode="External" Id="R4617f4c124394226" /><Relationship Type="http://schemas.openxmlformats.org/officeDocument/2006/relationships/drawing" Target="/xl/drawings/drawing2.xml" Id="R13eafeafc854485c" /><Relationship Type="http://schemas.openxmlformats.org/officeDocument/2006/relationships/table" Target="/xl/tables/table1.xml" Id="R1cbdeca11b2544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4dd5b27d81b9449a" /><Relationship Type="http://schemas.openxmlformats.org/officeDocument/2006/relationships/hyperlink" Target="../SYNERGY_PROJECT_CONTROL_TOWER_WORLD_CLASS_V2.xlsx" TargetMode="External" Id="R8d81a8d3371e40c0" /><Relationship Type="http://schemas.openxmlformats.org/officeDocument/2006/relationships/hyperlink" Target="../SYNERGY_PROJECT_CONTROL_TOWER_WORLD_CLASS_V2.xlsx" TargetMode="External" Id="R69cf76ffb7744d47" /><Relationship Type="http://schemas.openxmlformats.org/officeDocument/2006/relationships/hyperlink" Target="../SYNERGY_PROJECT_CONTROL_TOWER_WORLD_CLASS_V2.xlsx" TargetMode="External" Id="R6e3a0a31279a4af7" /><Relationship Type="http://schemas.openxmlformats.org/officeDocument/2006/relationships/hyperlink" Target="../SYNERGY_PROJECT_CONTROL_TOWER_WORLD_CLASS_V2.xlsx" TargetMode="External" Id="R496fa03b087d48c2" /><Relationship Type="http://schemas.openxmlformats.org/officeDocument/2006/relationships/hyperlink" Target="../SYNERGY_PROJECT_CONTROL_TOWER_WORLD_CLASS_V2.xlsx" TargetMode="External" Id="R8af28af2105d4625" /><Relationship Type="http://schemas.openxmlformats.org/officeDocument/2006/relationships/hyperlink" Target="../SYNERGY_PROJECT_CONTROL_TOWER_WORLD_CLASS_V2.xlsx" TargetMode="External" Id="R3f7bfde446de402b" /><Relationship Type="http://schemas.openxmlformats.org/officeDocument/2006/relationships/hyperlink" Target="../SYNERGY_PROJECT_CONTROL_TOWER_WORLD_CLASS_V2.xlsx" TargetMode="External" Id="R17dae49abc7748eb" /><Relationship Type="http://schemas.openxmlformats.org/officeDocument/2006/relationships/hyperlink" Target="../SYNERGY_PROJECT_CONTROL_TOWER_WORLD_CLASS_V2.xlsx" TargetMode="External" Id="R1428985ebcd54059" /><Relationship Type="http://schemas.openxmlformats.org/officeDocument/2006/relationships/hyperlink" Target="../SYNERGY_PROJECT_CONTROL_TOWER_WORLD_CLASS_V2.xlsx" TargetMode="External" Id="Re12f7fb6485d4ca1" /><Relationship Type="http://schemas.openxmlformats.org/officeDocument/2006/relationships/hyperlink" Target="../SYNERGY_PROJECT_CONTROL_TOWER_WORLD_CLASS_V2.xlsx" TargetMode="External" Id="R6c9ab0f3c8ca415d" /><Relationship Type="http://schemas.openxmlformats.org/officeDocument/2006/relationships/hyperlink" Target="../SYNERGY_PROJECT_CONTROL_TOWER_WORLD_CLASS_V2.xlsx" TargetMode="External" Id="R78b9da4668124af1" /><Relationship Type="http://schemas.openxmlformats.org/officeDocument/2006/relationships/hyperlink" Target="../SYNERGY_PROJECT_CONTROL_TOWER_WORLD_CLASS_V2.xlsx" TargetMode="External" Id="R2d3cf9ec7fdc4625" /><Relationship Type="http://schemas.openxmlformats.org/officeDocument/2006/relationships/drawing" Target="/xl/drawings/drawing3.xml" Id="Re0ea8c1de9504f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98674a7b0edc44ad" /><Relationship Type="http://schemas.openxmlformats.org/officeDocument/2006/relationships/hyperlink" Target="../SYNERGY_PROJECT_CONTROL_TOWER_WORLD_CLASS_V2.xlsx" TargetMode="External" Id="R2d97f4d902fe4169" /><Relationship Type="http://schemas.openxmlformats.org/officeDocument/2006/relationships/hyperlink" Target="../SYNERGY_PROJECT_CONTROL_TOWER_WORLD_CLASS_V2.xlsx" TargetMode="External" Id="R6e153b6ea3ea422e" /><Relationship Type="http://schemas.openxmlformats.org/officeDocument/2006/relationships/hyperlink" Target="../SYNERGY_PROJECT_CONTROL_TOWER_WORLD_CLASS_V2.xlsx" TargetMode="External" Id="R98d828b93b7b4e13" /><Relationship Type="http://schemas.openxmlformats.org/officeDocument/2006/relationships/hyperlink" Target="../SYNERGY_PROJECT_CONTROL_TOWER_WORLD_CLASS_V2.xlsx" TargetMode="External" Id="R9e3bdb49a2904df3" /><Relationship Type="http://schemas.openxmlformats.org/officeDocument/2006/relationships/hyperlink" Target="../SYNERGY_PROJECT_CONTROL_TOWER_WORLD_CLASS_V2.xlsx" TargetMode="External" Id="Rc8fb16ff8e3744c6" /><Relationship Type="http://schemas.openxmlformats.org/officeDocument/2006/relationships/hyperlink" Target="../SYNERGY_PROJECT_CONTROL_TOWER_WORLD_CLASS_V2.xlsx" TargetMode="External" Id="R3845888a9faf47c7" /><Relationship Type="http://schemas.openxmlformats.org/officeDocument/2006/relationships/hyperlink" Target="../SYNERGY_PROJECT_CONTROL_TOWER_WORLD_CLASS_V2.xlsx" TargetMode="External" Id="Rbcc348588bcb4e77" /><Relationship Type="http://schemas.openxmlformats.org/officeDocument/2006/relationships/hyperlink" Target="../SYNERGY_PROJECT_CONTROL_TOWER_WORLD_CLASS_V2.xlsx" TargetMode="External" Id="Rf3709268a1574eaa" /><Relationship Type="http://schemas.openxmlformats.org/officeDocument/2006/relationships/hyperlink" Target="../SYNERGY_PROJECT_CONTROL_TOWER_WORLD_CLASS_V2.xlsx" TargetMode="External" Id="R71675f44817849f1" /><Relationship Type="http://schemas.openxmlformats.org/officeDocument/2006/relationships/hyperlink" Target="../SYNERGY_PROJECT_CONTROL_TOWER_WORLD_CLASS_V2.xlsx" TargetMode="External" Id="Ra7eca79803444751" /><Relationship Type="http://schemas.openxmlformats.org/officeDocument/2006/relationships/hyperlink" Target="../SYNERGY_PROJECT_CONTROL_TOWER_WORLD_CLASS_V2.xlsx" TargetMode="External" Id="R13144a6e059f4e75" /><Relationship Type="http://schemas.openxmlformats.org/officeDocument/2006/relationships/hyperlink" Target="../SYNERGY_PROJECT_CONTROL_TOWER_WORLD_CLASS_V2.xlsx" TargetMode="External" Id="Ra7ad59091fd64497" /><Relationship Type="http://schemas.openxmlformats.org/officeDocument/2006/relationships/drawing" Target="/xl/drawings/drawing4.xml" Id="R8d73b785b06a42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0dcec0b2bc2b4236" /><Relationship Type="http://schemas.openxmlformats.org/officeDocument/2006/relationships/hyperlink" Target="../SYNERGY_PROJECT_CONTROL_TOWER_WORLD_CLASS_V2.xlsx" TargetMode="External" Id="Rc9a8aead855c471c" /><Relationship Type="http://schemas.openxmlformats.org/officeDocument/2006/relationships/hyperlink" Target="../SYNERGY_PROJECT_CONTROL_TOWER_WORLD_CLASS_V2.xlsx" TargetMode="External" Id="Ra716c53d1b1d4917" /><Relationship Type="http://schemas.openxmlformats.org/officeDocument/2006/relationships/hyperlink" Target="../SYNERGY_PROJECT_CONTROL_TOWER_WORLD_CLASS_V2.xlsx" TargetMode="External" Id="R6342851895954c51" /><Relationship Type="http://schemas.openxmlformats.org/officeDocument/2006/relationships/hyperlink" Target="../SYNERGY_PROJECT_CONTROL_TOWER_WORLD_CLASS_V2.xlsx" TargetMode="External" Id="R6df669f6d69442fc" /><Relationship Type="http://schemas.openxmlformats.org/officeDocument/2006/relationships/hyperlink" Target="../SYNERGY_PROJECT_CONTROL_TOWER_WORLD_CLASS_V2.xlsx" TargetMode="External" Id="R751db345395944f7" /><Relationship Type="http://schemas.openxmlformats.org/officeDocument/2006/relationships/hyperlink" Target="../SYNERGY_PROJECT_CONTROL_TOWER_WORLD_CLASS_V2.xlsx" TargetMode="External" Id="R834a677736a142aa" /><Relationship Type="http://schemas.openxmlformats.org/officeDocument/2006/relationships/hyperlink" Target="../SYNERGY_PROJECT_CONTROL_TOWER_WORLD_CLASS_V2.xlsx" TargetMode="External" Id="Rb221586bb6854780" /><Relationship Type="http://schemas.openxmlformats.org/officeDocument/2006/relationships/hyperlink" Target="../SYNERGY_PROJECT_CONTROL_TOWER_WORLD_CLASS_V2.xlsx" TargetMode="External" Id="Rc552d02a77d342b0" /><Relationship Type="http://schemas.openxmlformats.org/officeDocument/2006/relationships/hyperlink" Target="../SYNERGY_PROJECT_CONTROL_TOWER_WORLD_CLASS_V2.xlsx" TargetMode="External" Id="R7c313026b4a34195" /><Relationship Type="http://schemas.openxmlformats.org/officeDocument/2006/relationships/hyperlink" Target="../SYNERGY_PROJECT_CONTROL_TOWER_WORLD_CLASS_V2.xlsx" TargetMode="External" Id="R22c756503a9746f9" /><Relationship Type="http://schemas.openxmlformats.org/officeDocument/2006/relationships/hyperlink" Target="../SYNERGY_PROJECT_CONTROL_TOWER_WORLD_CLASS_V2.xlsx" TargetMode="External" Id="R08459bcb77964892" /><Relationship Type="http://schemas.openxmlformats.org/officeDocument/2006/relationships/hyperlink" Target="../SYNERGY_PROJECT_CONTROL_TOWER_WORLD_CLASS_V2.xlsx" TargetMode="External" Id="R6d8d9a13cc3248d0" /><Relationship Type="http://schemas.openxmlformats.org/officeDocument/2006/relationships/drawing" Target="/xl/drawings/drawing5.xml" Id="R8ef01319a5d342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5a8a739e673e46de" /><Relationship Type="http://schemas.openxmlformats.org/officeDocument/2006/relationships/hyperlink" Target="../SYNERGY_PROJECT_CONTROL_TOWER_WORLD_CLASS_V2.xlsx" TargetMode="External" Id="R43ea029928694963" /><Relationship Type="http://schemas.openxmlformats.org/officeDocument/2006/relationships/hyperlink" Target="../SYNERGY_PROJECT_CONTROL_TOWER_WORLD_CLASS_V2.xlsx" TargetMode="External" Id="R1e108930cdc94541" /><Relationship Type="http://schemas.openxmlformats.org/officeDocument/2006/relationships/hyperlink" Target="../SYNERGY_PROJECT_CONTROL_TOWER_WORLD_CLASS_V2.xlsx" TargetMode="External" Id="R89ac53f1a6404767" /><Relationship Type="http://schemas.openxmlformats.org/officeDocument/2006/relationships/hyperlink" Target="../SYNERGY_PROJECT_CONTROL_TOWER_WORLD_CLASS_V2.xlsx" TargetMode="External" Id="R01587d81dc434093" /><Relationship Type="http://schemas.openxmlformats.org/officeDocument/2006/relationships/hyperlink" Target="../SYNERGY_PROJECT_CONTROL_TOWER_WORLD_CLASS_V2.xlsx" TargetMode="External" Id="Ra120e44ba0ae4ed8" /><Relationship Type="http://schemas.openxmlformats.org/officeDocument/2006/relationships/hyperlink" Target="../SYNERGY_PROJECT_CONTROL_TOWER_WORLD_CLASS_V2.xlsx" TargetMode="External" Id="R6ca14cfafe8242d9" /><Relationship Type="http://schemas.openxmlformats.org/officeDocument/2006/relationships/hyperlink" Target="../SYNERGY_PROJECT_CONTROL_TOWER_WORLD_CLASS_V2.xlsx" TargetMode="External" Id="R41f73c206bd5446e" /><Relationship Type="http://schemas.openxmlformats.org/officeDocument/2006/relationships/hyperlink" Target="../SYNERGY_PROJECT_CONTROL_TOWER_WORLD_CLASS_V2.xlsx" TargetMode="External" Id="R99b917445649440e" /><Relationship Type="http://schemas.openxmlformats.org/officeDocument/2006/relationships/hyperlink" Target="../SYNERGY_PROJECT_CONTROL_TOWER_WORLD_CLASS_V2.xlsx" TargetMode="External" Id="R0ecf9fa5965a4d60" /><Relationship Type="http://schemas.openxmlformats.org/officeDocument/2006/relationships/hyperlink" Target="../SYNERGY_PROJECT_CONTROL_TOWER_WORLD_CLASS_V2.xlsx" TargetMode="External" Id="Raa8fa652dc0f4120" /><Relationship Type="http://schemas.openxmlformats.org/officeDocument/2006/relationships/hyperlink" Target="../SYNERGY_PROJECT_CONTROL_TOWER_WORLD_CLASS_V2.xlsx" TargetMode="External" Id="R231b8a31b77f4226" /><Relationship Type="http://schemas.openxmlformats.org/officeDocument/2006/relationships/hyperlink" Target="../SYNERGY_PROJECT_CONTROL_TOWER_WORLD_CLASS_V2.xlsx" TargetMode="External" Id="R4c7dcf37ee4240b9" /><Relationship Type="http://schemas.openxmlformats.org/officeDocument/2006/relationships/drawing" Target="/xl/drawings/drawing6.xml" Id="R1fac90b15aba46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0a3deb2a32e34b18" /><Relationship Type="http://schemas.openxmlformats.org/officeDocument/2006/relationships/hyperlink" Target="../SYNERGY_PROJECT_CONTROL_TOWER_WORLD_CLASS_V2.xlsx" TargetMode="External" Id="R4bb3ead1649247ec" /><Relationship Type="http://schemas.openxmlformats.org/officeDocument/2006/relationships/hyperlink" Target="../SYNERGY_PROJECT_CONTROL_TOWER_WORLD_CLASS_V2.xlsx" TargetMode="External" Id="R05c5a81cdd7b4a65" /><Relationship Type="http://schemas.openxmlformats.org/officeDocument/2006/relationships/hyperlink" Target="../SYNERGY_PROJECT_CONTROL_TOWER_WORLD_CLASS_V2.xlsx" TargetMode="External" Id="R79c125a55253456b" /><Relationship Type="http://schemas.openxmlformats.org/officeDocument/2006/relationships/hyperlink" Target="../SYNERGY_PROJECT_CONTROL_TOWER_WORLD_CLASS_V2.xlsx" TargetMode="External" Id="R95d44590ee874543" /><Relationship Type="http://schemas.openxmlformats.org/officeDocument/2006/relationships/hyperlink" Target="../SYNERGY_PROJECT_CONTROL_TOWER_WORLD_CLASS_V2.xlsx" TargetMode="External" Id="Re44bf73fe2544caf" /><Relationship Type="http://schemas.openxmlformats.org/officeDocument/2006/relationships/hyperlink" Target="../SYNERGY_PROJECT_CONTROL_TOWER_WORLD_CLASS_V2.xlsx" TargetMode="External" Id="R874f33b91fba4243" /><Relationship Type="http://schemas.openxmlformats.org/officeDocument/2006/relationships/hyperlink" Target="../SYNERGY_PROJECT_CONTROL_TOWER_WORLD_CLASS_V2.xlsx" TargetMode="External" Id="Reb629efe43444f15" /><Relationship Type="http://schemas.openxmlformats.org/officeDocument/2006/relationships/hyperlink" Target="../SYNERGY_PROJECT_CONTROL_TOWER_WORLD_CLASS_V2.xlsx" TargetMode="External" Id="R42d84389c0bf41c8" /><Relationship Type="http://schemas.openxmlformats.org/officeDocument/2006/relationships/hyperlink" Target="../SYNERGY_PROJECT_CONTROL_TOWER_WORLD_CLASS_V2.xlsx" TargetMode="External" Id="R86945d4930914df2" /><Relationship Type="http://schemas.openxmlformats.org/officeDocument/2006/relationships/hyperlink" Target="../SYNERGY_PROJECT_CONTROL_TOWER_WORLD_CLASS_V2.xlsx" TargetMode="External" Id="R3296a3ffec194145" /><Relationship Type="http://schemas.openxmlformats.org/officeDocument/2006/relationships/hyperlink" Target="../SYNERGY_PROJECT_CONTROL_TOWER_WORLD_CLASS_V2.xlsx" TargetMode="External" Id="Rdca9667d9fc5456d" /><Relationship Type="http://schemas.openxmlformats.org/officeDocument/2006/relationships/hyperlink" Target="../SYNERGY_PROJECT_CONTROL_TOWER_WORLD_CLASS_V2.xlsx" TargetMode="External" Id="Rcf3ef5b5fbad4359" /><Relationship Type="http://schemas.openxmlformats.org/officeDocument/2006/relationships/drawing" Target="/xl/drawings/drawing7.xml" Id="R081a8c50207a4e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ef8793b89f7d4ff9" /><Relationship Type="http://schemas.openxmlformats.org/officeDocument/2006/relationships/hyperlink" Target="../SYNERGY_PROJECT_CONTROL_TOWER_WORLD_CLASS_V2.xlsx" TargetMode="External" Id="R5bbecc2ca64e46d9" /><Relationship Type="http://schemas.openxmlformats.org/officeDocument/2006/relationships/hyperlink" Target="../SYNERGY_PROJECT_CONTROL_TOWER_WORLD_CLASS_V2.xlsx" TargetMode="External" Id="Rdf1df6f2d00c4f1f" /><Relationship Type="http://schemas.openxmlformats.org/officeDocument/2006/relationships/hyperlink" Target="../SYNERGY_PROJECT_CONTROL_TOWER_WORLD_CLASS_V2.xlsx" TargetMode="External" Id="R4804b5043a4a489f" /><Relationship Type="http://schemas.openxmlformats.org/officeDocument/2006/relationships/hyperlink" Target="../SYNERGY_PROJECT_CONTROL_TOWER_WORLD_CLASS_V2.xlsx" TargetMode="External" Id="Rfbe15184ef69477f" /><Relationship Type="http://schemas.openxmlformats.org/officeDocument/2006/relationships/hyperlink" Target="../SYNERGY_PROJECT_CONTROL_TOWER_WORLD_CLASS_V2.xlsx" TargetMode="External" Id="R0ec4afc74fdd46a1" /><Relationship Type="http://schemas.openxmlformats.org/officeDocument/2006/relationships/hyperlink" Target="../SYNERGY_PROJECT_CONTROL_TOWER_WORLD_CLASS_V2.xlsx" TargetMode="External" Id="Ra1d7a3d8dcd54d8e" /><Relationship Type="http://schemas.openxmlformats.org/officeDocument/2006/relationships/hyperlink" Target="../SYNERGY_PROJECT_CONTROL_TOWER_WORLD_CLASS_V2.xlsx" TargetMode="External" Id="Ra00ec7fc6d874733" /><Relationship Type="http://schemas.openxmlformats.org/officeDocument/2006/relationships/hyperlink" Target="../SYNERGY_PROJECT_CONTROL_TOWER_WORLD_CLASS_V2.xlsx" TargetMode="External" Id="Rb27a8590bca947c6" /><Relationship Type="http://schemas.openxmlformats.org/officeDocument/2006/relationships/hyperlink" Target="../SYNERGY_PROJECT_CONTROL_TOWER_WORLD_CLASS_V2.xlsx" TargetMode="External" Id="R598f5ff8c39442ee" /><Relationship Type="http://schemas.openxmlformats.org/officeDocument/2006/relationships/hyperlink" Target="../SYNERGY_PROJECT_CONTROL_TOWER_WORLD_CLASS_V2.xlsx" TargetMode="External" Id="Rb03a3cd596b04fb6" /><Relationship Type="http://schemas.openxmlformats.org/officeDocument/2006/relationships/hyperlink" Target="../SYNERGY_PROJECT_CONTROL_TOWER_WORLD_CLASS_V2.xlsx" TargetMode="External" Id="R9dee873cfccb4daf" /><Relationship Type="http://schemas.openxmlformats.org/officeDocument/2006/relationships/hyperlink" Target="../SYNERGY_PROJECT_CONTROL_TOWER_WORLD_CLASS_V2.xlsx" TargetMode="External" Id="R560fef24c0b84044" /><Relationship Type="http://schemas.openxmlformats.org/officeDocument/2006/relationships/drawing" Target="/xl/drawings/drawing8.xml" Id="Ra3db9b5ce6ef4b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e101259b44c7409b" /><Relationship Type="http://schemas.openxmlformats.org/officeDocument/2006/relationships/hyperlink" Target="../SYNERGY_PROJECT_CONTROL_TOWER_WORLD_CLASS_V2.xlsx" TargetMode="External" Id="R65e6d2bd79b84e69" /><Relationship Type="http://schemas.openxmlformats.org/officeDocument/2006/relationships/hyperlink" Target="../SYNERGY_PROJECT_CONTROL_TOWER_WORLD_CLASS_V2.xlsx" TargetMode="External" Id="R9977bdf62d89438e" /><Relationship Type="http://schemas.openxmlformats.org/officeDocument/2006/relationships/hyperlink" Target="../SYNERGY_PROJECT_CONTROL_TOWER_WORLD_CLASS_V2.xlsx" TargetMode="External" Id="R31c6a4fc2d7e4644" /><Relationship Type="http://schemas.openxmlformats.org/officeDocument/2006/relationships/hyperlink" Target="../SYNERGY_PROJECT_CONTROL_TOWER_WORLD_CLASS_V2.xlsx" TargetMode="External" Id="Re92f33044bc64a81" /><Relationship Type="http://schemas.openxmlformats.org/officeDocument/2006/relationships/hyperlink" Target="../SYNERGY_PROJECT_CONTROL_TOWER_WORLD_CLASS_V2.xlsx" TargetMode="External" Id="Rf6d47cf9ce664371" /><Relationship Type="http://schemas.openxmlformats.org/officeDocument/2006/relationships/hyperlink" Target="../SYNERGY_PROJECT_CONTROL_TOWER_WORLD_CLASS_V2.xlsx" TargetMode="External" Id="Rf35d642c387b40c0" /><Relationship Type="http://schemas.openxmlformats.org/officeDocument/2006/relationships/hyperlink" Target="../SYNERGY_PROJECT_CONTROL_TOWER_WORLD_CLASS_V2.xlsx" TargetMode="External" Id="R6f194f8677b44bbf" /><Relationship Type="http://schemas.openxmlformats.org/officeDocument/2006/relationships/hyperlink" Target="../SYNERGY_PROJECT_CONTROL_TOWER_WORLD_CLASS_V2.xlsx" TargetMode="External" Id="R6a86349aa8794511" /><Relationship Type="http://schemas.openxmlformats.org/officeDocument/2006/relationships/hyperlink" Target="../SYNERGY_PROJECT_CONTROL_TOWER_WORLD_CLASS_V2.xlsx" TargetMode="External" Id="Re93ed3c2a6c747d2" /><Relationship Type="http://schemas.openxmlformats.org/officeDocument/2006/relationships/hyperlink" Target="../SYNERGY_PROJECT_CONTROL_TOWER_WORLD_CLASS_V2.xlsx" TargetMode="External" Id="R91514db01da24bdd" /><Relationship Type="http://schemas.openxmlformats.org/officeDocument/2006/relationships/hyperlink" Target="../SYNERGY_PROJECT_CONTROL_TOWER_WORLD_CLASS_V2.xlsx" TargetMode="External" Id="Raaae63961b224fe4" /><Relationship Type="http://schemas.openxmlformats.org/officeDocument/2006/relationships/hyperlink" Target="../SYNERGY_PROJECT_CONTROL_TOWER_WORLD_CLASS_V2.xlsx" TargetMode="External" Id="Re9be665debda4a35" /><Relationship Type="http://schemas.openxmlformats.org/officeDocument/2006/relationships/drawing" Target="/xl/drawings/drawing9.xml" Id="R798da2a65f8745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4e752aef54024d33" /><Relationship Type="http://schemas.openxmlformats.org/officeDocument/2006/relationships/hyperlink" Target="../SYNERGY_PROJECT_CONTROL_TOWER_WORLD_CLASS_V2.xlsx" TargetMode="External" Id="R94c607180caa40d0" /><Relationship Type="http://schemas.openxmlformats.org/officeDocument/2006/relationships/hyperlink" Target="../SYNERGY_PROJECT_CONTROL_TOWER_WORLD_CLASS_V2.xlsx" TargetMode="External" Id="R57ee7c952bfe4142" /><Relationship Type="http://schemas.openxmlformats.org/officeDocument/2006/relationships/hyperlink" Target="../SYNERGY_PROJECT_CONTROL_TOWER_WORLD_CLASS_V2.xlsx" TargetMode="External" Id="R91dfa88b67df4f5b" /><Relationship Type="http://schemas.openxmlformats.org/officeDocument/2006/relationships/hyperlink" Target="../SYNERGY_PROJECT_CONTROL_TOWER_WORLD_CLASS_V2.xlsx" TargetMode="External" Id="R98373a60ac814763" /><Relationship Type="http://schemas.openxmlformats.org/officeDocument/2006/relationships/hyperlink" Target="../SYNERGY_PROJECT_CONTROL_TOWER_WORLD_CLASS_V2.xlsx" TargetMode="External" Id="R38a305f994384d44" /><Relationship Type="http://schemas.openxmlformats.org/officeDocument/2006/relationships/hyperlink" Target="../SYNERGY_PROJECT_CONTROL_TOWER_WORLD_CLASS_V2.xlsx" TargetMode="External" Id="R8b6ab598881747d0" /><Relationship Type="http://schemas.openxmlformats.org/officeDocument/2006/relationships/hyperlink" Target="../SYNERGY_PROJECT_CONTROL_TOWER_WORLD_CLASS_V2.xlsx" TargetMode="External" Id="R2c6a06e408144807" /><Relationship Type="http://schemas.openxmlformats.org/officeDocument/2006/relationships/hyperlink" Target="../SYNERGY_PROJECT_CONTROL_TOWER_WORLD_CLASS_V2.xlsx" TargetMode="External" Id="Rf7ff9b7cc3214f66" /><Relationship Type="http://schemas.openxmlformats.org/officeDocument/2006/relationships/hyperlink" Target="../SYNERGY_PROJECT_CONTROL_TOWER_WORLD_CLASS_V2.xlsx" TargetMode="External" Id="Rc1449bcc01fb4503" /><Relationship Type="http://schemas.openxmlformats.org/officeDocument/2006/relationships/hyperlink" Target="../SYNERGY_PROJECT_CONTROL_TOWER_WORLD_CLASS_V2.xlsx" TargetMode="External" Id="Rbfcc57b52d634a18" /><Relationship Type="http://schemas.openxmlformats.org/officeDocument/2006/relationships/hyperlink" Target="../SYNERGY_PROJECT_CONTROL_TOWER_WORLD_CLASS_V2.xlsx" TargetMode="External" Id="Rc2bb11b616724ecf" /><Relationship Type="http://schemas.openxmlformats.org/officeDocument/2006/relationships/hyperlink" Target="../SYNERGY_PROJECT_CONTROL_TOWER_WORLD_CLASS_V2.xlsx" TargetMode="External" Id="Rfb5bcef3c0de4e28" /><Relationship Type="http://schemas.openxmlformats.org/officeDocument/2006/relationships/drawing" Target="/xl/drawings/drawing10.xml" Id="Rf566dee6f1a741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7f228b48a973404d" /><Relationship Type="http://schemas.openxmlformats.org/officeDocument/2006/relationships/hyperlink" Target="../SYNERGY_PROJECT_CONTROL_TOWER_WORLD_CLASS_V2.xlsx" TargetMode="External" Id="R33cd7bb6c72f4d3c" /><Relationship Type="http://schemas.openxmlformats.org/officeDocument/2006/relationships/hyperlink" Target="../SYNERGY_PROJECT_CONTROL_TOWER_WORLD_CLASS_V2.xlsx" TargetMode="External" Id="Rdd096419e3424416" /><Relationship Type="http://schemas.openxmlformats.org/officeDocument/2006/relationships/hyperlink" Target="../SYNERGY_PROJECT_CONTROL_TOWER_WORLD_CLASS_V2.xlsx" TargetMode="External" Id="R731693e6c6a74537" /><Relationship Type="http://schemas.openxmlformats.org/officeDocument/2006/relationships/hyperlink" Target="../SYNERGY_PROJECT_CONTROL_TOWER_WORLD_CLASS_V2.xlsx" TargetMode="External" Id="R5f409fa4ac404b0e" /><Relationship Type="http://schemas.openxmlformats.org/officeDocument/2006/relationships/hyperlink" Target="../SYNERGY_PROJECT_CONTROL_TOWER_WORLD_CLASS_V2.xlsx" TargetMode="External" Id="Rc78efddbe2c44950" /><Relationship Type="http://schemas.openxmlformats.org/officeDocument/2006/relationships/hyperlink" Target="../SYNERGY_PROJECT_CONTROL_TOWER_WORLD_CLASS_V2.xlsx" TargetMode="External" Id="R0c8a5b664ba04836" /><Relationship Type="http://schemas.openxmlformats.org/officeDocument/2006/relationships/hyperlink" Target="../SYNERGY_PROJECT_CONTROL_TOWER_WORLD_CLASS_V2.xlsx" TargetMode="External" Id="Rbd0882b8d5264db2" /><Relationship Type="http://schemas.openxmlformats.org/officeDocument/2006/relationships/hyperlink" Target="../SYNERGY_PROJECT_CONTROL_TOWER_WORLD_CLASS_V2.xlsx" TargetMode="External" Id="R3d0c6c421aac46ce" /><Relationship Type="http://schemas.openxmlformats.org/officeDocument/2006/relationships/hyperlink" Target="../SYNERGY_PROJECT_CONTROL_TOWER_WORLD_CLASS_V2.xlsx" TargetMode="External" Id="Ra33ffc4f283e4157" /><Relationship Type="http://schemas.openxmlformats.org/officeDocument/2006/relationships/hyperlink" Target="../SYNERGY_PROJECT_CONTROL_TOWER_WORLD_CLASS_V2.xlsx" TargetMode="External" Id="Rd0fc283798f44bce" /><Relationship Type="http://schemas.openxmlformats.org/officeDocument/2006/relationships/hyperlink" Target="../SYNERGY_PROJECT_CONTROL_TOWER_WORLD_CLASS_V2.xlsx" TargetMode="External" Id="R338831ecc86049f6" /><Relationship Type="http://schemas.openxmlformats.org/officeDocument/2006/relationships/hyperlink" Target="../SYNERGY_PROJECT_CONTROL_TOWER_WORLD_CLASS_V2.xlsx" TargetMode="External" Id="R5701d4efcb564bb8" /><Relationship Type="http://schemas.openxmlformats.org/officeDocument/2006/relationships/drawing" Target="/xl/drawings/drawing11.xml" Id="Ra07c6b295cde4f32" /><Relationship Type="http://schemas.openxmlformats.org/officeDocument/2006/relationships/table" Target="/xl/tables/table2.xml" Id="R4b53befa13584a4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53e9d5be92e94c29" /><Relationship Type="http://schemas.openxmlformats.org/officeDocument/2006/relationships/hyperlink" Target="../SYNERGY_PROJECT_CONTROL_TOWER_WORLD_CLASS_V2.xlsx" TargetMode="External" Id="Rbd9f6ec2cc954fd4" /><Relationship Type="http://schemas.openxmlformats.org/officeDocument/2006/relationships/hyperlink" Target="../SYNERGY_PROJECT_CONTROL_TOWER_WORLD_CLASS_V2.xlsx" TargetMode="External" Id="Rf2d7ba63b8924a83" /><Relationship Type="http://schemas.openxmlformats.org/officeDocument/2006/relationships/hyperlink" Target="../SYNERGY_PROJECT_CONTROL_TOWER_WORLD_CLASS_V2.xlsx" TargetMode="External" Id="R9f79a90cd3c04c4a" /><Relationship Type="http://schemas.openxmlformats.org/officeDocument/2006/relationships/hyperlink" Target="../SYNERGY_PROJECT_CONTROL_TOWER_WORLD_CLASS_V2.xlsx" TargetMode="External" Id="R03469e7f12dd440e" /><Relationship Type="http://schemas.openxmlformats.org/officeDocument/2006/relationships/hyperlink" Target="../SYNERGY_PROJECT_CONTROL_TOWER_WORLD_CLASS_V2.xlsx" TargetMode="External" Id="R9a39625d5f814555" /><Relationship Type="http://schemas.openxmlformats.org/officeDocument/2006/relationships/hyperlink" Target="../SYNERGY_PROJECT_CONTROL_TOWER_WORLD_CLASS_V2.xlsx" TargetMode="External" Id="Re606c5634556460a" /><Relationship Type="http://schemas.openxmlformats.org/officeDocument/2006/relationships/hyperlink" Target="../SYNERGY_PROJECT_CONTROL_TOWER_WORLD_CLASS_V2.xlsx" TargetMode="External" Id="Rab6a281880524765" /><Relationship Type="http://schemas.openxmlformats.org/officeDocument/2006/relationships/hyperlink" Target="../SYNERGY_PROJECT_CONTROL_TOWER_WORLD_CLASS_V2.xlsx" TargetMode="External" Id="R719882f3acc9482c" /><Relationship Type="http://schemas.openxmlformats.org/officeDocument/2006/relationships/hyperlink" Target="../SYNERGY_PROJECT_CONTROL_TOWER_WORLD_CLASS_V2.xlsx" TargetMode="External" Id="Rdd2bc6e5d4214d93" /><Relationship Type="http://schemas.openxmlformats.org/officeDocument/2006/relationships/hyperlink" Target="../SYNERGY_PROJECT_CONTROL_TOWER_WORLD_CLASS_V2.xlsx" TargetMode="External" Id="Rfcc0ffba92a74676" /><Relationship Type="http://schemas.openxmlformats.org/officeDocument/2006/relationships/hyperlink" Target="../SYNERGY_PROJECT_CONTROL_TOWER_WORLD_CLASS_V2.xlsx" TargetMode="External" Id="R374c9f31c5f44436" /><Relationship Type="http://schemas.openxmlformats.org/officeDocument/2006/relationships/hyperlink" Target="../SYNERGY_PROJECT_CONTROL_TOWER_WORLD_CLASS_V2.xlsx" TargetMode="External" Id="Rd774156e5a9549e3" /><Relationship Type="http://schemas.openxmlformats.org/officeDocument/2006/relationships/drawing" Target="/xl/drawings/drawing12.xml" Id="R65307977df8049c9" /><Relationship Type="http://schemas.openxmlformats.org/officeDocument/2006/relationships/table" Target="/xl/tables/table3.xml" Id="Rc6657c1d0f0145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hyperlink" Target="../SYNERGY_PROJECT_CONTROL_TOWER_WORLD_CLASS_V2.xlsx" TargetMode="External" Id="R04bdd69e82c4426a" /><Relationship Type="http://schemas.openxmlformats.org/officeDocument/2006/relationships/hyperlink" Target="../SYNERGY_PROJECT_CONTROL_TOWER_WORLD_CLASS_V2.xlsx" TargetMode="External" Id="R6c34c372c5194422" /><Relationship Type="http://schemas.openxmlformats.org/officeDocument/2006/relationships/hyperlink" Target="../SYNERGY_PROJECT_CONTROL_TOWER_WORLD_CLASS_V2.xlsx" TargetMode="External" Id="Re42b883fce2949e3" /><Relationship Type="http://schemas.openxmlformats.org/officeDocument/2006/relationships/hyperlink" Target="../SYNERGY_PROJECT_CONTROL_TOWER_WORLD_CLASS_V2.xlsx" TargetMode="External" Id="R04510648fec7471f" /><Relationship Type="http://schemas.openxmlformats.org/officeDocument/2006/relationships/hyperlink" Target="../SYNERGY_PROJECT_CONTROL_TOWER_WORLD_CLASS_V2.xlsx" TargetMode="External" Id="R683a1cf9f809463d" /><Relationship Type="http://schemas.openxmlformats.org/officeDocument/2006/relationships/hyperlink" Target="../SYNERGY_PROJECT_CONTROL_TOWER_WORLD_CLASS_V2.xlsx" TargetMode="External" Id="R84e7ff696b0749cc" /><Relationship Type="http://schemas.openxmlformats.org/officeDocument/2006/relationships/hyperlink" Target="../SYNERGY_PROJECT_CONTROL_TOWER_WORLD_CLASS_V2.xlsx" TargetMode="External" Id="Rfc41e349935440fc" /><Relationship Type="http://schemas.openxmlformats.org/officeDocument/2006/relationships/hyperlink" Target="../SYNERGY_PROJECT_CONTROL_TOWER_WORLD_CLASS_V2.xlsx" TargetMode="External" Id="Rbc9cd9b0f2754c6d" /><Relationship Type="http://schemas.openxmlformats.org/officeDocument/2006/relationships/hyperlink" Target="../SYNERGY_PROJECT_CONTROL_TOWER_WORLD_CLASS_V2.xlsx" TargetMode="External" Id="Rcb9f0e4c43af4cf7" /><Relationship Type="http://schemas.openxmlformats.org/officeDocument/2006/relationships/hyperlink" Target="../SYNERGY_PROJECT_CONTROL_TOWER_WORLD_CLASS_V2.xlsx" TargetMode="External" Id="R5c638d217655487a" /><Relationship Type="http://schemas.openxmlformats.org/officeDocument/2006/relationships/hyperlink" Target="../SYNERGY_PROJECT_CONTROL_TOWER_WORLD_CLASS_V2.xlsx" TargetMode="External" Id="R6010efe3e31240d9" /><Relationship Type="http://schemas.openxmlformats.org/officeDocument/2006/relationships/hyperlink" Target="../SYNERGY_PROJECT_CONTROL_TOWER_WORLD_CLASS_V2.xlsx" TargetMode="External" Id="R1316dbaa4808421c" /><Relationship Type="http://schemas.openxmlformats.org/officeDocument/2006/relationships/hyperlink" Target="../SYNERGY_PROJECT_CONTROL_TOWER_WORLD_CLASS_V2.xlsx" TargetMode="External" Id="Rcba814aa92474137" /><Relationship Type="http://schemas.openxmlformats.org/officeDocument/2006/relationships/drawing" Target="/xl/drawings/drawing13.xml" Id="Refb4e4e81a1b44f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83f03d130b73458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99f4455e313545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4" width="22" hidden="0" customWidth="1"/>
  </x:cols>
  <x:sheetData>
    <x:row r="1" ht="32" hidden="0" customHeight="1">
      <x:c r="A1" s="309" t="s">
        <x:v>0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09"/>
      <x:c r="N1" s="1"/>
    </x:row>
    <x:row r="2" ht="22" hidden="0" customHeight="1">
      <x:c r="A2" s="209" t="s">
        <x:v>1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6" ht="21" hidden="0" customHeight="1">
      <x:c r="A6" s="4" t="s">
        <x:v>15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</x:row>
    <x:row r="7" ht="15" hidden="0">
      <x:c r="A7" s="5" t="s">
        <x:v>16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</x:row>
    <x:row r="8" ht="15" hidden="0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</x:row>
    <x:row r="9" ht="15" hidden="0" customHeight="1">
      <x:c r="A9" s="6" t="s">
        <x:v>17</x:v>
      </x:c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 ht="15" hidden="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2" ht="15" hidden="0">
      <x:c r="A12" s="7" t="s">
        <x:v>18</x:v>
      </x:c>
      <x:c r="B12" s="7"/>
      <x:c r="C12" s="7" t="s">
        <x:v>13</x:v>
      </x:c>
      <x:c r="D12" s="7"/>
      <x:c r="E12" s="7" t="s">
        <x:v>19</x:v>
      </x:c>
      <x:c r="F12" s="7"/>
      <x:c r="G12" s="7" t="s">
        <x:v>20</x:v>
      </x:c>
      <x:c r="H12" s="7"/>
      <x:c r="I12" s="7" t="s">
        <x:v>21</x:v>
      </x:c>
      <x:c r="J12" s="7"/>
      <x:c r="K12" s="7" t="s">
        <x:v>22</x:v>
      </x:c>
      <x:c r="L12" s="7"/>
      <x:c r="M12" s="7" t="s">
        <x:v>23</x:v>
      </x:c>
      <x:c r="N12" s="7"/>
    </x:row>
    <x:row r="13" ht="27.75" hidden="0" customHeight="1">
      <x:c r="A13" s="8" t="n">
        <x:f aca="0">COUNTA('10_Project_Data'!A6:A105)</x:f>
        <x:v>100</x:v>
      </x:c>
      <x:c r="B13" s="8"/>
      <x:c r="C13" s="9" t="n">
        <x:f aca="0">COUNTA('11_Task_Data'!B6:B605)</x:f>
        <x:v>600</x:v>
      </x:c>
      <x:c r="D13" s="9"/>
      <x:c r="E13" s="10" t="n">
        <x:f aca="0">SUM('10_Project_Data'!K6:K105)</x:f>
        <x:v>18198.5</x:v>
      </x:c>
      <x:c r="F13" s="10"/>
      <x:c r="G13" s="11" t="n">
        <x:f aca="0">SUM('10_Project_Data'!L6:L105)</x:f>
        <x:v>4224.5999999999985</x:v>
      </x:c>
      <x:c r="H13" s="11"/>
      <x:c r="I13" s="12" t="n">
        <x:f aca="0">SUM('10_Project_Data'!M6:M105)</x:f>
        <x:v>3272.699999999999</x:v>
      </x:c>
      <x:c r="J13" s="12"/>
      <x:c r="K13" s="13" t="str">
        <x:f aca="0">COUNTIF('10_Project_Data'!X6:X105,"RED")&amp;" / "&amp;COUNTIF('10_Project_Data'!X6:X105,"AMBER")</x:f>
        <x:v>74 / 25</x:v>
      </x:c>
      <x:c r="L13" s="13"/>
      <x:c r="M13" s="14" t="n">
        <x:f aca="0">COUNTIF('11_Task_Data'!J6:J605,"Blocked")</x:f>
        <x:v>33</x:v>
      </x:c>
      <x:c r="N13" s="14"/>
    </x:row>
    <x:row r="14" ht="15" hidden="0">
      <x:c r="A14" s="8"/>
      <x:c r="B14" s="8"/>
      <x:c r="C14" s="9"/>
      <x:c r="D14" s="9"/>
      <x:c r="E14" s="10"/>
      <x:c r="F14" s="10"/>
      <x:c r="G14" s="11"/>
      <x:c r="H14" s="11"/>
      <x:c r="I14" s="12"/>
      <x:c r="J14" s="12"/>
      <x:c r="K14" s="13"/>
      <x:c r="L14" s="13"/>
      <x:c r="M14" s="14"/>
      <x:c r="N14" s="14"/>
    </x:row>
    <x:row r="17" ht="21" hidden="0" customHeight="1">
      <x:c r="A17" s="15" t="s">
        <x:v>24</x:v>
      </x:c>
      <x:c r="B17" s="15"/>
      <x:c r="C17" s="15"/>
      <x:c r="D17" s="15"/>
      <x:c r="E17" s="15"/>
      <x:c r="F17" s="15"/>
      <x:c r="H17" s="15" t="s">
        <x:v>25</x:v>
      </x:c>
      <x:c r="I17" s="15"/>
      <x:c r="J17" s="15"/>
      <x:c r="K17" s="15"/>
      <x:c r="L17" s="15"/>
      <x:c r="M17" s="15"/>
      <x:c r="N17" s="15"/>
    </x:row>
    <x:row r="19" ht="24" hidden="0" customHeight="1">
      <x:c r="A19" s="16" t="s">
        <x:v>26</x:v>
      </x:c>
      <x:c r="B19" s="17" t="s">
        <x:v>27</x:v>
      </x:c>
      <x:c r="C19" s="18" t="s">
        <x:v>28</x:v>
      </x:c>
      <x:c r="D19" s="18"/>
      <x:c r="E19" s="18"/>
      <x:c r="F19" s="18"/>
      <x:c r="H19" s="19" t="s">
        <x:v>29</x:v>
      </x:c>
      <x:c r="I19" s="19"/>
      <x:c r="J19" s="19"/>
      <x:c r="K19" s="19"/>
      <x:c r="L19" s="19"/>
      <x:c r="M19" s="19"/>
      <x:c r="N19" s="19"/>
    </x:row>
    <x:row r="20" ht="24" hidden="0" customHeight="1">
      <x:c r="A20" s="16" t="s">
        <x:v>30</x:v>
      </x:c>
      <x:c r="B20" s="17" t="s">
        <x:v>31</x:v>
      </x:c>
      <x:c r="C20" s="18" t="s">
        <x:v>32</x:v>
      </x:c>
      <x:c r="D20" s="18"/>
      <x:c r="E20" s="18"/>
      <x:c r="F20" s="18"/>
      <x:c r="H20" s="19"/>
      <x:c r="I20" s="19"/>
      <x:c r="J20" s="19"/>
      <x:c r="K20" s="19"/>
      <x:c r="L20" s="19"/>
      <x:c r="M20" s="19"/>
      <x:c r="N20" s="19"/>
    </x:row>
    <x:row r="21" ht="24" hidden="0" customHeight="1">
      <x:c r="A21" s="16" t="s">
        <x:v>33</x:v>
      </x:c>
      <x:c r="B21" s="17" t="s">
        <x:v>34</x:v>
      </x:c>
      <x:c r="C21" s="18" t="s">
        <x:v>35</x:v>
      </x:c>
      <x:c r="D21" s="18"/>
      <x:c r="E21" s="18"/>
      <x:c r="F21" s="18"/>
      <x:c r="H21" s="19"/>
      <x:c r="I21" s="19"/>
      <x:c r="J21" s="19"/>
      <x:c r="K21" s="19"/>
      <x:c r="L21" s="19"/>
      <x:c r="M21" s="19"/>
      <x:c r="N21" s="19"/>
    </x:row>
    <x:row r="22" ht="24" hidden="0" customHeight="1">
      <x:c r="A22" s="16" t="s">
        <x:v>36</x:v>
      </x:c>
      <x:c r="B22" s="17" t="s">
        <x:v>37</x:v>
      </x:c>
      <x:c r="C22" s="18" t="s">
        <x:v>38</x:v>
      </x:c>
      <x:c r="D22" s="18"/>
      <x:c r="E22" s="18"/>
      <x:c r="F22" s="18"/>
      <x:c r="H22" s="19"/>
      <x:c r="I22" s="19"/>
      <x:c r="J22" s="19"/>
      <x:c r="K22" s="19"/>
      <x:c r="L22" s="19"/>
      <x:c r="M22" s="19"/>
      <x:c r="N22" s="19"/>
    </x:row>
    <x:row r="23" ht="24" hidden="0" customHeight="1">
      <x:c r="A23" s="16" t="s">
        <x:v>39</x:v>
      </x:c>
      <x:c r="B23" s="17" t="s">
        <x:v>40</x:v>
      </x:c>
      <x:c r="C23" s="18" t="s">
        <x:v>41</x:v>
      </x:c>
      <x:c r="D23" s="18"/>
      <x:c r="E23" s="18"/>
      <x:c r="F23" s="18"/>
      <x:c r="H23" s="19"/>
      <x:c r="I23" s="19"/>
      <x:c r="J23" s="19"/>
      <x:c r="K23" s="19"/>
      <x:c r="L23" s="19"/>
      <x:c r="M23" s="19"/>
      <x:c r="N23" s="19"/>
    </x:row>
    <x:row r="24" ht="24" hidden="0" customHeight="1">
      <x:c r="A24" s="16" t="s">
        <x:v>42</x:v>
      </x:c>
      <x:c r="B24" s="17" t="s">
        <x:v>43</x:v>
      </x:c>
      <x:c r="C24" s="18" t="s">
        <x:v>44</x:v>
      </x:c>
      <x:c r="D24" s="18"/>
      <x:c r="E24" s="18"/>
      <x:c r="F24" s="18"/>
      <x:c r="H24" s="19"/>
      <x:c r="I24" s="19"/>
      <x:c r="J24" s="19"/>
      <x:c r="K24" s="19"/>
      <x:c r="L24" s="19"/>
      <x:c r="M24" s="19"/>
      <x:c r="N24" s="19"/>
    </x:row>
  </x:sheetData>
  <x:mergeCells>
    <x:mergeCell ref="A1:N1"/>
    <x:mergeCell ref="A2:N2"/>
    <x:mergeCell ref="A6:N6"/>
    <x:mergeCell ref="A7:N8"/>
    <x:mergeCell ref="A9:N10"/>
    <x:mergeCell ref="A12:B12"/>
    <x:mergeCell ref="C12:D12"/>
    <x:mergeCell ref="E12:F12"/>
    <x:mergeCell ref="G12:H12"/>
    <x:mergeCell ref="I12:J12"/>
    <x:mergeCell ref="K12:L12"/>
    <x:mergeCell ref="M12:N12"/>
    <x:mergeCell ref="A13:B14"/>
    <x:mergeCell ref="C13:D14"/>
    <x:mergeCell ref="E13:F14"/>
    <x:mergeCell ref="G13:H14"/>
    <x:mergeCell ref="I13:J14"/>
    <x:mergeCell ref="K13:L14"/>
    <x:mergeCell ref="M13:N14"/>
    <x:mergeCell ref="A17:F17"/>
    <x:mergeCell ref="H17:N17"/>
    <x:mergeCell ref="C19:F19"/>
    <x:mergeCell ref="H19:N24"/>
    <x:mergeCell ref="C20:F20"/>
    <x:mergeCell ref="C21:F21"/>
    <x:mergeCell ref="C22:F22"/>
    <x:mergeCell ref="C23:F23"/>
    <x:mergeCell ref="C24:F24"/>
  </x:mergeCells>
  <x:hyperlinks>
    <x:hyperlink xmlns:r="http://schemas.openxmlformats.org/officeDocument/2006/relationships" ref="A4" r:id="R1796c1cc6bca4943"/>
    <x:hyperlink xmlns:r="http://schemas.openxmlformats.org/officeDocument/2006/relationships" ref="B4" r:id="Ra46e1043844141fb"/>
    <x:hyperlink xmlns:r="http://schemas.openxmlformats.org/officeDocument/2006/relationships" ref="C4" r:id="R56cd4816cfdc4109"/>
    <x:hyperlink xmlns:r="http://schemas.openxmlformats.org/officeDocument/2006/relationships" ref="D4" r:id="Rbacb9c6cabdd4e24"/>
    <x:hyperlink xmlns:r="http://schemas.openxmlformats.org/officeDocument/2006/relationships" ref="E4" r:id="R98e9c0fb38aa484a"/>
    <x:hyperlink xmlns:r="http://schemas.openxmlformats.org/officeDocument/2006/relationships" ref="F4" r:id="R4427b163dc3d4f48"/>
    <x:hyperlink xmlns:r="http://schemas.openxmlformats.org/officeDocument/2006/relationships" ref="G4" r:id="Rf2813bf7c3934bb7"/>
    <x:hyperlink xmlns:r="http://schemas.openxmlformats.org/officeDocument/2006/relationships" ref="H4" r:id="Rf1fa1cb519c544e2"/>
    <x:hyperlink xmlns:r="http://schemas.openxmlformats.org/officeDocument/2006/relationships" ref="I4" r:id="R26f037e91bd74b65"/>
    <x:hyperlink xmlns:r="http://schemas.openxmlformats.org/officeDocument/2006/relationships" ref="J4" r:id="R496183ab98834477"/>
    <x:hyperlink xmlns:r="http://schemas.openxmlformats.org/officeDocument/2006/relationships" ref="K4" r:id="R00bc2057c2324c06"/>
    <x:hyperlink xmlns:r="http://schemas.openxmlformats.org/officeDocument/2006/relationships" ref="L4" r:id="Rae7f44666ec241c8"/>
    <x:hyperlink xmlns:r="http://schemas.openxmlformats.org/officeDocument/2006/relationships" ref="M4" r:id="R2dcda3449fb24fae"/>
  </x:hyperlinks>
  <x:pageMargins left="0.7" right="0.7" top="0.75" bottom="0.75" header="0.3" footer="0.3"/>
  <x:drawing xmlns:r="http://schemas.openxmlformats.org/officeDocument/2006/relationships" r:id="R0be7a9953c3244c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0" hidden="0" customWidth="1"/>
    <x:col min="6" max="6" width="10" hidden="0" customWidth="1"/>
    <x:col min="7" max="7" width="15" hidden="0" customWidth="1"/>
    <x:col min="8" max="8" width="31" hidden="0" customWidth="1"/>
    <x:col min="9" max="9" width="12" hidden="0" customWidth="1"/>
    <x:col min="10" max="10" width="12" hidden="0" customWidth="1"/>
    <x:col min="11" max="11" width="11" hidden="0" customWidth="1"/>
    <x:col min="12" max="12" width="13" hidden="0" customWidth="1"/>
    <x:col min="13" max="13" width="13" hidden="0" customWidth="1"/>
    <x:col min="14" max="14" width="10" hidden="0" customWidth="1"/>
    <x:col min="15" max="15" width="10" hidden="0" customWidth="1"/>
    <x:col min="16" max="18" width="12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2" hidden="0" customHeight="1">
      <x:c r="A1" s="309" t="s">
        <x:v>45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09"/>
      <x:c r="N1" s="309"/>
      <x:c r="O1" s="309"/>
      <x:c r="P1" s="309"/>
      <x:c r="Q1" s="309"/>
      <x:c r="R1" s="309"/>
    </x:row>
    <x:row r="2" ht="22" hidden="0" customHeight="1">
      <x:c r="A2" s="209" t="s">
        <x:v>46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09"/>
      <x:c r="O2" s="209"/>
      <x:c r="P2" s="209"/>
      <x:c r="Q2" s="209"/>
      <x:c r="R2" s="209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6" ht="15" hidden="0">
      <x:c r="A6" s="7" t="s">
        <x:v>47</x:v>
      </x:c>
      <x:c r="B6" s="7"/>
      <x:c r="C6" s="7"/>
      <x:c r="D6" s="7" t="s">
        <x:v>48</x:v>
      </x:c>
      <x:c r="E6" s="7"/>
      <x:c r="F6" s="7"/>
      <x:c r="G6" s="7" t="s">
        <x:v>49</x:v>
      </x:c>
      <x:c r="H6" s="7"/>
      <x:c r="I6" s="7"/>
      <x:c r="J6" s="7" t="s">
        <x:v>50</x:v>
      </x:c>
      <x:c r="K6" s="7"/>
      <x:c r="L6" s="7"/>
      <x:c r="M6" s="7" t="s">
        <x:v>51</x:v>
      </x:c>
      <x:c r="N6" s="7"/>
      <x:c r="O6" s="7"/>
      <x:c r="P6" s="7" t="s">
        <x:v>52</x:v>
      </x:c>
      <x:c r="Q6" s="7"/>
      <x:c r="R6" s="7"/>
    </x:row>
    <x:row r="7" ht="27.75" hidden="0" customHeight="1">
      <x:c r="A7" s="219" t="n">
        <x:f aca="0">SUM('10_Project_Data'!K6:K105)</x:f>
        <x:v>18198.5</x:v>
      </x:c>
      <x:c r="B7" s="219"/>
      <x:c r="C7" s="219"/>
      <x:c r="D7" s="219" t="n">
        <x:f aca="0">SUM('10_Project_Data'!L6:L105)</x:f>
        <x:v>4224.5999999999985</x:v>
      </x:c>
      <x:c r="E7" s="219"/>
      <x:c r="F7" s="219"/>
      <x:c r="G7" s="219" t="n">
        <x:f aca="0">SUM('10_Project_Data'!M6:M105)</x:f>
        <x:v>3272.699999999999</x:v>
      </x:c>
      <x:c r="H7" s="219"/>
      <x:c r="I7" s="219"/>
      <x:c r="J7" s="220" t="n">
        <x:f aca="0">SUM('10_Project_Data'!N6:N105)</x:f>
        <x:v>2187</x:v>
      </x:c>
      <x:c r="K7" s="220"/>
      <x:c r="L7" s="220"/>
      <x:c r="M7" s="221" t="str">
        <x:f aca="0">COUNTIF('10_Project_Data'!X6:X105,"RED")&amp;" RED  |  "&amp;COUNTIF('10_Project_Data'!X6:X105,"AMBER")&amp;" AMBER"</x:f>
        <x:v>74 RED  |  25 AMBER</x:v>
      </x:c>
      <x:c r="N7" s="221"/>
      <x:c r="O7" s="221"/>
      <x:c r="P7" s="221" t="str">
        <x:f aca="0">COUNTIF('10_Project_Data'!X6:X105,"GREEN")&amp;" GREEN"</x:f>
        <x:v>1 GREEN</x:v>
      </x:c>
      <x:c r="Q7" s="221"/>
      <x:c r="R7" s="221"/>
    </x:row>
    <x:row r="8" ht="15" hidden="0">
      <x:c r="A8" s="219"/>
      <x:c r="B8" s="219"/>
      <x:c r="C8" s="219"/>
      <x:c r="D8" s="219"/>
      <x:c r="E8" s="219"/>
      <x:c r="F8" s="219"/>
      <x:c r="G8" s="219"/>
      <x:c r="H8" s="219"/>
      <x:c r="I8" s="219"/>
      <x:c r="J8" s="220"/>
      <x:c r="K8" s="220"/>
      <x:c r="L8" s="220"/>
      <x:c r="M8" s="221"/>
      <x:c r="N8" s="221"/>
      <x:c r="O8" s="221"/>
      <x:c r="P8" s="221"/>
      <x:c r="Q8" s="221"/>
      <x:c r="R8" s="221"/>
    </x:row>
    <x:row r="9">
      <x:c r="A9" s="222"/>
      <x:c r="B9" s="222"/>
      <x:c r="C9" s="222"/>
      <x:c r="D9" s="222"/>
      <x:c r="E9" s="222"/>
      <x:c r="F9" s="222"/>
      <x:c r="G9" s="222"/>
      <x:c r="H9" s="222"/>
      <x:c r="I9" s="222"/>
      <x:c r="J9" s="222"/>
      <x:c r="K9" s="222"/>
      <x:c r="L9" s="222"/>
      <x:c r="M9" s="222"/>
      <x:c r="N9" s="222"/>
      <x:c r="O9" s="222"/>
      <x:c r="P9" s="222"/>
      <x:c r="Q9" s="222"/>
      <x:c r="R9" s="222"/>
    </x:row>
    <x:row r="10">
      <x:c r="A10" s="222"/>
      <x:c r="B10" s="222"/>
      <x:c r="C10" s="222"/>
      <x:c r="D10" s="222"/>
      <x:c r="E10" s="222"/>
      <x:c r="F10" s="222"/>
      <x:c r="G10" s="222"/>
      <x:c r="H10" s="222"/>
      <x:c r="I10" s="222"/>
      <x:c r="J10" s="222"/>
      <x:c r="K10" s="222"/>
      <x:c r="L10" s="222"/>
      <x:c r="M10" s="222"/>
      <x:c r="N10" s="222"/>
      <x:c r="O10" s="222"/>
      <x:c r="P10" s="222"/>
      <x:c r="Q10" s="222"/>
      <x:c r="R10" s="222"/>
    </x:row>
    <x:row r="11" ht="21" hidden="0" customHeight="1">
      <x:c r="A11" s="223" t="s">
        <x:v>53</x:v>
      </x:c>
      <x:c r="B11" s="223"/>
      <x:c r="C11" s="223"/>
      <x:c r="D11" s="223"/>
      <x:c r="E11" s="223"/>
      <x:c r="F11" s="223"/>
      <x:c r="G11" s="223"/>
      <x:c r="H11" s="223"/>
      <x:c r="I11" s="223"/>
      <x:c r="J11" s="223"/>
      <x:c r="K11" s="222"/>
      <x:c r="L11" s="222"/>
      <x:c r="M11" s="222"/>
      <x:c r="N11" s="222"/>
      <x:c r="O11" s="222"/>
      <x:c r="P11" s="223" t="s">
        <x:v>52</x:v>
      </x:c>
      <x:c r="Q11" s="223"/>
      <x:c r="R11" s="223"/>
    </x:row>
    <x:row r="12" ht="15" hidden="0">
      <x:c r="A12" s="224" t="s">
        <x:v>54</x:v>
      </x:c>
      <x:c r="B12" s="224" t="s">
        <x:v>55</x:v>
      </x:c>
      <x:c r="C12" s="224" t="s">
        <x:v>56</x:v>
      </x:c>
      <x:c r="D12" s="224" t="s">
        <x:v>57</x:v>
      </x:c>
      <x:c r="E12" s="222"/>
      <x:c r="F12" s="222"/>
      <x:c r="G12" s="222"/>
      <x:c r="H12" s="222"/>
      <x:c r="I12" s="222"/>
      <x:c r="J12" s="222"/>
      <x:c r="K12" s="222"/>
      <x:c r="L12" s="222"/>
      <x:c r="M12" s="222"/>
      <x:c r="N12" s="222"/>
      <x:c r="O12" s="222"/>
      <x:c r="P12" s="224" t="s">
        <x:v>58</x:v>
      </x:c>
      <x:c r="Q12" s="224" t="s">
        <x:v>59</x:v>
      </x:c>
      <x:c r="R12" s="222"/>
    </x:row>
    <x:row r="13" ht="15" hidden="0">
      <x:c r="A13" s="222" t="s">
        <x:v>60</x:v>
      </x:c>
      <x:c r="B13" s="243" t="n">
        <x:f aca="0">SUMIF('10_Project_Data'!$C$6:$C$105,A13,'10_Project_Data'!$K$6:$K$105)</x:f>
        <x:v>1132.7</x:v>
      </x:c>
      <x:c r="C13" s="243" t="n">
        <x:f aca="0">SUMIF('10_Project_Data'!$C$6:$C$105,A13,'10_Project_Data'!$L$6:$L$105)</x:f>
        <x:v>252.8</x:v>
      </x:c>
      <x:c r="D13" s="243" t="n">
        <x:f aca="0">SUMIF('10_Project_Data'!$C$6:$C$105,A13,'10_Project_Data'!$M$6:$M$105)</x:f>
        <x:v>216.5</x:v>
      </x:c>
      <x:c r="E13" s="222"/>
      <x:c r="F13" s="222"/>
      <x:c r="G13" s="222"/>
      <x:c r="H13" s="222"/>
      <x:c r="I13" s="222"/>
      <x:c r="J13" s="222"/>
      <x:c r="K13" s="222"/>
      <x:c r="L13" s="222"/>
      <x:c r="M13" s="222"/>
      <x:c r="N13" s="222"/>
      <x:c r="O13" s="222"/>
      <x:c r="P13" s="222" t="s">
        <x:v>61</x:v>
      </x:c>
      <x:c r="Q13" s="222" t="n">
        <x:f aca="0">COUNTIF('10_Project_Data'!$X$6:$X$105,P13)</x:f>
        <x:v>1</x:v>
      </x:c>
      <x:c r="R13" s="222"/>
    </x:row>
    <x:row r="14" ht="15" hidden="0">
      <x:c r="A14" s="222" t="s">
        <x:v>62</x:v>
      </x:c>
      <x:c r="B14" s="243" t="n">
        <x:f aca="0">SUMIF('10_Project_Data'!$C$6:$C$105,A14,'10_Project_Data'!$K$6:$K$105)</x:f>
        <x:v>1105.2</x:v>
      </x:c>
      <x:c r="C14" s="243" t="n">
        <x:f aca="0">SUMIF('10_Project_Data'!$C$6:$C$105,A14,'10_Project_Data'!$L$6:$L$105)</x:f>
        <x:v>206.5</x:v>
      </x:c>
      <x:c r="D14" s="243" t="n">
        <x:f aca="0">SUMIF('10_Project_Data'!$C$6:$C$105,A14,'10_Project_Data'!$M$6:$M$105)</x:f>
        <x:v>196.59999999999997</x:v>
      </x:c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222" t="s">
        <x:v>63</x:v>
      </x:c>
      <x:c r="Q14" s="222" t="n">
        <x:f aca="0">COUNTIF('10_Project_Data'!$X$6:$X$105,P14)</x:f>
        <x:v>25</x:v>
      </x:c>
      <x:c r="R14" s="222"/>
    </x:row>
    <x:row r="15" ht="15" hidden="0">
      <x:c r="A15" s="222" t="s">
        <x:v>64</x:v>
      </x:c>
      <x:c r="B15" s="243" t="n">
        <x:f aca="0">SUMIF('10_Project_Data'!$C$6:$C$105,A15,'10_Project_Data'!$K$6:$K$105)</x:f>
        <x:v>1755.6000000000004</x:v>
      </x:c>
      <x:c r="C15" s="243" t="n">
        <x:f aca="0">SUMIF('10_Project_Data'!$C$6:$C$105,A15,'10_Project_Data'!$L$6:$L$105)</x:f>
        <x:v>404.4</x:v>
      </x:c>
      <x:c r="D15" s="243" t="n">
        <x:f aca="0">SUMIF('10_Project_Data'!$C$6:$C$105,A15,'10_Project_Data'!$M$6:$M$105)</x:f>
        <x:v>288.40000000000003</x:v>
      </x:c>
      <x:c r="E15" s="222"/>
      <x:c r="F15" s="222"/>
      <x:c r="G15" s="222"/>
      <x:c r="H15" s="222"/>
      <x:c r="I15" s="222"/>
      <x:c r="J15" s="222"/>
      <x:c r="K15" s="222"/>
      <x:c r="L15" s="222"/>
      <x:c r="M15" s="222"/>
      <x:c r="N15" s="222"/>
      <x:c r="O15" s="222"/>
      <x:c r="P15" s="222" t="s">
        <x:v>65</x:v>
      </x:c>
      <x:c r="Q15" s="222" t="n">
        <x:f aca="0">COUNTIF('10_Project_Data'!$X$6:$X$105,P15)</x:f>
        <x:v>74</x:v>
      </x:c>
      <x:c r="R15" s="222"/>
    </x:row>
    <x:row r="16" ht="15" hidden="0">
      <x:c r="A16" s="222" t="s">
        <x:v>66</x:v>
      </x:c>
      <x:c r="B16" s="243" t="n">
        <x:f aca="0">SUMIF('10_Project_Data'!$C$6:$C$105,A16,'10_Project_Data'!$K$6:$K$105)</x:f>
        <x:v>1545.8000000000002</x:v>
      </x:c>
      <x:c r="C16" s="243" t="n">
        <x:f aca="0">SUMIF('10_Project_Data'!$C$6:$C$105,A16,'10_Project_Data'!$L$6:$L$105)</x:f>
        <x:v>354.4</x:v>
      </x:c>
      <x:c r="D16" s="243" t="n">
        <x:f aca="0">SUMIF('10_Project_Data'!$C$6:$C$105,A16,'10_Project_Data'!$M$6:$M$105)</x:f>
        <x:v>286.7</x:v>
      </x:c>
      <x:c r="E16" s="222"/>
      <x:c r="F16" s="222"/>
      <x:c r="G16" s="222"/>
      <x:c r="H16" s="222"/>
      <x:c r="I16" s="222"/>
      <x:c r="J16" s="222"/>
      <x:c r="K16" s="222"/>
      <x:c r="L16" s="222"/>
      <x:c r="M16" s="222"/>
      <x:c r="N16" s="222"/>
      <x:c r="O16" s="222"/>
      <x:c r="P16" s="222"/>
      <x:c r="Q16" s="222"/>
      <x:c r="R16" s="222"/>
    </x:row>
    <x:row r="17" ht="15" hidden="0">
      <x:c r="A17" s="222" t="s">
        <x:v>67</x:v>
      </x:c>
      <x:c r="B17" s="243" t="n">
        <x:f aca="0">SUMIF('10_Project_Data'!$C$6:$C$105,A17,'10_Project_Data'!$K$6:$K$105)</x:f>
        <x:v>2371.0000000000005</x:v>
      </x:c>
      <x:c r="C17" s="243" t="n">
        <x:f aca="0">SUMIF('10_Project_Data'!$C$6:$C$105,A17,'10_Project_Data'!$L$6:$L$105)</x:f>
        <x:v>536.7000000000002</x:v>
      </x:c>
      <x:c r="D17" s="243" t="n">
        <x:f aca="0">SUMIF('10_Project_Data'!$C$6:$C$105,A17,'10_Project_Data'!$M$6:$M$105)</x:f>
        <x:v>497.9</x:v>
      </x:c>
      <x:c r="E17" s="222"/>
      <x:c r="F17" s="222"/>
      <x:c r="G17" s="222"/>
      <x:c r="H17" s="222"/>
      <x:c r="I17" s="222"/>
      <x:c r="J17" s="222"/>
      <x:c r="K17" s="222"/>
      <x:c r="L17" s="222"/>
      <x:c r="M17" s="222"/>
      <x:c r="N17" s="222"/>
      <x:c r="O17" s="222"/>
      <x:c r="P17" s="222"/>
      <x:c r="Q17" s="222"/>
      <x:c r="R17" s="222"/>
    </x:row>
    <x:row r="18" ht="15" hidden="0">
      <x:c r="A18" s="222" t="s">
        <x:v>68</x:v>
      </x:c>
      <x:c r="B18" s="243" t="n">
        <x:f aca="0">SUMIF('10_Project_Data'!$C$6:$C$105,A18,'10_Project_Data'!$K$6:$K$105)</x:f>
        <x:v>2281.3999999999996</x:v>
      </x:c>
      <x:c r="C18" s="243" t="n">
        <x:f aca="0">SUMIF('10_Project_Data'!$C$6:$C$105,A18,'10_Project_Data'!$L$6:$L$105)</x:f>
        <x:v>546.5</x:v>
      </x:c>
      <x:c r="D18" s="243" t="n">
        <x:f aca="0">SUMIF('10_Project_Data'!$C$6:$C$105,A18,'10_Project_Data'!$M$6:$M$105)</x:f>
        <x:v>528.1999999999999</x:v>
      </x:c>
      <x:c r="E18" s="222"/>
      <x:c r="F18" s="222"/>
      <x:c r="G18" s="222"/>
      <x:c r="H18" s="222"/>
      <x:c r="I18" s="222"/>
      <x:c r="J18" s="222"/>
      <x:c r="K18" s="222"/>
      <x:c r="L18" s="222"/>
      <x:c r="M18" s="222"/>
      <x:c r="N18" s="222"/>
      <x:c r="O18" s="222"/>
      <x:c r="P18" s="222"/>
      <x:c r="Q18" s="222"/>
      <x:c r="R18" s="222"/>
    </x:row>
    <x:row r="19" ht="15" hidden="0">
      <x:c r="A19" s="222" t="s">
        <x:v>69</x:v>
      </x:c>
      <x:c r="B19" s="243" t="n">
        <x:f aca="0">SUMIF('10_Project_Data'!$C$6:$C$105,A19,'10_Project_Data'!$K$6:$K$105)</x:f>
        <x:v>2052.3</x:v>
      </x:c>
      <x:c r="C19" s="243" t="n">
        <x:f aca="0">SUMIF('10_Project_Data'!$C$6:$C$105,A19,'10_Project_Data'!$L$6:$L$105)</x:f>
        <x:v>492.1</x:v>
      </x:c>
      <x:c r="D19" s="243" t="n">
        <x:f aca="0">SUMIF('10_Project_Data'!$C$6:$C$105,A19,'10_Project_Data'!$M$6:$M$105)</x:f>
        <x:v>297.90000000000003</x:v>
      </x:c>
      <x:c r="E19" s="222"/>
      <x:c r="F19" s="222"/>
      <x:c r="G19" s="222"/>
      <x:c r="H19" s="222"/>
      <x:c r="I19" s="222"/>
      <x:c r="J19" s="222"/>
      <x:c r="K19" s="222"/>
      <x:c r="L19" s="222"/>
      <x:c r="M19" s="222"/>
      <x:c r="N19" s="222"/>
      <x:c r="O19" s="222"/>
      <x:c r="P19" s="222"/>
      <x:c r="Q19" s="222"/>
      <x:c r="R19" s="222"/>
    </x:row>
    <x:row r="20" ht="15" hidden="0">
      <x:c r="A20" s="222" t="s">
        <x:v>70</x:v>
      </x:c>
      <x:c r="B20" s="243" t="n">
        <x:f aca="0">SUMIF('10_Project_Data'!$C$6:$C$105,A20,'10_Project_Data'!$K$6:$K$105)</x:f>
        <x:v>2622.1000000000004</x:v>
      </x:c>
      <x:c r="C20" s="243" t="n">
        <x:f aca="0">SUMIF('10_Project_Data'!$C$6:$C$105,A20,'10_Project_Data'!$L$6:$L$105)</x:f>
        <x:v>640.3</x:v>
      </x:c>
      <x:c r="D20" s="243" t="n">
        <x:f aca="0">SUMIF('10_Project_Data'!$C$6:$C$105,A20,'10_Project_Data'!$M$6:$M$105)</x:f>
        <x:v>400.2</x:v>
      </x:c>
      <x:c r="E20" s="222"/>
      <x:c r="F20" s="222"/>
      <x:c r="G20" s="222"/>
      <x:c r="H20" s="222"/>
      <x:c r="I20" s="222"/>
      <x:c r="J20" s="222"/>
      <x:c r="K20" s="222"/>
      <x:c r="L20" s="222"/>
      <x:c r="M20" s="222"/>
      <x:c r="N20" s="222"/>
      <x:c r="O20" s="222"/>
      <x:c r="P20" s="222"/>
      <x:c r="Q20" s="222"/>
      <x:c r="R20" s="222"/>
    </x:row>
    <x:row r="21" ht="15" hidden="0">
      <x:c r="A21" s="222" t="s">
        <x:v>71</x:v>
      </x:c>
      <x:c r="B21" s="243" t="n">
        <x:f aca="0">SUMIF('10_Project_Data'!$C$6:$C$105,A21,'10_Project_Data'!$K$6:$K$105)</x:f>
        <x:v>1035.8</x:v>
      </x:c>
      <x:c r="C21" s="243" t="n">
        <x:f aca="0">SUMIF('10_Project_Data'!$C$6:$C$105,A21,'10_Project_Data'!$L$6:$L$105)</x:f>
        <x:v>213.8</x:v>
      </x:c>
      <x:c r="D21" s="243" t="n">
        <x:f aca="0">SUMIF('10_Project_Data'!$C$6:$C$105,A21,'10_Project_Data'!$M$6:$M$105)</x:f>
        <x:v>154.2</x:v>
      </x:c>
      <x:c r="E21" s="222"/>
      <x:c r="F21" s="222"/>
      <x:c r="G21" s="222"/>
      <x:c r="H21" s="222"/>
      <x:c r="I21" s="222"/>
      <x:c r="J21" s="222"/>
      <x:c r="K21" s="222"/>
      <x:c r="L21" s="222"/>
      <x:c r="M21" s="222"/>
      <x:c r="N21" s="222"/>
      <x:c r="O21" s="222"/>
      <x:c r="P21" s="222"/>
      <x:c r="Q21" s="222"/>
      <x:c r="R21" s="222"/>
    </x:row>
    <x:row r="22" ht="20" hidden="0" customHeight="1">
      <x:c r="A22" s="223" t="s">
        <x:v>72</x:v>
      </x:c>
      <x:c r="B22" s="223"/>
      <x:c r="C22" s="223"/>
      <x:c r="D22" s="223"/>
      <x:c r="E22" s="223"/>
      <x:c r="F22" s="223"/>
      <x:c r="G22" s="223"/>
      <x:c r="H22" s="223"/>
      <x:c r="I22" s="223"/>
      <x:c r="J22" s="223"/>
      <x:c r="K22" s="285" t="str">
        <x:v>6-MONTH VALUE TIMING</x:v>
      </x:c>
      <x:c r="L22" s="285"/>
      <x:c r="M22" s="285"/>
      <x:c r="N22" s="222"/>
      <x:c r="O22" s="222"/>
      <x:c r="P22" s="222"/>
      <x:c r="Q22" s="222"/>
      <x:c r="R22" s="222"/>
    </x:row>
    <x:row r="23" ht="20" hidden="0" customHeight="1">
      <x:c r="A23" s="226" t="s">
        <x:v>73</x:v>
      </x:c>
      <x:c r="B23" s="226" t="s">
        <x:v>58</x:v>
      </x:c>
      <x:c r="C23" s="226" t="s">
        <x:v>74</x:v>
      </x:c>
      <x:c r="D23" s="226" t="s">
        <x:v>56</x:v>
      </x:c>
      <x:c r="E23" s="226" t="s">
        <x:v>75</x:v>
      </x:c>
      <x:c r="F23" s="226" t="s">
        <x:v>76</x:v>
      </x:c>
      <x:c r="G23" s="226" t="s">
        <x:v>77</x:v>
      </x:c>
      <x:c r="H23" s="226" t="s">
        <x:v>78</x:v>
      </x:c>
      <x:c r="I23" s="226" t="s">
        <x:v>55</x:v>
      </x:c>
      <x:c r="J23" s="226" t="s">
        <x:v>57</x:v>
      </x:c>
      <x:c r="K23" s="290" t="str">
        <x:v>Month</x:v>
      </x:c>
      <x:c r="L23" s="290" t="str">
        <x:v>Revenue ₹L</x:v>
      </x:c>
      <x:c r="M23" s="290" t="str">
        <x:v>Profit ₹L</x:v>
      </x:c>
      <x:c r="N23" s="222"/>
      <x:c r="O23" s="222"/>
      <x:c r="P23" s="222"/>
      <x:c r="Q23" s="222"/>
      <x:c r="R23" s="222"/>
    </x:row>
    <x:row r="24" ht="20" hidden="0" customHeight="1">
      <x:c r="A24" s="222" t="s">
        <x:v>79</x:v>
      </x:c>
      <x:c r="B24" s="227" t="s">
        <x:v>65</x:v>
      </x:c>
      <x:c r="C24" s="300" t="n">
        <x:v>92</x:v>
      </x:c>
      <x:c r="D24" s="245" t="n">
        <x:v>44.7</x:v>
      </x:c>
      <x:c r="E24" s="302" t="n">
        <x:v>8</x:v>
      </x:c>
      <x:c r="F24" s="302" t="n">
        <x:v>71.3</x:v>
      </x:c>
      <x:c r="G24" s="222" t="s">
        <x:v>80</x:v>
      </x:c>
      <x:c r="H24" s="222" t="s">
        <x:v>81</x:v>
      </x:c>
      <x:c r="I24" s="245" t="n">
        <x:v>195.6</x:v>
      </x:c>
      <x:c r="J24" s="245" t="n">
        <x:v>26.5</x:v>
      </x:c>
      <x:c r="K24" s="296" t="n">
        <x:v>46204</x:v>
      </x:c>
      <x:c r="L24" s="298" t="n">
        <x:f>SUM('10_Project_Data'!$K$6:$K$105)*'14_Config'!$L$2</x:f>
        <x:v>2183.8199999999997</x:v>
      </x:c>
      <x:c r="M24" s="298" t="n">
        <x:f>SUM('10_Project_Data'!$L$6:$L$105)*'14_Config'!$L$2</x:f>
        <x:v>506.9519999999998</x:v>
      </x:c>
      <x:c r="N24" s="222"/>
      <x:c r="O24" s="222"/>
      <x:c r="P24" s="222"/>
      <x:c r="Q24" s="222"/>
      <x:c r="R24" s="222"/>
    </x:row>
    <x:row r="25" ht="20" hidden="0" customHeight="1">
      <x:c r="A25" s="222" t="s">
        <x:v>82</x:v>
      </x:c>
      <x:c r="B25" s="227" t="s">
        <x:v>65</x:v>
      </x:c>
      <x:c r="C25" s="300" t="n">
        <x:v>92</x:v>
      </x:c>
      <x:c r="D25" s="245" t="n">
        <x:v>22.4</x:v>
      </x:c>
      <x:c r="E25" s="302" t="n">
        <x:v>6</x:v>
      </x:c>
      <x:c r="F25" s="302" t="n">
        <x:v>84.8</x:v>
      </x:c>
      <x:c r="G25" s="222" t="s">
        <x:v>80</x:v>
      </x:c>
      <x:c r="H25" s="222" t="s">
        <x:v>81</x:v>
      </x:c>
      <x:c r="I25" s="245" t="n">
        <x:v>86.3</x:v>
      </x:c>
      <x:c r="J25" s="245" t="n">
        <x:v>49</x:v>
      </x:c>
      <x:c r="K25" s="296" t="n">
        <x:v>46235</x:v>
      </x:c>
      <x:c r="L25" s="298" t="n">
        <x:f>SUM('10_Project_Data'!$K$6:$K$105)*'14_Config'!$L$3</x:f>
        <x:v>2729.775</x:v>
      </x:c>
      <x:c r="M25" s="298" t="n">
        <x:f>SUM('10_Project_Data'!$L$6:$L$105)*'14_Config'!$L$3</x:f>
        <x:v>633.6899999999997</x:v>
      </x:c>
      <x:c r="N25" s="222"/>
      <x:c r="O25" s="222"/>
      <x:c r="P25" s="222"/>
      <x:c r="Q25" s="222"/>
      <x:c r="R25" s="222"/>
    </x:row>
    <x:row r="26" ht="20" hidden="0" customHeight="1">
      <x:c r="A26" s="222" t="s">
        <x:v>83</x:v>
      </x:c>
      <x:c r="B26" s="227" t="s">
        <x:v>65</x:v>
      </x:c>
      <x:c r="C26" s="300" t="n">
        <x:v>91</x:v>
      </x:c>
      <x:c r="D26" s="245" t="n">
        <x:v>38.8</x:v>
      </x:c>
      <x:c r="E26" s="302" t="n">
        <x:v>10</x:v>
      </x:c>
      <x:c r="F26" s="302" t="n">
        <x:v>63.8</x:v>
      </x:c>
      <x:c r="G26" s="222" t="s">
        <x:v>84</x:v>
      </x:c>
      <x:c r="H26" s="222" t="s">
        <x:v>81</x:v>
      </x:c>
      <x:c r="I26" s="245" t="n">
        <x:v>121.1</x:v>
      </x:c>
      <x:c r="J26" s="245" t="n">
        <x:v>22.9</x:v>
      </x:c>
      <x:c r="K26" s="296" t="n">
        <x:v>46266</x:v>
      </x:c>
      <x:c r="L26" s="298" t="n">
        <x:f>SUM('10_Project_Data'!$K$6:$K$105)*'14_Config'!$L$4</x:f>
        <x:v>3275.73</x:v>
      </x:c>
      <x:c r="M26" s="298" t="n">
        <x:f>SUM('10_Project_Data'!$L$6:$L$105)*'14_Config'!$L$4</x:f>
        <x:v>760.4279999999997</x:v>
      </x:c>
      <x:c r="N26" s="222"/>
      <x:c r="O26" s="222"/>
      <x:c r="P26" s="222"/>
      <x:c r="Q26" s="222"/>
      <x:c r="R26" s="222"/>
    </x:row>
    <x:row r="27" ht="20" hidden="0" customHeight="1">
      <x:c r="A27" s="222" t="s">
        <x:v>85</x:v>
      </x:c>
      <x:c r="B27" s="227" t="s">
        <x:v>65</x:v>
      </x:c>
      <x:c r="C27" s="300" t="n">
        <x:v>88</x:v>
      </x:c>
      <x:c r="D27" s="245" t="n">
        <x:v>44.9</x:v>
      </x:c>
      <x:c r="E27" s="302" t="n">
        <x:v>17</x:v>
      </x:c>
      <x:c r="F27" s="302" t="n">
        <x:v>42.8</x:v>
      </x:c>
      <x:c r="G27" s="222" t="s">
        <x:v>86</x:v>
      </x:c>
      <x:c r="H27" s="222" t="s">
        <x:v>81</x:v>
      </x:c>
      <x:c r="I27" s="245" t="n">
        <x:v>227.8</x:v>
      </x:c>
      <x:c r="J27" s="245" t="n">
        <x:v>64.5</x:v>
      </x:c>
      <x:c r="K27" s="296" t="n">
        <x:v>46296</x:v>
      </x:c>
      <x:c r="L27" s="298" t="n">
        <x:f>SUM('10_Project_Data'!$K$6:$K$105)*'14_Config'!$L$5</x:f>
        <x:v>3639.7000000000003</x:v>
      </x:c>
      <x:c r="M27" s="298" t="n">
        <x:f>SUM('10_Project_Data'!$L$6:$L$105)*'14_Config'!$L$5</x:f>
        <x:v>844.9199999999997</x:v>
      </x:c>
      <x:c r="N27" s="222"/>
      <x:c r="O27" s="222"/>
      <x:c r="P27" s="222"/>
      <x:c r="Q27" s="222"/>
      <x:c r="R27" s="222"/>
    </x:row>
    <x:row r="28" ht="20" hidden="0" customHeight="1">
      <x:c r="A28" s="222" t="s">
        <x:v>87</x:v>
      </x:c>
      <x:c r="B28" s="227" t="s">
        <x:v>65</x:v>
      </x:c>
      <x:c r="C28" s="300" t="n">
        <x:v>88</x:v>
      </x:c>
      <x:c r="D28" s="245" t="n">
        <x:v>49.2</x:v>
      </x:c>
      <x:c r="E28" s="302" t="n">
        <x:v>6</x:v>
      </x:c>
      <x:c r="F28" s="302" t="n">
        <x:v>81.7</x:v>
      </x:c>
      <x:c r="G28" s="222" t="s">
        <x:v>88</x:v>
      </x:c>
      <x:c r="H28" s="222" t="s">
        <x:v>81</x:v>
      </x:c>
      <x:c r="I28" s="245" t="n">
        <x:v>381.7</x:v>
      </x:c>
      <x:c r="J28" s="245" t="n">
        <x:v>24.6</x:v>
      </x:c>
      <x:c r="K28" s="296" t="n">
        <x:v>46327</x:v>
      </x:c>
      <x:c r="L28" s="298" t="n">
        <x:f>SUM('10_Project_Data'!$K$6:$K$105)*'14_Config'!$L$6</x:f>
        <x:v>3275.73</x:v>
      </x:c>
      <x:c r="M28" s="298" t="n">
        <x:f>SUM('10_Project_Data'!$L$6:$L$105)*'14_Config'!$L$6</x:f>
        <x:v>760.4279999999997</x:v>
      </x:c>
      <x:c r="N28" s="222"/>
      <x:c r="O28" s="222"/>
      <x:c r="P28" s="222"/>
      <x:c r="Q28" s="222"/>
      <x:c r="R28" s="222"/>
    </x:row>
    <x:row r="29" ht="20" hidden="0" customHeight="1">
      <x:c r="A29" s="222" t="s">
        <x:v>89</x:v>
      </x:c>
      <x:c r="B29" s="227" t="s">
        <x:v>65</x:v>
      </x:c>
      <x:c r="C29" s="300" t="n">
        <x:v>87</x:v>
      </x:c>
      <x:c r="D29" s="245" t="n">
        <x:v>77.9</x:v>
      </x:c>
      <x:c r="E29" s="302" t="n">
        <x:v>10</x:v>
      </x:c>
      <x:c r="F29" s="302" t="n">
        <x:v>72.3</x:v>
      </x:c>
      <x:c r="G29" s="222" t="s">
        <x:v>90</x:v>
      </x:c>
      <x:c r="H29" s="222" t="s">
        <x:v>81</x:v>
      </x:c>
      <x:c r="I29" s="245" t="n">
        <x:v>281.9</x:v>
      </x:c>
      <x:c r="J29" s="245" t="n">
        <x:v>40.2</x:v>
      </x:c>
      <x:c r="K29" s="296" t="n">
        <x:v>46357</x:v>
      </x:c>
      <x:c r="L29" s="298" t="n">
        <x:f>SUM('10_Project_Data'!$K$6:$K$105)*'14_Config'!$L$7</x:f>
        <x:v>3093.7450000000003</x:v>
      </x:c>
      <x:c r="M29" s="298" t="n">
        <x:f>SUM('10_Project_Data'!$L$6:$L$105)*'14_Config'!$L$7</x:f>
        <x:v>718.1819999999998</x:v>
      </x:c>
      <x:c r="N29" s="222"/>
      <x:c r="O29" s="222"/>
      <x:c r="P29" s="222"/>
      <x:c r="Q29" s="222"/>
      <x:c r="R29" s="222"/>
    </x:row>
    <x:row r="30" ht="21" hidden="0" customHeight="1">
      <x:c r="A30" s="222" t="s">
        <x:v>91</x:v>
      </x:c>
      <x:c r="B30" s="227" t="s">
        <x:v>65</x:v>
      </x:c>
      <x:c r="C30" s="300" t="n">
        <x:v>86</x:v>
      </x:c>
      <x:c r="D30" s="245" t="n">
        <x:v>64.4</x:v>
      </x:c>
      <x:c r="E30" s="302" t="n">
        <x:v>21</x:v>
      </x:c>
      <x:c r="F30" s="302" t="n">
        <x:v>23.2</x:v>
      </x:c>
      <x:c r="G30" s="222" t="s">
        <x:v>84</x:v>
      </x:c>
      <x:c r="H30" s="222" t="s">
        <x:v>81</x:v>
      </x:c>
      <x:c r="I30" s="245" t="n">
        <x:v>200.7</x:v>
      </x:c>
      <x:c r="J30" s="245" t="n">
        <x:v>8.8</x:v>
      </x:c>
      <x:c r="K30" s="222"/>
      <x:c r="L30" s="222"/>
      <x:c r="M30" s="222"/>
      <x:c r="N30" s="222"/>
      <x:c r="O30" s="222"/>
      <x:c r="P30" s="223" t="s">
        <x:v>92</x:v>
      </x:c>
      <x:c r="Q30" s="223"/>
      <x:c r="R30" s="223"/>
    </x:row>
    <x:row r="31" ht="15" hidden="0">
      <x:c r="A31" s="222" t="s">
        <x:v>93</x:v>
      </x:c>
      <x:c r="B31" s="227" t="s">
        <x:v>65</x:v>
      </x:c>
      <x:c r="C31" s="300" t="n">
        <x:v>86</x:v>
      </x:c>
      <x:c r="D31" s="245" t="n">
        <x:v>58.7</x:v>
      </x:c>
      <x:c r="E31" s="302" t="n">
        <x:v>14</x:v>
      </x:c>
      <x:c r="F31" s="302" t="n">
        <x:v>47.2</x:v>
      </x:c>
      <x:c r="G31" s="222" t="s">
        <x:v>88</x:v>
      </x:c>
      <x:c r="H31" s="222" t="s">
        <x:v>81</x:v>
      </x:c>
      <x:c r="I31" s="245" t="n">
        <x:v>211.5</x:v>
      </x:c>
      <x:c r="J31" s="245" t="n">
        <x:v>58.5</x:v>
      </x:c>
      <x:c r="K31" s="222"/>
      <x:c r="L31" s="222"/>
      <x:c r="M31" s="222"/>
      <x:c r="N31" s="222"/>
      <x:c r="O31" s="222"/>
      <x:c r="P31" s="224"/>
      <x:c r="Q31" s="224"/>
      <x:c r="R31" s="224"/>
    </x:row>
    <x:row r="32" ht="15" hidden="0">
      <x:c r="A32" s="222" t="s">
        <x:v>94</x:v>
      </x:c>
      <x:c r="B32" s="227" t="s">
        <x:v>65</x:v>
      </x:c>
      <x:c r="C32" s="300" t="n">
        <x:v>83</x:v>
      </x:c>
      <x:c r="D32" s="245" t="n">
        <x:v>16.3</x:v>
      </x:c>
      <x:c r="E32" s="302" t="n">
        <x:v>16</x:v>
      </x:c>
      <x:c r="F32" s="302" t="n">
        <x:v>39.5</x:v>
      </x:c>
      <x:c r="G32" s="222" t="s">
        <x:v>95</x:v>
      </x:c>
      <x:c r="H32" s="222" t="s">
        <x:v>81</x:v>
      </x:c>
      <x:c r="I32" s="245" t="n">
        <x:v>60</x:v>
      </x:c>
      <x:c r="J32" s="245" t="n">
        <x:v>43.7</x:v>
      </x:c>
      <x:c r="K32" s="222"/>
      <x:c r="L32" s="222"/>
      <x:c r="M32" s="222"/>
      <x:c r="N32" s="222"/>
      <x:c r="O32" s="222"/>
      <x:c r="P32" s="251"/>
      <x:c r="Q32" s="245">
        <x:f aca="0"/>
      </x:c>
      <x:c r="R32" s="245">
        <x:f aca="0"/>
      </x:c>
    </x:row>
    <x:row r="33" ht="15" hidden="0">
      <x:c r="A33" s="222" t="s">
        <x:v>96</x:v>
      </x:c>
      <x:c r="B33" s="227" t="s">
        <x:v>65</x:v>
      </x:c>
      <x:c r="C33" s="300" t="n">
        <x:v>83</x:v>
      </x:c>
      <x:c r="D33" s="245" t="n">
        <x:v>34.2</x:v>
      </x:c>
      <x:c r="E33" s="302" t="n">
        <x:v>14</x:v>
      </x:c>
      <x:c r="F33" s="302" t="n">
        <x:v>46.3</x:v>
      </x:c>
      <x:c r="G33" s="222" t="s">
        <x:v>97</x:v>
      </x:c>
      <x:c r="H33" s="222" t="s">
        <x:v>81</x:v>
      </x:c>
      <x:c r="I33" s="245" t="n">
        <x:v>198.9</x:v>
      </x:c>
      <x:c r="J33" s="245" t="n">
        <x:v>17.1</x:v>
      </x:c>
      <x:c r="K33" s="222"/>
      <x:c r="L33" s="222"/>
      <x:c r="M33" s="222"/>
      <x:c r="N33" s="222"/>
      <x:c r="O33" s="222"/>
      <x:c r="P33" s="251"/>
      <x:c r="Q33" s="245">
        <x:f aca="0"/>
      </x:c>
      <x:c r="R33" s="245">
        <x:f aca="0"/>
      </x:c>
    </x:row>
    <x:row r="34" ht="15" hidden="0">
      <x:c r="A34" s="222"/>
      <x:c r="B34" s="222"/>
      <x:c r="C34" s="222"/>
      <x:c r="D34" s="222"/>
      <x:c r="E34" s="222"/>
      <x:c r="F34" s="222"/>
      <x:c r="G34" s="222"/>
      <x:c r="H34" s="222"/>
      <x:c r="I34" s="222"/>
      <x:c r="J34" s="222"/>
      <x:c r="K34" s="222"/>
      <x:c r="L34" s="222"/>
      <x:c r="M34" s="222"/>
      <x:c r="N34" s="222"/>
      <x:c r="O34" s="222"/>
      <x:c r="P34" s="251"/>
      <x:c r="Q34" s="245">
        <x:f aca="0"/>
      </x:c>
      <x:c r="R34" s="245">
        <x:f aca="0"/>
      </x:c>
    </x:row>
    <x:row r="35" ht="15" hidden="0">
      <x:c r="A35" s="222"/>
      <x:c r="B35" s="222"/>
      <x:c r="C35" s="222"/>
      <x:c r="D35" s="222"/>
      <x:c r="E35" s="222"/>
      <x:c r="F35" s="222"/>
      <x:c r="G35" s="222"/>
      <x:c r="H35" s="222"/>
      <x:c r="I35" s="222"/>
      <x:c r="J35" s="222"/>
      <x:c r="K35" s="222"/>
      <x:c r="L35" s="222"/>
      <x:c r="M35" s="222"/>
      <x:c r="N35" s="222"/>
      <x:c r="O35" s="222"/>
      <x:c r="P35" s="251"/>
      <x:c r="Q35" s="245">
        <x:f aca="0"/>
      </x:c>
      <x:c r="R35" s="245">
        <x:f aca="0"/>
      </x:c>
    </x:row>
    <x:row r="36" ht="21" hidden="0" customHeight="1">
      <x:c r="A36" s="15" t="s">
        <x:v>98</x:v>
      </x:c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252" t="str"/>
      <x:c r="Q36" s="247" t="str"/>
      <x:c r="R36" s="247" t="str"/>
    </x:row>
    <x:row r="37" ht="28.350000381469727" hidden="0">
      <x:c r="A37" s="30" t="s">
        <x:v>99</x:v>
      </x:c>
      <x:c r="B37" s="30" t="s">
        <x:v>73</x:v>
      </x:c>
      <x:c r="C37" s="30" t="s">
        <x:v>54</x:v>
      </x:c>
      <x:c r="D37" s="30" t="s">
        <x:v>55</x:v>
      </x:c>
      <x:c r="E37" s="30" t="s">
        <x:v>56</x:v>
      </x:c>
      <x:c r="F37" s="30" t="s">
        <x:v>57</x:v>
      </x:c>
      <x:c r="G37" s="30" t="s">
        <x:v>100</x:v>
      </x:c>
      <x:c r="H37" s="30" t="s">
        <x:v>74</x:v>
      </x:c>
      <x:c r="I37" s="30" t="s">
        <x:v>58</x:v>
      </x:c>
      <x:c r="J37" s="30" t="s">
        <x:v>77</x:v>
      </x:c>
      <x:c r="K37" s="30" t="s">
        <x:v>101</x:v>
      </x:c>
      <x:c r="L37" s="30" t="s">
        <x:v>102</x:v>
      </x:c>
      <x:c r="M37" s="30" t="s">
        <x:v>103</x:v>
      </x:c>
      <x:c r="N37" s="30" t="s">
        <x:v>104</x:v>
      </x:c>
      <x:c r="O37" s="30" t="s">
        <x:v>105</x:v>
      </x:c>
      <x:c r="P37" s="253" t="str">
        <x:v>Budget ₹L</x:v>
      </x:c>
      <x:c r="Q37" s="248" t="str">
        <x:v>Days Risk</x:v>
      </x:c>
      <x:c r="R37" s="248" t="str">
        <x:v>Escalations</x:v>
      </x:c>
    </x:row>
    <x:row r="38" ht="15" hidden="0">
      <x:c r="A38" s="33" t="s">
        <x:v>106</x:v>
      </x:c>
      <x:c r="B38" t="s">
        <x:v>82</x:v>
      </x:c>
      <x:c r="C38" t="s">
        <x:v>64</x:v>
      </x:c>
      <x:c r="D38" s="27" t="n">
        <x:v>86.3</x:v>
      </x:c>
      <x:c r="E38" s="27" t="n">
        <x:v>22.4</x:v>
      </x:c>
      <x:c r="F38" s="27" t="n">
        <x:v>49</x:v>
      </x:c>
      <x:c r="G38" s="34" t="n">
        <x:v>84.8</x:v>
      </x:c>
      <x:c r="H38" t="n">
        <x:v>92</x:v>
      </x:c>
      <x:c r="I38" s="26" t="s">
        <x:v>65</x:v>
      </x:c>
      <x:c r="J38" t="s">
        <x:v>80</x:v>
      </x:c>
      <x:c r="K38" t="s">
        <x:v>107</x:v>
      </x:c>
      <x:c r="L38" t="s">
        <x:v>108</x:v>
      </x:c>
      <x:c r="M38" t="n">
        <x:v>10</x:v>
      </x:c>
      <x:c r="N38" s="35" t="n">
        <x:v>0.970864081264324</x:v>
      </x:c>
      <x:c r="O38" t="n">
        <x:v>87</x:v>
      </x:c>
      <x:c r="P38" s="258" t="n">
        <x:v>55.4</x:v>
      </x:c>
      <x:c r="Q38" s="304" t="n">
        <x:v>6</x:v>
      </x:c>
      <x:c r="R38" s="304" t="n">
        <x:v>3</x:v>
      </x:c>
    </x:row>
    <x:row r="39" ht="15" hidden="0">
      <x:c r="A39" s="33" t="s">
        <x:v>109</x:v>
      </x:c>
      <x:c r="B39" t="s">
        <x:v>79</x:v>
      </x:c>
      <x:c r="C39" t="s">
        <x:v>68</x:v>
      </x:c>
      <x:c r="D39" s="27" t="n">
        <x:v>195.6</x:v>
      </x:c>
      <x:c r="E39" s="27" t="n">
        <x:v>44.7</x:v>
      </x:c>
      <x:c r="F39" s="27" t="n">
        <x:v>26.5</x:v>
      </x:c>
      <x:c r="G39" s="34" t="n">
        <x:v>71.3</x:v>
      </x:c>
      <x:c r="H39" t="n">
        <x:v>92</x:v>
      </x:c>
      <x:c r="I39" s="26" t="s">
        <x:v>65</x:v>
      </x:c>
      <x:c r="J39" t="s">
        <x:v>80</x:v>
      </x:c>
      <x:c r="K39" t="s">
        <x:v>110</x:v>
      </x:c>
      <x:c r="L39" t="s">
        <x:v>111</x:v>
      </x:c>
      <x:c r="M39" t="n">
        <x:v>33</x:v>
      </x:c>
      <x:c r="N39" s="35" t="n">
        <x:v>0.642667042172197</x:v>
      </x:c>
      <x:c r="O39" t="n">
        <x:v>76</x:v>
      </x:c>
      <x:c r="P39" s="258" t="n">
        <x:v>85.8</x:v>
      </x:c>
      <x:c r="Q39" s="304" t="n">
        <x:v>8</x:v>
      </x:c>
      <x:c r="R39" s="304" t="n">
        <x:v>3</x:v>
      </x:c>
    </x:row>
    <x:row r="40" ht="15" hidden="0">
      <x:c r="A40" s="33" t="s">
        <x:v>112</x:v>
      </x:c>
      <x:c r="B40" t="s">
        <x:v>83</x:v>
      </x:c>
      <x:c r="C40" t="s">
        <x:v>67</x:v>
      </x:c>
      <x:c r="D40" s="27" t="n">
        <x:v>121.1</x:v>
      </x:c>
      <x:c r="E40" s="27" t="n">
        <x:v>38.8</x:v>
      </x:c>
      <x:c r="F40" s="27" t="n">
        <x:v>22.9</x:v>
      </x:c>
      <x:c r="G40" s="34" t="n">
        <x:v>63.8</x:v>
      </x:c>
      <x:c r="H40" t="n">
        <x:v>91</x:v>
      </x:c>
      <x:c r="I40" s="26" t="s">
        <x:v>65</x:v>
      </x:c>
      <x:c r="J40" t="s">
        <x:v>84</x:v>
      </x:c>
      <x:c r="K40" t="s">
        <x:v>113</x:v>
      </x:c>
      <x:c r="L40" t="s">
        <x:v>114</x:v>
      </x:c>
      <x:c r="M40" t="n">
        <x:v>31</x:v>
      </x:c>
      <x:c r="N40" s="35" t="n">
        <x:v>1.0386943788345</x:v>
      </x:c>
      <x:c r="O40" t="n">
        <x:v>64</x:v>
      </x:c>
      <x:c r="P40" s="258" t="n">
        <x:v>67.9</x:v>
      </x:c>
      <x:c r="Q40" s="304" t="n">
        <x:v>10</x:v>
      </x:c>
      <x:c r="R40" s="304" t="n">
        <x:v>3</x:v>
      </x:c>
    </x:row>
    <x:row r="41" ht="15" hidden="0">
      <x:c r="A41" s="33" t="s">
        <x:v>115</x:v>
      </x:c>
      <x:c r="B41" t="s">
        <x:v>85</x:v>
      </x:c>
      <x:c r="C41" t="s">
        <x:v>68</x:v>
      </x:c>
      <x:c r="D41" s="27" t="n">
        <x:v>227.8</x:v>
      </x:c>
      <x:c r="E41" s="27" t="n">
        <x:v>44.9</x:v>
      </x:c>
      <x:c r="F41" s="27" t="n">
        <x:v>64.5</x:v>
      </x:c>
      <x:c r="G41" s="34" t="n">
        <x:v>42.8</x:v>
      </x:c>
      <x:c r="H41" t="n">
        <x:v>88</x:v>
      </x:c>
      <x:c r="I41" s="26" t="s">
        <x:v>65</x:v>
      </x:c>
      <x:c r="J41" t="s">
        <x:v>86</x:v>
      </x:c>
      <x:c r="K41" t="s">
        <x:v>116</x:v>
      </x:c>
      <x:c r="L41" t="s">
        <x:v>111</x:v>
      </x:c>
      <x:c r="M41" t="n">
        <x:v>28</x:v>
      </x:c>
      <x:c r="N41" s="35" t="n">
        <x:v>0.678955526177312</x:v>
      </x:c>
      <x:c r="O41" t="n">
        <x:v>89</x:v>
      </x:c>
      <x:c r="P41" s="258" t="n">
        <x:v>155.6</x:v>
      </x:c>
      <x:c r="Q41" s="304" t="n">
        <x:v>17</x:v>
      </x:c>
      <x:c r="R41" s="304" t="n">
        <x:v>3</x:v>
      </x:c>
    </x:row>
    <x:row r="42" ht="15" hidden="0">
      <x:c r="A42" s="33" t="s">
        <x:v>117</x:v>
      </x:c>
      <x:c r="B42" t="s">
        <x:v>87</x:v>
      </x:c>
      <x:c r="C42" t="s">
        <x:v>62</x:v>
      </x:c>
      <x:c r="D42" s="27" t="n">
        <x:v>381.7</x:v>
      </x:c>
      <x:c r="E42" s="27" t="n">
        <x:v>49.2</x:v>
      </x:c>
      <x:c r="F42" s="27" t="n">
        <x:v>24.6</x:v>
      </x:c>
      <x:c r="G42" s="34" t="n">
        <x:v>81.7</x:v>
      </x:c>
      <x:c r="H42" t="n">
        <x:v>88</x:v>
      </x:c>
      <x:c r="I42" s="26" t="s">
        <x:v>65</x:v>
      </x:c>
      <x:c r="J42" t="s">
        <x:v>88</x:v>
      </x:c>
      <x:c r="K42" t="s">
        <x:v>118</x:v>
      </x:c>
      <x:c r="L42" t="s">
        <x:v>108</x:v>
      </x:c>
      <x:c r="M42" t="n">
        <x:v>11</x:v>
      </x:c>
      <x:c r="N42" s="35" t="n">
        <x:v>1.04419530201235</x:v>
      </x:c>
      <x:c r="O42" t="n">
        <x:v>84</x:v>
      </x:c>
      <x:c r="P42" s="258" t="n">
        <x:v>179.6</x:v>
      </x:c>
      <x:c r="Q42" s="304" t="n">
        <x:v>6</x:v>
      </x:c>
      <x:c r="R42" s="304" t="n">
        <x:v>3</x:v>
      </x:c>
    </x:row>
    <x:row r="43" ht="15" hidden="0">
      <x:c r="A43" s="33" t="s">
        <x:v>119</x:v>
      </x:c>
      <x:c r="B43" t="s">
        <x:v>89</x:v>
      </x:c>
      <x:c r="C43" t="s">
        <x:v>70</x:v>
      </x:c>
      <x:c r="D43" s="27" t="n">
        <x:v>281.9</x:v>
      </x:c>
      <x:c r="E43" s="27" t="n">
        <x:v>77.9</x:v>
      </x:c>
      <x:c r="F43" s="27" t="n">
        <x:v>40.2</x:v>
      </x:c>
      <x:c r="G43" s="34" t="n">
        <x:v>72.3</x:v>
      </x:c>
      <x:c r="H43" t="n">
        <x:v>87</x:v>
      </x:c>
      <x:c r="I43" s="26" t="s">
        <x:v>65</x:v>
      </x:c>
      <x:c r="J43" t="s">
        <x:v>90</x:v>
      </x:c>
      <x:c r="K43" t="s">
        <x:v>113</x:v>
      </x:c>
      <x:c r="L43" t="s">
        <x:v>114</x:v>
      </x:c>
      <x:c r="M43" t="n">
        <x:v>35</x:v>
      </x:c>
      <x:c r="N43" s="35" t="n">
        <x:v>0.935198525364436</x:v>
      </x:c>
      <x:c r="O43" t="n">
        <x:v>95</x:v>
      </x:c>
      <x:c r="P43" s="258" t="n">
        <x:v>147.8</x:v>
      </x:c>
      <x:c r="Q43" s="304" t="n">
        <x:v>10</x:v>
      </x:c>
      <x:c r="R43" s="304" t="n">
        <x:v>3</x:v>
      </x:c>
    </x:row>
    <x:row r="44" ht="15" hidden="0">
      <x:c r="A44" s="33" t="s">
        <x:v>120</x:v>
      </x:c>
      <x:c r="B44" t="s">
        <x:v>93</x:v>
      </x:c>
      <x:c r="C44" t="s">
        <x:v>70</x:v>
      </x:c>
      <x:c r="D44" s="27" t="n">
        <x:v>211.5</x:v>
      </x:c>
      <x:c r="E44" s="27" t="n">
        <x:v>58.7</x:v>
      </x:c>
      <x:c r="F44" s="27" t="n">
        <x:v>58.5</x:v>
      </x:c>
      <x:c r="G44" s="34" t="n">
        <x:v>47.2</x:v>
      </x:c>
      <x:c r="H44" t="n">
        <x:v>86</x:v>
      </x:c>
      <x:c r="I44" s="26" t="s">
        <x:v>65</x:v>
      </x:c>
      <x:c r="J44" t="s">
        <x:v>88</x:v>
      </x:c>
      <x:c r="K44" t="s">
        <x:v>116</x:v>
      </x:c>
      <x:c r="L44" t="s">
        <x:v>108</x:v>
      </x:c>
      <x:c r="M44" t="n">
        <x:v>24</x:v>
      </x:c>
      <x:c r="N44" s="35" t="n">
        <x:v>0.773670172849652</x:v>
      </x:c>
      <x:c r="O44" t="n">
        <x:v>58</x:v>
      </x:c>
      <x:c r="P44" s="258" t="n">
        <x:v>110.1</x:v>
      </x:c>
      <x:c r="Q44" s="304" t="n">
        <x:v>14</x:v>
      </x:c>
      <x:c r="R44" s="304" t="n">
        <x:v>3</x:v>
      </x:c>
    </x:row>
    <x:row r="45" ht="15" hidden="0">
      <x:c r="A45" s="33" t="s">
        <x:v>121</x:v>
      </x:c>
      <x:c r="B45" t="s">
        <x:v>91</x:v>
      </x:c>
      <x:c r="C45" t="s">
        <x:v>66</x:v>
      </x:c>
      <x:c r="D45" s="27" t="n">
        <x:v>200.7</x:v>
      </x:c>
      <x:c r="E45" s="27" t="n">
        <x:v>64.4</x:v>
      </x:c>
      <x:c r="F45" s="27" t="n">
        <x:v>8.8</x:v>
      </x:c>
      <x:c r="G45" s="34" t="n">
        <x:v>23.2</x:v>
      </x:c>
      <x:c r="H45" t="n">
        <x:v>86</x:v>
      </x:c>
      <x:c r="I45" s="26" t="s">
        <x:v>65</x:v>
      </x:c>
      <x:c r="J45" t="s">
        <x:v>84</x:v>
      </x:c>
      <x:c r="K45" t="s">
        <x:v>113</x:v>
      </x:c>
      <x:c r="L45" t="s">
        <x:v>114</x:v>
      </x:c>
      <x:c r="M45" t="n">
        <x:v>6</x:v>
      </x:c>
      <x:c r="N45" s="35" t="n">
        <x:v>0.955623737020345</x:v>
      </x:c>
      <x:c r="O45" t="n">
        <x:v>89</x:v>
      </x:c>
      <x:c r="P45" s="258" t="n">
        <x:v>86.2</x:v>
      </x:c>
      <x:c r="Q45" s="304" t="n">
        <x:v>21</x:v>
      </x:c>
      <x:c r="R45" s="304" t="n">
        <x:v>3</x:v>
      </x:c>
    </x:row>
    <x:row r="46" ht="15" hidden="0">
      <x:c r="A46" s="33" t="s">
        <x:v>122</x:v>
      </x:c>
      <x:c r="B46" t="s">
        <x:v>96</x:v>
      </x:c>
      <x:c r="C46" t="s">
        <x:v>123</x:v>
      </x:c>
      <x:c r="D46" s="27" t="n">
        <x:v>198.9</x:v>
      </x:c>
      <x:c r="E46" s="27" t="n">
        <x:v>34.2</x:v>
      </x:c>
      <x:c r="F46" s="27" t="n">
        <x:v>17.1</x:v>
      </x:c>
      <x:c r="G46" s="34" t="n">
        <x:v>46.3</x:v>
      </x:c>
      <x:c r="H46" t="n">
        <x:v>83</x:v>
      </x:c>
      <x:c r="I46" s="26" t="s">
        <x:v>65</x:v>
      </x:c>
      <x:c r="J46" t="s">
        <x:v>97</x:v>
      </x:c>
      <x:c r="K46" t="s">
        <x:v>118</x:v>
      </x:c>
      <x:c r="L46" t="s">
        <x:v>108</x:v>
      </x:c>
      <x:c r="M46" t="n">
        <x:v>31</x:v>
      </x:c>
      <x:c r="N46" s="35" t="n">
        <x:v>0.963871883074423</x:v>
      </x:c>
      <x:c r="O46" t="n">
        <x:v>73</x:v>
      </x:c>
      <x:c r="P46" s="27" t="n">
        <x:v>83.4</x:v>
      </x:c>
      <x:c r="Q46" t="n">
        <x:v>14</x:v>
      </x:c>
      <x:c r="R46" t="n">
        <x:v>3</x:v>
      </x:c>
    </x:row>
    <x:row r="47" ht="15" hidden="0">
      <x:c r="A47" s="33" t="s">
        <x:v>124</x:v>
      </x:c>
      <x:c r="B47" t="s">
        <x:v>94</x:v>
      </x:c>
      <x:c r="C47" t="s">
        <x:v>60</x:v>
      </x:c>
      <x:c r="D47" s="27" t="n">
        <x:v>60</x:v>
      </x:c>
      <x:c r="E47" s="27" t="n">
        <x:v>16.3</x:v>
      </x:c>
      <x:c r="F47" s="27" t="n">
        <x:v>43.7</x:v>
      </x:c>
      <x:c r="G47" s="34" t="n">
        <x:v>39.5</x:v>
      </x:c>
      <x:c r="H47" t="n">
        <x:v>83</x:v>
      </x:c>
      <x:c r="I47" s="26" t="s">
        <x:v>65</x:v>
      </x:c>
      <x:c r="J47" t="s">
        <x:v>95</x:v>
      </x:c>
      <x:c r="K47" t="s">
        <x:v>118</x:v>
      </x:c>
      <x:c r="L47" t="s">
        <x:v>108</x:v>
      </x:c>
      <x:c r="M47" t="n">
        <x:v>27</x:v>
      </x:c>
      <x:c r="N47" s="35" t="n">
        <x:v>0.795145683849443</x:v>
      </x:c>
      <x:c r="O47" t="n">
        <x:v>82</x:v>
      </x:c>
      <x:c r="P47" s="27" t="n">
        <x:v>38.7</x:v>
      </x:c>
      <x:c r="Q47" t="n">
        <x:v>16</x:v>
      </x:c>
      <x:c r="R47" t="n">
        <x:v>3</x:v>
      </x:c>
    </x:row>
    <x:row r="48" ht="15" hidden="0">
      <x:c r="A48" s="33" t="s">
        <x:v>125</x:v>
      </x:c>
      <x:c r="B48" t="s">
        <x:v>126</x:v>
      </x:c>
      <x:c r="C48" t="s">
        <x:v>62</x:v>
      </x:c>
      <x:c r="D48" s="27" t="n">
        <x:v>178.7</x:v>
      </x:c>
      <x:c r="E48" s="27" t="n">
        <x:v>22.8</x:v>
      </x:c>
      <x:c r="F48" s="27" t="n">
        <x:v>47.3</x:v>
      </x:c>
      <x:c r="G48" s="34" t="n">
        <x:v>81.2</x:v>
      </x:c>
      <x:c r="H48" t="n">
        <x:v>81</x:v>
      </x:c>
      <x:c r="I48" s="26" t="s">
        <x:v>65</x:v>
      </x:c>
      <x:c r="J48" t="s">
        <x:v>80</x:v>
      </x:c>
      <x:c r="K48" t="s">
        <x:v>110</x:v>
      </x:c>
      <x:c r="L48" t="s">
        <x:v>108</x:v>
      </x:c>
      <x:c r="M48" t="n">
        <x:v>34</x:v>
      </x:c>
      <x:c r="N48" s="35" t="n">
        <x:v>0.645859220886673</x:v>
      </x:c>
      <x:c r="O48" t="n">
        <x:v>58</x:v>
      </x:c>
      <x:c r="P48" s="27" t="n">
        <x:v>91.4</x:v>
      </x:c>
      <x:c r="Q48" t="n">
        <x:v>6</x:v>
      </x:c>
      <x:c r="R48" t="n">
        <x:v>3</x:v>
      </x:c>
    </x:row>
    <x:row r="49" ht="15" hidden="0">
      <x:c r="A49" s="33" t="s">
        <x:v>127</x:v>
      </x:c>
      <x:c r="B49" t="s">
        <x:v>128</x:v>
      </x:c>
      <x:c r="C49" t="s">
        <x:v>69</x:v>
      </x:c>
      <x:c r="D49" s="27" t="n">
        <x:v>116</x:v>
      </x:c>
      <x:c r="E49" s="27" t="n">
        <x:v>36.1</x:v>
      </x:c>
      <x:c r="F49" s="27" t="n">
        <x:v>29.5</x:v>
      </x:c>
      <x:c r="G49" s="34" t="n">
        <x:v>85</x:v>
      </x:c>
      <x:c r="H49" t="n">
        <x:v>81</x:v>
      </x:c>
      <x:c r="I49" s="26" t="s">
        <x:v>65</x:v>
      </x:c>
      <x:c r="J49" t="s">
        <x:v>86</x:v>
      </x:c>
      <x:c r="K49" t="s">
        <x:v>110</x:v>
      </x:c>
      <x:c r="L49" t="s">
        <x:v>129</x:v>
      </x:c>
      <x:c r="M49" t="n">
        <x:v>23</x:v>
      </x:c>
      <x:c r="N49" s="35" t="n">
        <x:v>0.629796301168509</x:v>
      </x:c>
      <x:c r="O49" t="n">
        <x:v>66</x:v>
      </x:c>
      <x:c r="P49" s="27" t="n">
        <x:v>81.5</x:v>
      </x:c>
      <x:c r="Q49" t="n">
        <x:v>5</x:v>
      </x:c>
      <x:c r="R49" t="n">
        <x:v>3</x:v>
      </x:c>
    </x:row>
    <x:row r="50" ht="15" hidden="0">
      <x:c r="A50" s="33" t="s">
        <x:v>130</x:v>
      </x:c>
      <x:c r="B50" t="s">
        <x:v>131</x:v>
      </x:c>
      <x:c r="C50" t="s">
        <x:v>64</x:v>
      </x:c>
      <x:c r="D50" s="27" t="n">
        <x:v>236.2</x:v>
      </x:c>
      <x:c r="E50" s="27" t="n">
        <x:v>53.7</x:v>
      </x:c>
      <x:c r="F50" s="27" t="n">
        <x:v>12.3</x:v>
      </x:c>
      <x:c r="G50" s="34" t="n">
        <x:v>88</x:v>
      </x:c>
      <x:c r="H50" t="n">
        <x:v>80</x:v>
      </x:c>
      <x:c r="I50" s="26" t="s">
        <x:v>65</x:v>
      </x:c>
      <x:c r="J50" t="s">
        <x:v>132</x:v>
      </x:c>
      <x:c r="K50" t="s">
        <x:v>110</x:v>
      </x:c>
      <x:c r="L50" t="s">
        <x:v>114</x:v>
      </x:c>
      <x:c r="M50" t="n">
        <x:v>17</x:v>
      </x:c>
      <x:c r="N50" s="35" t="n">
        <x:v>0.991106858756309</x:v>
      </x:c>
      <x:c r="O50" t="n">
        <x:v>82</x:v>
      </x:c>
      <x:c r="P50" s="27" t="n">
        <x:v>114.1</x:v>
      </x:c>
      <x:c r="Q50" t="n">
        <x:v>2</x:v>
      </x:c>
      <x:c r="R50" t="n">
        <x:v>0</x:v>
      </x:c>
    </x:row>
    <x:row r="51" ht="15" hidden="0">
      <x:c r="A51" s="33" t="s">
        <x:v>133</x:v>
      </x:c>
      <x:c r="B51" t="s">
        <x:v>134</x:v>
      </x:c>
      <x:c r="C51" t="s">
        <x:v>67</x:v>
      </x:c>
      <x:c r="D51" s="27" t="n">
        <x:v>224</x:v>
      </x:c>
      <x:c r="E51" s="27" t="n">
        <x:v>75.9</x:v>
      </x:c>
      <x:c r="F51" s="27" t="n">
        <x:v>19.8</x:v>
      </x:c>
      <x:c r="G51" s="34" t="n">
        <x:v>40</x:v>
      </x:c>
      <x:c r="H51" t="n">
        <x:v>79</x:v>
      </x:c>
      <x:c r="I51" s="26" t="s">
        <x:v>65</x:v>
      </x:c>
      <x:c r="J51" t="s">
        <x:v>132</x:v>
      </x:c>
      <x:c r="K51" t="s">
        <x:v>118</x:v>
      </x:c>
      <x:c r="L51" t="s">
        <x:v>114</x:v>
      </x:c>
      <x:c r="M51" t="n">
        <x:v>26</x:v>
      </x:c>
      <x:c r="N51" s="35" t="n">
        <x:v>0.966267356751292</x:v>
      </x:c>
      <x:c r="O51" t="n">
        <x:v>98</x:v>
      </x:c>
      <x:c r="P51" s="27" t="n">
        <x:v>100.8</x:v>
      </x:c>
      <x:c r="Q51" t="n">
        <x:v>19</x:v>
      </x:c>
      <x:c r="R51" t="n">
        <x:v>3</x:v>
      </x:c>
    </x:row>
    <x:row r="52" ht="15" hidden="0">
      <x:c r="A52" s="33" t="s">
        <x:v>135</x:v>
      </x:c>
      <x:c r="B52" t="s">
        <x:v>136</x:v>
      </x:c>
      <x:c r="C52" t="s">
        <x:v>67</x:v>
      </x:c>
      <x:c r="D52" s="27" t="n">
        <x:v>113.4</x:v>
      </x:c>
      <x:c r="E52" s="27" t="n">
        <x:v>26.9</x:v>
      </x:c>
      <x:c r="F52" s="27" t="n">
        <x:v>10.3</x:v>
      </x:c>
      <x:c r="G52" s="34" t="n">
        <x:v>28</x:v>
      </x:c>
      <x:c r="H52" t="n">
        <x:v>79</x:v>
      </x:c>
      <x:c r="I52" s="26" t="s">
        <x:v>65</x:v>
      </x:c>
      <x:c r="J52" t="s">
        <x:v>80</x:v>
      </x:c>
      <x:c r="K52" t="s">
        <x:v>118</x:v>
      </x:c>
      <x:c r="L52" t="s">
        <x:v>108</x:v>
      </x:c>
      <x:c r="M52" t="n">
        <x:v>33</x:v>
      </x:c>
      <x:c r="N52" s="35" t="n">
        <x:v>0.694647104218524</x:v>
      </x:c>
      <x:c r="O52" t="n">
        <x:v>76</x:v>
      </x:c>
      <x:c r="P52" s="27" t="n">
        <x:v>60.7</x:v>
      </x:c>
      <x:c r="Q52" t="n">
        <x:v>19</x:v>
      </x:c>
      <x:c r="R52" t="n">
        <x:v>3</x:v>
      </x:c>
    </x:row>
    <x:row r="53" ht="15" hidden="0">
      <x:c r="A53" s="33" t="s">
        <x:v>137</x:v>
      </x:c>
      <x:c r="B53" t="s">
        <x:v>138</x:v>
      </x:c>
      <x:c r="C53" t="s">
        <x:v>123</x:v>
      </x:c>
      <x:c r="D53" s="27" t="n">
        <x:v>146.4</x:v>
      </x:c>
      <x:c r="E53" s="27" t="n">
        <x:v>30.3</x:v>
      </x:c>
      <x:c r="F53" s="27" t="n">
        <x:v>43.7</x:v>
      </x:c>
      <x:c r="G53" s="34" t="n">
        <x:v>88</x:v>
      </x:c>
      <x:c r="H53" t="n">
        <x:v>78</x:v>
      </x:c>
      <x:c r="I53" s="26" t="s">
        <x:v>65</x:v>
      </x:c>
      <x:c r="J53" t="s">
        <x:v>95</x:v>
      </x:c>
      <x:c r="K53" t="s">
        <x:v>107</x:v>
      </x:c>
      <x:c r="L53" t="s">
        <x:v>111</x:v>
      </x:c>
      <x:c r="M53" t="n">
        <x:v>6</x:v>
      </x:c>
      <x:c r="N53" s="35" t="n">
        <x:v>0.749432277554886</x:v>
      </x:c>
      <x:c r="O53" t="n">
        <x:v>95</x:v>
      </x:c>
      <x:c r="P53" s="27" t="n">
        <x:v>61.5</x:v>
      </x:c>
      <x:c r="Q53" t="n">
        <x:v>5</x:v>
      </x:c>
      <x:c r="R53" t="n">
        <x:v>0</x:v>
      </x:c>
    </x:row>
    <x:row r="54" ht="15" hidden="0">
      <x:c r="A54" s="33" t="s">
        <x:v>139</x:v>
      </x:c>
      <x:c r="B54" t="s">
        <x:v>140</x:v>
      </x:c>
      <x:c r="C54" t="s">
        <x:v>62</x:v>
      </x:c>
      <x:c r="D54" s="27" t="n">
        <x:v>105.2</x:v>
      </x:c>
      <x:c r="E54" s="27" t="n">
        <x:v>24.2</x:v>
      </x:c>
      <x:c r="F54" s="27" t="n">
        <x:v>21.7</x:v>
      </x:c>
      <x:c r="G54" s="34" t="n">
        <x:v>47.2</x:v>
      </x:c>
      <x:c r="H54" t="n">
        <x:v>78</x:v>
      </x:c>
      <x:c r="I54" s="26" t="s">
        <x:v>65</x:v>
      </x:c>
      <x:c r="J54" t="s">
        <x:v>90</x:v>
      </x:c>
      <x:c r="K54" t="s">
        <x:v>113</x:v>
      </x:c>
      <x:c r="L54" t="s">
        <x:v>111</x:v>
      </x:c>
      <x:c r="M54" t="n">
        <x:v>17</x:v>
      </x:c>
      <x:c r="N54" s="35" t="n">
        <x:v>0.964559514673093</x:v>
      </x:c>
      <x:c r="O54" t="n">
        <x:v>74</x:v>
      </x:c>
      <x:c r="P54" s="27" t="n">
        <x:v>57.7</x:v>
      </x:c>
      <x:c r="Q54" t="n">
        <x:v>12</x:v>
      </x:c>
      <x:c r="R54" t="n">
        <x:v>1</x:v>
      </x:c>
    </x:row>
    <x:row r="55" ht="15" hidden="0">
      <x:c r="A55" s="33" t="s">
        <x:v>141</x:v>
      </x:c>
      <x:c r="B55" t="s">
        <x:v>142</x:v>
      </x:c>
      <x:c r="C55" t="s">
        <x:v>68</x:v>
      </x:c>
      <x:c r="D55" s="27" t="n">
        <x:v>223.4</x:v>
      </x:c>
      <x:c r="E55" s="27" t="n">
        <x:v>66.3</x:v>
      </x:c>
      <x:c r="F55" s="27" t="n">
        <x:v>52.8</x:v>
      </x:c>
      <x:c r="G55" s="34" t="n">
        <x:v>71</x:v>
      </x:c>
      <x:c r="H55" t="n">
        <x:v>77</x:v>
      </x:c>
      <x:c r="I55" s="26" t="s">
        <x:v>65</x:v>
      </x:c>
      <x:c r="J55" t="s">
        <x:v>97</x:v>
      </x:c>
      <x:c r="K55" t="s">
        <x:v>116</x:v>
      </x:c>
      <x:c r="L55" t="s">
        <x:v>129</x:v>
      </x:c>
      <x:c r="M55" t="n">
        <x:v>23</x:v>
      </x:c>
      <x:c r="N55" s="35" t="n">
        <x:v>0.950885529900624</x:v>
      </x:c>
      <x:c r="O55" t="n">
        <x:v>96</x:v>
      </x:c>
      <x:c r="P55" s="27" t="n">
        <x:v>139.8</x:v>
      </x:c>
      <x:c r="Q55" t="n">
        <x:v>9</x:v>
      </x:c>
      <x:c r="R55" t="n">
        <x:v>0</x:v>
      </x:c>
    </x:row>
    <x:row r="56" ht="15" hidden="0">
      <x:c r="A56" s="33" t="s">
        <x:v>143</x:v>
      </x:c>
      <x:c r="B56" t="s">
        <x:v>144</x:v>
      </x:c>
      <x:c r="C56" t="s">
        <x:v>70</x:v>
      </x:c>
      <x:c r="D56" s="27" t="n">
        <x:v>271.7</x:v>
      </x:c>
      <x:c r="E56" s="27" t="n">
        <x:v>56.8</x:v>
      </x:c>
      <x:c r="F56" s="27" t="n">
        <x:v>18.6</x:v>
      </x:c>
      <x:c r="G56" s="34" t="n">
        <x:v>75.3</x:v>
      </x:c>
      <x:c r="H56" t="n">
        <x:v>76</x:v>
      </x:c>
      <x:c r="I56" s="26" t="s">
        <x:v>65</x:v>
      </x:c>
      <x:c r="J56" t="s">
        <x:v>97</x:v>
      </x:c>
      <x:c r="K56" t="s">
        <x:v>110</x:v>
      </x:c>
      <x:c r="L56" t="s">
        <x:v>145</x:v>
      </x:c>
      <x:c r="M56" t="n">
        <x:v>15</x:v>
      </x:c>
      <x:c r="N56" s="35" t="n">
        <x:v>0.686954663357451</x:v>
      </x:c>
      <x:c r="O56" t="n">
        <x:v>69</x:v>
      </x:c>
      <x:c r="P56" s="27" t="n">
        <x:v>152.7</x:v>
      </x:c>
      <x:c r="Q56" t="n">
        <x:v>5</x:v>
      </x:c>
      <x:c r="R56" t="n">
        <x:v>0</x:v>
      </x:c>
    </x:row>
    <x:row r="57" ht="15" hidden="0">
      <x:c r="A57" s="33" t="s">
        <x:v>146</x:v>
      </x:c>
      <x:c r="B57" t="s">
        <x:v>147</x:v>
      </x:c>
      <x:c r="C57" t="s">
        <x:v>66</x:v>
      </x:c>
      <x:c r="D57" s="27" t="n">
        <x:v>132.9</x:v>
      </x:c>
      <x:c r="E57" s="27" t="n">
        <x:v>30.1</x:v>
      </x:c>
      <x:c r="F57" s="27" t="n">
        <x:v>46.7</x:v>
      </x:c>
      <x:c r="G57" s="34" t="n">
        <x:v>28.2</x:v>
      </x:c>
      <x:c r="H57" t="n">
        <x:v>76</x:v>
      </x:c>
      <x:c r="I57" s="26" t="s">
        <x:v>65</x:v>
      </x:c>
      <x:c r="J57" t="s">
        <x:v>80</x:v>
      </x:c>
      <x:c r="K57" t="s">
        <x:v>116</x:v>
      </x:c>
      <x:c r="L57" t="s">
        <x:v>111</x:v>
      </x:c>
      <x:c r="M57" t="n">
        <x:v>33</x:v>
      </x:c>
      <x:c r="N57" s="35" t="n">
        <x:v>0.954736061523006</x:v>
      </x:c>
      <x:c r="O57" t="n">
        <x:v>72</x:v>
      </x:c>
      <x:c r="P57" s="27" t="n">
        <x:v>68.6</x:v>
      </x:c>
      <x:c r="Q57" t="n">
        <x:v>19</x:v>
      </x:c>
      <x:c r="R57" t="n">
        <x:v>3</x:v>
      </x:c>
    </x:row>
    <x:row r="58" ht="15" hidden="0">
      <x:c r="A58" s="33" t="s">
        <x:v>148</x:v>
      </x:c>
      <x:c r="B58" t="s">
        <x:v>149</x:v>
      </x:c>
      <x:c r="C58" t="s">
        <x:v>71</x:v>
      </x:c>
      <x:c r="D58" s="27" t="n">
        <x:v>175.8</x:v>
      </x:c>
      <x:c r="E58" s="27" t="n">
        <x:v>23.4</x:v>
      </x:c>
      <x:c r="F58" s="27" t="n">
        <x:v>6.2</x:v>
      </x:c>
      <x:c r="G58" s="34" t="n">
        <x:v>94.8</x:v>
      </x:c>
      <x:c r="H58" t="n">
        <x:v>76</x:v>
      </x:c>
      <x:c r="I58" s="26" t="s">
        <x:v>65</x:v>
      </x:c>
      <x:c r="J58" t="s">
        <x:v>80</x:v>
      </x:c>
      <x:c r="K58" t="s">
        <x:v>118</x:v>
      </x:c>
      <x:c r="L58" t="s">
        <x:v>108</x:v>
      </x:c>
      <x:c r="M58" t="n">
        <x:v>38</x:v>
      </x:c>
      <x:c r="N58" s="35" t="n">
        <x:v>0.791828460413329</x:v>
      </x:c>
      <x:c r="O58" t="n">
        <x:v>69</x:v>
      </x:c>
      <x:c r="P58" s="27" t="n">
        <x:v>76.9</x:v>
      </x:c>
      <x:c r="Q58" t="n">
        <x:v>1</x:v>
      </x:c>
      <x:c r="R58" t="n">
        <x:v>0</x:v>
      </x:c>
    </x:row>
    <x:row r="59" ht="15" hidden="0">
      <x:c r="A59" s="33" t="s">
        <x:v>150</x:v>
      </x:c>
      <x:c r="B59" t="s">
        <x:v>151</x:v>
      </x:c>
      <x:c r="C59" t="s">
        <x:v>70</x:v>
      </x:c>
      <x:c r="D59" s="27" t="n">
        <x:v>100.8</x:v>
      </x:c>
      <x:c r="E59" s="27" t="n">
        <x:v>30.1</x:v>
      </x:c>
      <x:c r="F59" s="27" t="n">
        <x:v>6.4</x:v>
      </x:c>
      <x:c r="G59" s="34" t="n">
        <x:v>47.2</x:v>
      </x:c>
      <x:c r="H59" t="n">
        <x:v>75</x:v>
      </x:c>
      <x:c r="I59" s="26" t="s">
        <x:v>65</x:v>
      </x:c>
      <x:c r="J59" t="s">
        <x:v>88</x:v>
      </x:c>
      <x:c r="K59" t="s">
        <x:v>113</x:v>
      </x:c>
      <x:c r="L59" t="s">
        <x:v>129</x:v>
      </x:c>
      <x:c r="M59" t="n">
        <x:v>10</x:v>
      </x:c>
      <x:c r="N59" s="35" t="n">
        <x:v>0.917554736422731</x:v>
      </x:c>
      <x:c r="O59" t="n">
        <x:v>61</x:v>
      </x:c>
      <x:c r="P59" s="27" t="n">
        <x:v>67.5</x:v>
      </x:c>
      <x:c r="Q59" t="n">
        <x:v>12</x:v>
      </x:c>
      <x:c r="R59" t="n">
        <x:v>1</x:v>
      </x:c>
    </x:row>
    <x:row r="60" ht="15" hidden="0">
      <x:c r="A60" s="33" t="s">
        <x:v>152</x:v>
      </x:c>
      <x:c r="B60" t="s">
        <x:v>153</x:v>
      </x:c>
      <x:c r="C60" t="s">
        <x:v>123</x:v>
      </x:c>
      <x:c r="D60" s="27" t="n">
        <x:v>187.9</x:v>
      </x:c>
      <x:c r="E60" s="27" t="n">
        <x:v>61.8</x:v>
      </x:c>
      <x:c r="F60" s="27" t="n">
        <x:v>47.7</x:v>
      </x:c>
      <x:c r="G60" s="34" t="n">
        <x:v>35.7</x:v>
      </x:c>
      <x:c r="H60" t="n">
        <x:v>74</x:v>
      </x:c>
      <x:c r="I60" s="26" t="s">
        <x:v>65</x:v>
      </x:c>
      <x:c r="J60" t="s">
        <x:v>97</x:v>
      </x:c>
      <x:c r="K60" t="s">
        <x:v>110</x:v>
      </x:c>
      <x:c r="L60" t="s">
        <x:v>111</x:v>
      </x:c>
      <x:c r="M60" t="n">
        <x:v>8</x:v>
      </x:c>
      <x:c r="N60" s="35" t="n">
        <x:v>0.870097343226836</x:v>
      </x:c>
      <x:c r="O60" t="n">
        <x:v>58</x:v>
      </x:c>
      <x:c r="P60" s="27" t="n">
        <x:v>116.8</x:v>
      </x:c>
      <x:c r="Q60" t="n">
        <x:v>17</x:v>
      </x:c>
      <x:c r="R60" t="n">
        <x:v>3</x:v>
      </x:c>
    </x:row>
    <x:row r="61" ht="15" hidden="0">
      <x:c r="A61" s="33" t="s">
        <x:v>154</x:v>
      </x:c>
      <x:c r="B61" t="s">
        <x:v>155</x:v>
      </x:c>
      <x:c r="C61" t="s">
        <x:v>123</x:v>
      </x:c>
      <x:c r="D61" s="27" t="n">
        <x:v>266.6</x:v>
      </x:c>
      <x:c r="E61" s="27" t="n">
        <x:v>80.4</x:v>
      </x:c>
      <x:c r="F61" s="27" t="n">
        <x:v>8.6</x:v>
      </x:c>
      <x:c r="G61" s="34" t="n">
        <x:v>47</x:v>
      </x:c>
      <x:c r="H61" t="n">
        <x:v>72</x:v>
      </x:c>
      <x:c r="I61" s="26" t="s">
        <x:v>65</x:v>
      </x:c>
      <x:c r="J61" t="s">
        <x:v>80</x:v>
      </x:c>
      <x:c r="K61" t="s">
        <x:v>113</x:v>
      </x:c>
      <x:c r="L61" t="s">
        <x:v>108</x:v>
      </x:c>
      <x:c r="M61" t="n">
        <x:v>36</x:v>
      </x:c>
      <x:c r="N61" s="35" t="n">
        <x:v>0.62779295286484</x:v>
      </x:c>
      <x:c r="O61" t="n">
        <x:v>95</x:v>
      </x:c>
      <x:c r="P61" s="27" t="n">
        <x:v>111.7</x:v>
      </x:c>
      <x:c r="Q61" t="n">
        <x:v>15</x:v>
      </x:c>
      <x:c r="R61" t="n">
        <x:v>1</x:v>
      </x:c>
    </x:row>
    <x:row r="62" ht="15" hidden="0">
      <x:c r="A62" s="33" t="s">
        <x:v>156</x:v>
      </x:c>
      <x:c r="B62" t="s">
        <x:v>157</x:v>
      </x:c>
      <x:c r="C62" t="s">
        <x:v>69</x:v>
      </x:c>
      <x:c r="D62" s="27" t="n">
        <x:v>233.5</x:v>
      </x:c>
      <x:c r="E62" s="27" t="n">
        <x:v>67.8</x:v>
      </x:c>
      <x:c r="F62" s="27" t="n">
        <x:v>7.6</x:v>
      </x:c>
      <x:c r="G62" s="34" t="n">
        <x:v>80.2</x:v>
      </x:c>
      <x:c r="H62" t="n">
        <x:v>72</x:v>
      </x:c>
      <x:c r="I62" s="26" t="s">
        <x:v>65</x:v>
      </x:c>
      <x:c r="J62" t="s">
        <x:v>84</x:v>
      </x:c>
      <x:c r="K62" t="s">
        <x:v>107</x:v>
      </x:c>
      <x:c r="L62" t="s">
        <x:v>111</x:v>
      </x:c>
      <x:c r="M62" t="n">
        <x:v>13</x:v>
      </x:c>
      <x:c r="N62" s="35" t="n">
        <x:v>0.793119484970185</x:v>
      </x:c>
      <x:c r="O62" t="n">
        <x:v>60</x:v>
      </x:c>
      <x:c r="P62" s="27" t="n">
        <x:v>179.8</x:v>
      </x:c>
      <x:c r="Q62" t="n">
        <x:v>4</x:v>
      </x:c>
      <x:c r="R62" t="n">
        <x:v>0</x:v>
      </x:c>
    </x:row>
    <x:row r="63" ht="15" hidden="0">
      <x:c r="A63" s="33" t="s">
        <x:v>158</x:v>
      </x:c>
      <x:c r="B63" t="s">
        <x:v>159</x:v>
      </x:c>
      <x:c r="C63" t="s">
        <x:v>71</x:v>
      </x:c>
      <x:c r="D63" s="27" t="n">
        <x:v>70.1</x:v>
      </x:c>
      <x:c r="E63" s="27" t="n">
        <x:v>18.2</x:v>
      </x:c>
      <x:c r="F63" s="27" t="n">
        <x:v>8.6</x:v>
      </x:c>
      <x:c r="G63" s="34" t="n">
        <x:v>29.8</x:v>
      </x:c>
      <x:c r="H63" t="n">
        <x:v>71</x:v>
      </x:c>
      <x:c r="I63" s="26" t="s">
        <x:v>65</x:v>
      </x:c>
      <x:c r="J63" t="s">
        <x:v>160</x:v>
      </x:c>
      <x:c r="K63" t="s">
        <x:v>118</x:v>
      </x:c>
      <x:c r="L63" t="s">
        <x:v>145</x:v>
      </x:c>
      <x:c r="M63" t="n">
        <x:v>10</x:v>
      </x:c>
      <x:c r="N63" s="35" t="n">
        <x:v>0.629166693474898</x:v>
      </x:c>
      <x:c r="O63" t="n">
        <x:v>90</x:v>
      </x:c>
      <x:c r="P63" s="27" t="n">
        <x:v>45.6</x:v>
      </x:c>
      <x:c r="Q63" t="n">
        <x:v>19</x:v>
      </x:c>
      <x:c r="R63" t="n">
        <x:v>3</x:v>
      </x:c>
    </x:row>
    <x:row r="64" ht="15" hidden="0">
      <x:c r="A64" s="33" t="s">
        <x:v>161</x:v>
      </x:c>
      <x:c r="B64" t="s">
        <x:v>162</x:v>
      </x:c>
      <x:c r="C64" t="s">
        <x:v>69</x:v>
      </x:c>
      <x:c r="D64" s="27" t="n">
        <x:v>194.1</x:v>
      </x:c>
      <x:c r="E64" s="27" t="n">
        <x:v>39.4</x:v>
      </x:c>
      <x:c r="F64" s="27" t="n">
        <x:v>6.3</x:v>
      </x:c>
      <x:c r="G64" s="34" t="n">
        <x:v>46</x:v>
      </x:c>
      <x:c r="H64" t="n">
        <x:v>69</x:v>
      </x:c>
      <x:c r="I64" s="26" t="s">
        <x:v>65</x:v>
      </x:c>
      <x:c r="J64" t="s">
        <x:v>97</x:v>
      </x:c>
      <x:c r="K64" t="s">
        <x:v>107</x:v>
      </x:c>
      <x:c r="L64" t="s">
        <x:v>114</x:v>
      </x:c>
      <x:c r="M64" t="n">
        <x:v>24</x:v>
      </x:c>
      <x:c r="N64" s="35" t="n">
        <x:v>0.903143220373196</x:v>
      </x:c>
      <x:c r="O64" t="n">
        <x:v>91</x:v>
      </x:c>
      <x:c r="P64" s="27" t="n">
        <x:v>91.6</x:v>
      </x:c>
      <x:c r="Q64" t="n">
        <x:v>14</x:v>
      </x:c>
      <x:c r="R64" t="n">
        <x:v>1</x:v>
      </x:c>
    </x:row>
    <x:row r="65" ht="15" hidden="0">
      <x:c r="A65" s="33" t="s">
        <x:v>163</x:v>
      </x:c>
      <x:c r="B65" t="s">
        <x:v>164</x:v>
      </x:c>
      <x:c r="C65" t="s">
        <x:v>67</x:v>
      </x:c>
      <x:c r="D65" s="27" t="n">
        <x:v>136.1</x:v>
      </x:c>
      <x:c r="E65" s="27" t="n">
        <x:v>17.1</x:v>
      </x:c>
      <x:c r="F65" s="27" t="n">
        <x:v>8</x:v>
      </x:c>
      <x:c r="G65" s="34" t="n">
        <x:v>36.2</x:v>
      </x:c>
      <x:c r="H65" t="n">
        <x:v>68</x:v>
      </x:c>
      <x:c r="I65" s="26" t="s">
        <x:v>65</x:v>
      </x:c>
      <x:c r="J65" t="s">
        <x:v>97</x:v>
      </x:c>
      <x:c r="K65" t="s">
        <x:v>107</x:v>
      </x:c>
      <x:c r="L65" t="s">
        <x:v>129</x:v>
      </x:c>
      <x:c r="M65" t="n">
        <x:v>38</x:v>
      </x:c>
      <x:c r="N65" s="35" t="n">
        <x:v>0.917694729089214</x:v>
      </x:c>
      <x:c r="O65" t="n">
        <x:v>72</x:v>
      </x:c>
      <x:c r="P65" s="27" t="n">
        <x:v>102.8</x:v>
      </x:c>
      <x:c r="Q65" t="n">
        <x:v>17</x:v>
      </x:c>
      <x:c r="R65" t="n">
        <x:v>3</x:v>
      </x:c>
    </x:row>
    <x:row r="66" ht="15" hidden="0">
      <x:c r="A66" s="33" t="s">
        <x:v>165</x:v>
      </x:c>
      <x:c r="B66" t="s">
        <x:v>166</x:v>
      </x:c>
      <x:c r="C66" t="s">
        <x:v>68</x:v>
      </x:c>
      <x:c r="D66" s="27" t="n">
        <x:v>132.2</x:v>
      </x:c>
      <x:c r="E66" s="27" t="n">
        <x:v>23.6</x:v>
      </x:c>
      <x:c r="F66" s="27" t="n">
        <x:v>14.7</x:v>
      </x:c>
      <x:c r="G66" s="34" t="n">
        <x:v>58.2</x:v>
      </x:c>
      <x:c r="H66" t="n">
        <x:v>67</x:v>
      </x:c>
      <x:c r="I66" s="26" t="s">
        <x:v>65</x:v>
      </x:c>
      <x:c r="J66" t="s">
        <x:v>90</x:v>
      </x:c>
      <x:c r="K66" t="s">
        <x:v>113</x:v>
      </x:c>
      <x:c r="L66" t="s">
        <x:v>108</x:v>
      </x:c>
      <x:c r="M66" t="n">
        <x:v>24</x:v>
      </x:c>
      <x:c r="N66" s="35" t="n">
        <x:v>0.882695625165567</x:v>
      </x:c>
      <x:c r="O66" t="n">
        <x:v>84</x:v>
      </x:c>
      <x:c r="P66" s="27" t="n">
        <x:v>88.9</x:v>
      </x:c>
      <x:c r="Q66" t="n">
        <x:v>8</x:v>
      </x:c>
      <x:c r="R66" t="n">
        <x:v>0</x:v>
      </x:c>
    </x:row>
    <x:row r="67" ht="15" hidden="0">
      <x:c r="A67" s="33" t="s">
        <x:v>167</x:v>
      </x:c>
      <x:c r="B67" t="s">
        <x:v>168</x:v>
      </x:c>
      <x:c r="C67" t="s">
        <x:v>67</x:v>
      </x:c>
      <x:c r="D67" s="27" t="n">
        <x:v>275</x:v>
      </x:c>
      <x:c r="E67" s="27" t="n">
        <x:v>43.8</x:v>
      </x:c>
      <x:c r="F67" s="27" t="n">
        <x:v>51.1</x:v>
      </x:c>
      <x:c r="G67" s="34" t="n">
        <x:v>62.5</x:v>
      </x:c>
      <x:c r="H67" t="n">
        <x:v>64</x:v>
      </x:c>
      <x:c r="I67" s="26" t="s">
        <x:v>65</x:v>
      </x:c>
      <x:c r="J67" t="s">
        <x:v>97</x:v>
      </x:c>
      <x:c r="K67" t="s">
        <x:v>118</x:v>
      </x:c>
      <x:c r="L67" t="s">
        <x:v>108</x:v>
      </x:c>
      <x:c r="M67" t="n">
        <x:v>16</x:v>
      </x:c>
      <x:c r="N67" s="35" t="n">
        <x:v>0.91987544872602</x:v>
      </x:c>
      <x:c r="O67" t="n">
        <x:v>74</x:v>
      </x:c>
      <x:c r="P67" s="27" t="n">
        <x:v>133.1</x:v>
      </x:c>
      <x:c r="Q67" t="n">
        <x:v>8</x:v>
      </x:c>
      <x:c r="R67" t="n">
        <x:v>0</x:v>
      </x:c>
    </x:row>
    <x:row r="68" ht="15" hidden="0">
      <x:c r="A68" s="33" t="s">
        <x:v>169</x:v>
      </x:c>
      <x:c r="B68" t="s">
        <x:v>170</x:v>
      </x:c>
      <x:c r="C68" t="s">
        <x:v>68</x:v>
      </x:c>
      <x:c r="D68" s="27" t="n">
        <x:v>113.8</x:v>
      </x:c>
      <x:c r="E68" s="27" t="n">
        <x:v>36</x:v>
      </x:c>
      <x:c r="F68" s="27" t="n">
        <x:v>34</x:v>
      </x:c>
      <x:c r="G68" s="34" t="n">
        <x:v>77.7</x:v>
      </x:c>
      <x:c r="H68" t="n">
        <x:v>61</x:v>
      </x:c>
      <x:c r="I68" s="26" t="s">
        <x:v>65</x:v>
      </x:c>
      <x:c r="J68" t="s">
        <x:v>86</x:v>
      </x:c>
      <x:c r="K68" t="s">
        <x:v>110</x:v>
      </x:c>
      <x:c r="L68" t="s">
        <x:v>129</x:v>
      </x:c>
      <x:c r="M68" t="n">
        <x:v>25</x:v>
      </x:c>
      <x:c r="N68" s="35" t="n">
        <x:v>0.794630091553497</x:v>
      </x:c>
      <x:c r="O68" t="n">
        <x:v>57</x:v>
      </x:c>
      <x:c r="P68" s="27" t="n">
        <x:v>54</x:v>
      </x:c>
      <x:c r="Q68" t="n">
        <x:v>4</x:v>
      </x:c>
      <x:c r="R68" t="n">
        <x:v>0</x:v>
      </x:c>
    </x:row>
    <x:row r="69" ht="15" hidden="0">
      <x:c r="A69" s="33" t="s">
        <x:v>171</x:v>
      </x:c>
      <x:c r="B69" t="s">
        <x:v>172</x:v>
      </x:c>
      <x:c r="C69" t="s">
        <x:v>62</x:v>
      </x:c>
      <x:c r="D69" s="27" t="n">
        <x:v>136.9</x:v>
      </x:c>
      <x:c r="E69" s="27" t="n">
        <x:v>37.6</x:v>
      </x:c>
      <x:c r="F69" s="27" t="n">
        <x:v>26.3</x:v>
      </x:c>
      <x:c r="G69" s="34" t="n">
        <x:v>70.3</x:v>
      </x:c>
      <x:c r="H69" t="n">
        <x:v>59</x:v>
      </x:c>
      <x:c r="I69" s="26" t="s">
        <x:v>65</x:v>
      </x:c>
      <x:c r="J69" t="s">
        <x:v>80</x:v>
      </x:c>
      <x:c r="K69" t="s">
        <x:v>107</x:v>
      </x:c>
      <x:c r="L69" t="s">
        <x:v>114</x:v>
      </x:c>
      <x:c r="M69" t="n">
        <x:v>29</x:v>
      </x:c>
      <x:c r="N69" s="35" t="n">
        <x:v>0.997547472916629</x:v>
      </x:c>
      <x:c r="O69" t="n">
        <x:v>62</x:v>
      </x:c>
      <x:c r="P69" s="27" t="n">
        <x:v>96.2</x:v>
      </x:c>
      <x:c r="Q69" t="n">
        <x:v>6</x:v>
      </x:c>
      <x:c r="R69" t="n">
        <x:v>0</x:v>
      </x:c>
    </x:row>
    <x:row r="70" ht="15" hidden="0">
      <x:c r="A70" s="33" t="s">
        <x:v>173</x:v>
      </x:c>
      <x:c r="B70" t="s">
        <x:v>174</x:v>
      </x:c>
      <x:c r="C70" t="s">
        <x:v>123</x:v>
      </x:c>
      <x:c r="D70" s="27" t="n">
        <x:v>144.9</x:v>
      </x:c>
      <x:c r="E70" s="27" t="n">
        <x:v>30.4</x:v>
      </x:c>
      <x:c r="F70" s="27" t="n">
        <x:v>43.9</x:v>
      </x:c>
      <x:c r="G70" s="34" t="n">
        <x:v>88.3</x:v>
      </x:c>
      <x:c r="H70" t="n">
        <x:v>58</x:v>
      </x:c>
      <x:c r="I70" s="26" t="s">
        <x:v>65</x:v>
      </x:c>
      <x:c r="J70" t="s">
        <x:v>160</x:v>
      </x:c>
      <x:c r="K70" t="s">
        <x:v>118</x:v>
      </x:c>
      <x:c r="L70" t="s">
        <x:v>114</x:v>
      </x:c>
      <x:c r="M70" t="n">
        <x:v>19</x:v>
      </x:c>
      <x:c r="N70" s="35" t="n">
        <x:v>0.682225075677277</x:v>
      </x:c>
      <x:c r="O70" t="n">
        <x:v>55</x:v>
      </x:c>
      <x:c r="P70" s="27" t="n">
        <x:v>123.8</x:v>
      </x:c>
      <x:c r="Q70" t="n">
        <x:v>2</x:v>
      </x:c>
      <x:c r="R70" t="n">
        <x:v>0</x:v>
      </x:c>
    </x:row>
    <x:row r="71" ht="15" hidden="0">
      <x:c r="A71" s="33" t="s">
        <x:v>175</x:v>
      </x:c>
      <x:c r="B71" t="s">
        <x:v>176</x:v>
      </x:c>
      <x:c r="C71" t="s">
        <x:v>68</x:v>
      </x:c>
      <x:c r="D71" s="27" t="n">
        <x:v>101.8</x:v>
      </x:c>
      <x:c r="E71" s="27" t="n">
        <x:v>17.8</x:v>
      </x:c>
      <x:c r="F71" s="27" t="n">
        <x:v>27.6</x:v>
      </x:c>
      <x:c r="G71" s="34" t="n">
        <x:v>36</x:v>
      </x:c>
      <x:c r="H71" t="n">
        <x:v>58</x:v>
      </x:c>
      <x:c r="I71" s="26" t="s">
        <x:v>65</x:v>
      </x:c>
      <x:c r="J71" t="s">
        <x:v>132</x:v>
      </x:c>
      <x:c r="K71" t="s">
        <x:v>110</x:v>
      </x:c>
      <x:c r="L71" t="s">
        <x:v>108</x:v>
      </x:c>
      <x:c r="M71" t="n">
        <x:v>15</x:v>
      </x:c>
      <x:c r="N71" s="35" t="n">
        <x:v>0.930465200376114</x:v>
      </x:c>
      <x:c r="O71" t="n">
        <x:v>74</x:v>
      </x:c>
      <x:c r="P71" s="27" t="n">
        <x:v>72.8</x:v>
      </x:c>
      <x:c r="Q71" t="n">
        <x:v>13</x:v>
      </x:c>
      <x:c r="R71" t="n">
        <x:v>0</x:v>
      </x:c>
    </x:row>
    <x:row r="72" ht="15" hidden="0">
      <x:c r="A72" s="33" t="s">
        <x:v>177</x:v>
      </x:c>
      <x:c r="B72" t="s">
        <x:v>178</x:v>
      </x:c>
      <x:c r="C72" t="s">
        <x:v>70</x:v>
      </x:c>
      <x:c r="D72" s="27" t="n">
        <x:v>168.8</x:v>
      </x:c>
      <x:c r="E72" s="27" t="n">
        <x:v>39.6</x:v>
      </x:c>
      <x:c r="F72" s="27" t="n">
        <x:v>25.9</x:v>
      </x:c>
      <x:c r="G72" s="34" t="n">
        <x:v>45</x:v>
      </x:c>
      <x:c r="H72" t="n">
        <x:v>57</x:v>
      </x:c>
      <x:c r="I72" s="26" t="s">
        <x:v>65</x:v>
      </x:c>
      <x:c r="J72" t="s">
        <x:v>84</x:v>
      </x:c>
      <x:c r="K72" t="s">
        <x:v>116</x:v>
      </x:c>
      <x:c r="L72" t="s">
        <x:v>114</x:v>
      </x:c>
      <x:c r="M72" t="n">
        <x:v>27</x:v>
      </x:c>
      <x:c r="N72" s="35" t="n">
        <x:v>1.05669140007403</x:v>
      </x:c>
      <x:c r="O72" t="n">
        <x:v>55</x:v>
      </x:c>
      <x:c r="P72" s="27" t="n">
        <x:v>120</x:v>
      </x:c>
      <x:c r="Q72" t="n">
        <x:v>11</x:v>
      </x:c>
      <x:c r="R72" t="n">
        <x:v>0</x:v>
      </x:c>
    </x:row>
    <x:row r="73" ht="15" hidden="0">
      <x:c r="A73" s="33" t="s">
        <x:v>179</x:v>
      </x:c>
      <x:c r="B73" t="s">
        <x:v>180</x:v>
      </x:c>
      <x:c r="C73" t="s">
        <x:v>69</x:v>
      </x:c>
      <x:c r="D73" s="27" t="n">
        <x:v>54.1</x:v>
      </x:c>
      <x:c r="E73" s="27" t="n">
        <x:v>16.1</x:v>
      </x:c>
      <x:c r="F73" s="27" t="n">
        <x:v>19</x:v>
      </x:c>
      <x:c r="G73" s="34" t="n">
        <x:v>22.2</x:v>
      </x:c>
      <x:c r="H73" t="n">
        <x:v>56</x:v>
      </x:c>
      <x:c r="I73" s="26" t="s">
        <x:v>65</x:v>
      </x:c>
      <x:c r="J73" t="s">
        <x:v>160</x:v>
      </x:c>
      <x:c r="K73" t="s">
        <x:v>113</x:v>
      </x:c>
      <x:c r="L73" t="s">
        <x:v>129</x:v>
      </x:c>
      <x:c r="M73" t="n">
        <x:v>28</x:v>
      </x:c>
      <x:c r="N73" s="35" t="n">
        <x:v>0.630500906577114</x:v>
      </x:c>
      <x:c r="O73" t="n">
        <x:v>68</x:v>
      </x:c>
      <x:c r="P73" s="27" t="n">
        <x:v>40.6</x:v>
      </x:c>
      <x:c r="Q73" t="n">
        <x:v>16</x:v>
      </x:c>
      <x:c r="R73" t="n">
        <x:v>0</x:v>
      </x:c>
    </x:row>
    <x:row r="74" ht="15" hidden="0">
      <x:c r="A74" s="33" t="s">
        <x:v>181</x:v>
      </x:c>
      <x:c r="B74" t="s">
        <x:v>182</x:v>
      </x:c>
      <x:c r="C74" t="s">
        <x:v>123</x:v>
      </x:c>
      <x:c r="D74" s="27" t="n">
        <x:v>263.8</x:v>
      </x:c>
      <x:c r="E74" s="27" t="n">
        <x:v>64.1</x:v>
      </x:c>
      <x:c r="F74" s="27" t="n">
        <x:v>48.1</x:v>
      </x:c>
      <x:c r="G74" s="34" t="n">
        <x:v>52.3</x:v>
      </x:c>
      <x:c r="H74" t="n">
        <x:v>54</x:v>
      </x:c>
      <x:c r="I74" s="26" t="s">
        <x:v>65</x:v>
      </x:c>
      <x:c r="J74" t="s">
        <x:v>90</x:v>
      </x:c>
      <x:c r="K74" t="s">
        <x:v>113</x:v>
      </x:c>
      <x:c r="L74" t="s">
        <x:v>145</x:v>
      </x:c>
      <x:c r="M74" t="n">
        <x:v>7</x:v>
      </x:c>
      <x:c r="N74" s="35" t="n">
        <x:v>0.754348829040081</x:v>
      </x:c>
      <x:c r="O74" t="n">
        <x:v>55</x:v>
      </x:c>
      <x:c r="P74" s="27" t="n">
        <x:v>114.9</x:v>
      </x:c>
      <x:c r="Q74" t="n">
        <x:v>10</x:v>
      </x:c>
      <x:c r="R74" t="n">
        <x:v>0</x:v>
      </x:c>
    </x:row>
    <x:row r="75" ht="15" hidden="0">
      <x:c r="A75" s="33" t="s">
        <x:v>183</x:v>
      </x:c>
      <x:c r="B75" t="s">
        <x:v>184</x:v>
      </x:c>
      <x:c r="C75" t="s">
        <x:v>64</x:v>
      </x:c>
      <x:c r="D75" s="27" t="n">
        <x:v>236.9</x:v>
      </x:c>
      <x:c r="E75" s="27" t="n">
        <x:v>43.9</x:v>
      </x:c>
      <x:c r="F75" s="27" t="n">
        <x:v>15.3</x:v>
      </x:c>
      <x:c r="G75" s="34" t="n">
        <x:v>42.7</x:v>
      </x:c>
      <x:c r="H75" t="n">
        <x:v>54</x:v>
      </x:c>
      <x:c r="I75" s="26" t="s">
        <x:v>65</x:v>
      </x:c>
      <x:c r="J75" t="s">
        <x:v>90</x:v>
      </x:c>
      <x:c r="K75" t="s">
        <x:v>113</x:v>
      </x:c>
      <x:c r="L75" t="s">
        <x:v>129</x:v>
      </x:c>
      <x:c r="M75" t="n">
        <x:v>10</x:v>
      </x:c>
      <x:c r="N75" s="35" t="n">
        <x:v>0.783728046120514</x:v>
      </x:c>
      <x:c r="O75" t="n">
        <x:v>85</x:v>
      </x:c>
      <x:c r="P75" s="27" t="n">
        <x:v>99.3</x:v>
      </x:c>
      <x:c r="Q75" t="n">
        <x:v>11</x:v>
      </x:c>
      <x:c r="R75" t="n">
        <x:v>0</x:v>
      </x:c>
    </x:row>
    <x:row r="76" ht="15" hidden="0">
      <x:c r="A76" s="33" t="s">
        <x:v>185</x:v>
      </x:c>
      <x:c r="B76" t="s">
        <x:v>186</x:v>
      </x:c>
      <x:c r="C76" t="s">
        <x:v>67</x:v>
      </x:c>
      <x:c r="D76" s="27" t="n">
        <x:v>241.9</x:v>
      </x:c>
      <x:c r="E76" s="27" t="n">
        <x:v>56.4</x:v>
      </x:c>
      <x:c r="F76" s="27" t="n">
        <x:v>13</x:v>
      </x:c>
      <x:c r="G76" s="34" t="n">
        <x:v>60</x:v>
      </x:c>
      <x:c r="H76" t="n">
        <x:v>53</x:v>
      </x:c>
      <x:c r="I76" s="26" t="s">
        <x:v>65</x:v>
      </x:c>
      <x:c r="J76" t="s">
        <x:v>97</x:v>
      </x:c>
      <x:c r="K76" t="s">
        <x:v>113</x:v>
      </x:c>
      <x:c r="L76" t="s">
        <x:v>114</x:v>
      </x:c>
      <x:c r="M76" t="n">
        <x:v>13</x:v>
      </x:c>
      <x:c r="N76" s="35" t="n">
        <x:v>0.66303121140483</x:v>
      </x:c>
      <x:c r="O76" t="n">
        <x:v>80</x:v>
      </x:c>
      <x:c r="P76" s="27" t="n">
        <x:v>113.4</x:v>
      </x:c>
      <x:c r="Q76" t="n">
        <x:v>8</x:v>
      </x:c>
      <x:c r="R76" t="n">
        <x:v>0</x:v>
      </x:c>
    </x:row>
    <x:row r="77" ht="15" hidden="0">
      <x:c r="A77" s="33" t="s">
        <x:v>187</x:v>
      </x:c>
      <x:c r="B77" t="s">
        <x:v>188</x:v>
      </x:c>
      <x:c r="C77" t="s">
        <x:v>123</x:v>
      </x:c>
      <x:c r="D77" s="27" t="n">
        <x:v>171.2</x:v>
      </x:c>
      <x:c r="E77" s="27" t="n">
        <x:v>34.1</x:v>
      </x:c>
      <x:c r="F77" s="27" t="n">
        <x:v>12.7</x:v>
      </x:c>
      <x:c r="G77" s="34" t="n">
        <x:v>57</x:v>
      </x:c>
      <x:c r="H77" t="n">
        <x:v>52</x:v>
      </x:c>
      <x:c r="I77" s="26" t="s">
        <x:v>65</x:v>
      </x:c>
      <x:c r="J77" t="s">
        <x:v>97</x:v>
      </x:c>
      <x:c r="K77" t="s">
        <x:v>116</x:v>
      </x:c>
      <x:c r="L77" t="s">
        <x:v>108</x:v>
      </x:c>
      <x:c r="M77" t="n">
        <x:v>30</x:v>
      </x:c>
      <x:c r="N77" s="35" t="n">
        <x:v>0.823297216173507</x:v>
      </x:c>
      <x:c r="O77" t="n">
        <x:v>69</x:v>
      </x:c>
      <x:c r="P77" s="27" t="n">
        <x:v>113.3</x:v>
      </x:c>
      <x:c r="Q77" t="n">
        <x:v>9</x:v>
      </x:c>
      <x:c r="R77" t="n">
        <x:v>0</x:v>
      </x:c>
    </x:row>
    <x:row r="78" ht="15" hidden="0">
      <x:c r="A78" s="33" t="s">
        <x:v>189</x:v>
      </x:c>
      <x:c r="B78" t="s">
        <x:v>190</x:v>
      </x:c>
      <x:c r="C78" t="s">
        <x:v>70</x:v>
      </x:c>
      <x:c r="D78" s="27" t="n">
        <x:v>249.8</x:v>
      </x:c>
      <x:c r="E78" s="27" t="n">
        <x:v>64.2</x:v>
      </x:c>
      <x:c r="F78" s="27" t="n">
        <x:v>13.4</x:v>
      </x:c>
      <x:c r="G78" s="34" t="n">
        <x:v>28</x:v>
      </x:c>
      <x:c r="H78" t="n">
        <x:v>52</x:v>
      </x:c>
      <x:c r="I78" s="26" t="s">
        <x:v>65</x:v>
      </x:c>
      <x:c r="J78" t="s">
        <x:v>90</x:v>
      </x:c>
      <x:c r="K78" t="s">
        <x:v>113</x:v>
      </x:c>
      <x:c r="L78" t="s">
        <x:v>108</x:v>
      </x:c>
      <x:c r="M78" t="n">
        <x:v>22</x:v>
      </x:c>
      <x:c r="N78" s="35" t="n">
        <x:v>0.97147309143427</x:v>
      </x:c>
      <x:c r="O78" t="n">
        <x:v>67</x:v>
      </x:c>
      <x:c r="P78" s="27" t="n">
        <x:v>131.7</x:v>
      </x:c>
      <x:c r="Q78" t="n">
        <x:v>14</x:v>
      </x:c>
      <x:c r="R78" t="n">
        <x:v>0</x:v>
      </x:c>
    </x:row>
    <x:row r="79" ht="15" hidden="0">
      <x:c r="A79" s="33" t="s">
        <x:v>191</x:v>
      </x:c>
      <x:c r="B79" t="s">
        <x:v>192</x:v>
      </x:c>
      <x:c r="C79" t="s">
        <x:v>68</x:v>
      </x:c>
      <x:c r="D79" s="27" t="n">
        <x:v>239.6</x:v>
      </x:c>
      <x:c r="E79" s="27" t="n">
        <x:v>69.8</x:v>
      </x:c>
      <x:c r="F79" s="27" t="n">
        <x:v>46.2</x:v>
      </x:c>
      <x:c r="G79" s="34" t="n">
        <x:v>50.7</x:v>
      </x:c>
      <x:c r="H79" t="n">
        <x:v>52</x:v>
      </x:c>
      <x:c r="I79" s="26" t="s">
        <x:v>65</x:v>
      </x:c>
      <x:c r="J79" t="s">
        <x:v>193</x:v>
      </x:c>
      <x:c r="K79" t="s">
        <x:v>118</x:v>
      </x:c>
      <x:c r="L79" t="s">
        <x:v>145</x:v>
      </x:c>
      <x:c r="M79" t="n">
        <x:v>30</x:v>
      </x:c>
      <x:c r="N79" s="35" t="n">
        <x:v>0.643758261294823</x:v>
      </x:c>
      <x:c r="O79" t="n">
        <x:v>64</x:v>
      </x:c>
      <x:c r="P79" s="27" t="n">
        <x:v>135.4</x:v>
      </x:c>
      <x:c r="Q79" t="n">
        <x:v>10</x:v>
      </x:c>
      <x:c r="R79" t="n">
        <x:v>0</x:v>
      </x:c>
    </x:row>
    <x:row r="80" ht="15" hidden="0">
      <x:c r="A80" s="33" t="s">
        <x:v>194</x:v>
      </x:c>
      <x:c r="B80" t="s">
        <x:v>195</x:v>
      </x:c>
      <x:c r="C80" t="s">
        <x:v>123</x:v>
      </x:c>
      <x:c r="D80" s="27" t="n">
        <x:v>217.8</x:v>
      </x:c>
      <x:c r="E80" s="27" t="n">
        <x:v>69.6</x:v>
      </x:c>
      <x:c r="F80" s="27" t="n">
        <x:v>23.4</x:v>
      </x:c>
      <x:c r="G80" s="34" t="n">
        <x:v>49.7</x:v>
      </x:c>
      <x:c r="H80" t="n">
        <x:v>51</x:v>
      </x:c>
      <x:c r="I80" s="26" t="s">
        <x:v>65</x:v>
      </x:c>
      <x:c r="J80" t="s">
        <x:v>97</x:v>
      </x:c>
      <x:c r="K80" t="s">
        <x:v>113</x:v>
      </x:c>
      <x:c r="L80" t="s">
        <x:v>111</x:v>
      </x:c>
      <x:c r="M80" t="n">
        <x:v>26</x:v>
      </x:c>
      <x:c r="N80" s="35" t="n">
        <x:v>0.736193097270426</x:v>
      </x:c>
      <x:c r="O80" t="n">
        <x:v>57</x:v>
      </x:c>
      <x:c r="P80" s="27" t="n">
        <x:v>174.6</x:v>
      </x:c>
      <x:c r="Q80" t="n">
        <x:v>10</x:v>
      </x:c>
      <x:c r="R80" t="n">
        <x:v>0</x:v>
      </x:c>
    </x:row>
    <x:row r="81" ht="15" hidden="0">
      <x:c r="A81" s="33" t="s">
        <x:v>196</x:v>
      </x:c>
      <x:c r="B81" t="s">
        <x:v>197</x:v>
      </x:c>
      <x:c r="C81" t="s">
        <x:v>60</x:v>
      </x:c>
      <x:c r="D81" s="27" t="n">
        <x:v>308.8</x:v>
      </x:c>
      <x:c r="E81" s="27" t="n">
        <x:v>97.1</x:v>
      </x:c>
      <x:c r="F81" s="27" t="n">
        <x:v>13.7</x:v>
      </x:c>
      <x:c r="G81" s="34" t="n">
        <x:v>37</x:v>
      </x:c>
      <x:c r="H81" t="n">
        <x:v>50</x:v>
      </x:c>
      <x:c r="I81" s="26" t="s">
        <x:v>65</x:v>
      </x:c>
      <x:c r="J81" t="s">
        <x:v>160</x:v>
      </x:c>
      <x:c r="K81" t="s">
        <x:v>118</x:v>
      </x:c>
      <x:c r="L81" t="s">
        <x:v>108</x:v>
      </x:c>
      <x:c r="M81" t="n">
        <x:v>38</x:v>
      </x:c>
      <x:c r="N81" s="35" t="n">
        <x:v>0.960816133620322</x:v>
      </x:c>
      <x:c r="O81" t="n">
        <x:v>80</x:v>
      </x:c>
      <x:c r="P81" s="27" t="n">
        <x:v>140.8</x:v>
      </x:c>
      <x:c r="Q81" t="n">
        <x:v>13</x:v>
      </x:c>
      <x:c r="R81" t="n">
        <x:v>0</x:v>
      </x:c>
    </x:row>
    <x:row r="82" ht="15" hidden="0">
      <x:c r="A82" s="33" t="s">
        <x:v>198</x:v>
      </x:c>
      <x:c r="B82" t="s">
        <x:v>199</x:v>
      </x:c>
      <x:c r="C82" t="s">
        <x:v>66</x:v>
      </x:c>
      <x:c r="D82" s="27" t="n">
        <x:v>298</x:v>
      </x:c>
      <x:c r="E82" s="27" t="n">
        <x:v>37.7</x:v>
      </x:c>
      <x:c r="F82" s="27" t="n">
        <x:v>30.9</x:v>
      </x:c>
      <x:c r="G82" s="34" t="n">
        <x:v>30.8</x:v>
      </x:c>
      <x:c r="H82" t="n">
        <x:v>46</x:v>
      </x:c>
      <x:c r="I82" s="26" t="s">
        <x:v>65</x:v>
      </x:c>
      <x:c r="J82" t="s">
        <x:v>97</x:v>
      </x:c>
      <x:c r="K82" t="s">
        <x:v>116</x:v>
      </x:c>
      <x:c r="L82" t="s">
        <x:v>111</x:v>
      </x:c>
      <x:c r="M82" t="n">
        <x:v>10</x:v>
      </x:c>
      <x:c r="N82" s="35" t="n">
        <x:v>0.850917328446572</x:v>
      </x:c>
      <x:c r="O82" t="n">
        <x:v>58</x:v>
      </x:c>
      <x:c r="P82" s="27" t="n">
        <x:v>178.7</x:v>
      </x:c>
      <x:c r="Q82" t="n">
        <x:v>14</x:v>
      </x:c>
      <x:c r="R82" t="n">
        <x:v>0</x:v>
      </x:c>
    </x:row>
    <x:row r="83" ht="15" hidden="0">
      <x:c r="A83" s="33" t="s">
        <x:v>200</x:v>
      </x:c>
      <x:c r="B83" t="s">
        <x:v>201</x:v>
      </x:c>
      <x:c r="C83" t="s">
        <x:v>70</x:v>
      </x:c>
      <x:c r="D83" s="27" t="n">
        <x:v>141.7</x:v>
      </x:c>
      <x:c r="E83" s="27" t="n">
        <x:v>19.8</x:v>
      </x:c>
      <x:c r="F83" s="27" t="n">
        <x:v>44.7</x:v>
      </x:c>
      <x:c r="G83" s="34" t="n">
        <x:v>19.8</x:v>
      </x:c>
      <x:c r="H83" t="n">
        <x:v>43</x:v>
      </x:c>
      <x:c r="I83" s="26" t="s">
        <x:v>65</x:v>
      </x:c>
      <x:c r="J83" t="s">
        <x:v>132</x:v>
      </x:c>
      <x:c r="K83" t="s">
        <x:v>110</x:v>
      </x:c>
      <x:c r="L83" t="s">
        <x:v>111</x:v>
      </x:c>
      <x:c r="M83" t="n">
        <x:v>30</x:v>
      </x:c>
      <x:c r="N83" s="35" t="n">
        <x:v>0.738015080663331</x:v>
      </x:c>
      <x:c r="O83" t="n">
        <x:v>56</x:v>
      </x:c>
      <x:c r="P83" s="27" t="n">
        <x:v>121.4</x:v>
      </x:c>
      <x:c r="Q83" t="n">
        <x:v>16</x:v>
      </x:c>
      <x:c r="R83" t="n">
        <x:v>0</x:v>
      </x:c>
    </x:row>
    <x:row r="84" ht="15" hidden="0">
      <x:c r="A84" s="33" t="s">
        <x:v>202</x:v>
      </x:c>
      <x:c r="B84" t="s">
        <x:v>203</x:v>
      </x:c>
      <x:c r="C84" t="s">
        <x:v>67</x:v>
      </x:c>
      <x:c r="D84" s="27" t="n">
        <x:v>76.6</x:v>
      </x:c>
      <x:c r="E84" s="27" t="n">
        <x:v>19.3</x:v>
      </x:c>
      <x:c r="F84" s="27" t="n">
        <x:v>62.4</x:v>
      </x:c>
      <x:c r="G84" s="34" t="n">
        <x:v>42</x:v>
      </x:c>
      <x:c r="H84" t="n">
        <x:v>43</x:v>
      </x:c>
      <x:c r="I84" s="26" t="s">
        <x:v>65</x:v>
      </x:c>
      <x:c r="J84" t="s">
        <x:v>95</x:v>
      </x:c>
      <x:c r="K84" t="s">
        <x:v>107</x:v>
      </x:c>
      <x:c r="L84" t="s">
        <x:v>111</x:v>
      </x:c>
      <x:c r="M84" t="n">
        <x:v>6</x:v>
      </x:c>
      <x:c r="N84" s="35" t="n">
        <x:v>0.653417936224186</x:v>
      </x:c>
      <x:c r="O84" t="n">
        <x:v>80</x:v>
      </x:c>
      <x:c r="P84" s="27" t="n">
        <x:v>53.1</x:v>
      </x:c>
      <x:c r="Q84" t="n">
        <x:v>12</x:v>
      </x:c>
      <x:c r="R84" t="n">
        <x:v>0</x:v>
      </x:c>
    </x:row>
    <x:row r="85" ht="15" hidden="0">
      <x:c r="A85" s="33" t="s">
        <x:v>204</x:v>
      </x:c>
      <x:c r="B85" t="s">
        <x:v>205</x:v>
      </x:c>
      <x:c r="C85" t="s">
        <x:v>64</x:v>
      </x:c>
      <x:c r="D85" s="27" t="n">
        <x:v>62.6</x:v>
      </x:c>
      <x:c r="E85" s="27" t="n">
        <x:v>16</x:v>
      </x:c>
      <x:c r="F85" s="27" t="n">
        <x:v>11.9</x:v>
      </x:c>
      <x:c r="G85" s="34" t="n">
        <x:v>59.8</x:v>
      </x:c>
      <x:c r="H85" t="n">
        <x:v>43</x:v>
      </x:c>
      <x:c r="I85" s="26" t="s">
        <x:v>65</x:v>
      </x:c>
      <x:c r="J85" t="s">
        <x:v>132</x:v>
      </x:c>
      <x:c r="K85" t="s">
        <x:v>113</x:v>
      </x:c>
      <x:c r="L85" t="s">
        <x:v>145</x:v>
      </x:c>
      <x:c r="M85" t="n">
        <x:v>19</x:v>
      </x:c>
      <x:c r="N85" s="35" t="n">
        <x:v>0.858840534589854</x:v>
      </x:c>
      <x:c r="O85" t="n">
        <x:v>94</x:v>
      </x:c>
      <x:c r="P85" s="27" t="n">
        <x:v>36.4</x:v>
      </x:c>
      <x:c r="Q85" t="n">
        <x:v>10</x:v>
      </x:c>
      <x:c r="R85" t="n">
        <x:v>0</x:v>
      </x:c>
    </x:row>
    <x:row r="86" ht="15" hidden="0">
      <x:c r="A86" s="33" t="s">
        <x:v>206</x:v>
      </x:c>
      <x:c r="B86" t="s">
        <x:v>207</x:v>
      </x:c>
      <x:c r="C86" t="s">
        <x:v>67</x:v>
      </x:c>
      <x:c r="D86" s="27" t="n">
        <x:v>239.3</x:v>
      </x:c>
      <x:c r="E86" s="27" t="n">
        <x:v>51.6</x:v>
      </x:c>
      <x:c r="F86" s="27" t="n">
        <x:v>35.6</x:v>
      </x:c>
      <x:c r="G86" s="34" t="n">
        <x:v>45.3</x:v>
      </x:c>
      <x:c r="H86" t="n">
        <x:v>42</x:v>
      </x:c>
      <x:c r="I86" s="26" t="s">
        <x:v>65</x:v>
      </x:c>
      <x:c r="J86" t="s">
        <x:v>160</x:v>
      </x:c>
      <x:c r="K86" t="s">
        <x:v>116</x:v>
      </x:c>
      <x:c r="L86" t="s">
        <x:v>111</x:v>
      </x:c>
      <x:c r="M86" t="n">
        <x:v>19</x:v>
      </x:c>
      <x:c r="N86" s="35" t="n">
        <x:v>0.922213697281822</x:v>
      </x:c>
      <x:c r="O86" t="n">
        <x:v>90</x:v>
      </x:c>
      <x:c r="P86" s="27" t="n">
        <x:v>161.2</x:v>
      </x:c>
      <x:c r="Q86" t="n">
        <x:v>12</x:v>
      </x:c>
      <x:c r="R86" t="n">
        <x:v>0</x:v>
      </x:c>
    </x:row>
    <x:row r="87" ht="15" hidden="0">
      <x:c r="A87" s="33" t="s">
        <x:v>208</x:v>
      </x:c>
      <x:c r="B87" t="s">
        <x:v>209</x:v>
      </x:c>
      <x:c r="C87" t="s">
        <x:v>67</x:v>
      </x:c>
      <x:c r="D87" s="27" t="n">
        <x:v>244.7</x:v>
      </x:c>
      <x:c r="E87" s="27" t="n">
        <x:v>55.3</x:v>
      </x:c>
      <x:c r="F87" s="27" t="n">
        <x:v>21.3</x:v>
      </x:c>
      <x:c r="G87" s="34" t="n">
        <x:v>43</x:v>
      </x:c>
      <x:c r="H87" t="n">
        <x:v>42</x:v>
      </x:c>
      <x:c r="I87" s="26" t="s">
        <x:v>65</x:v>
      </x:c>
      <x:c r="J87" t="s">
        <x:v>193</x:v>
      </x:c>
      <x:c r="K87" t="s">
        <x:v>113</x:v>
      </x:c>
      <x:c r="L87" t="s">
        <x:v>111</x:v>
      </x:c>
      <x:c r="M87" t="n">
        <x:v>8</x:v>
      </x:c>
      <x:c r="N87" s="35" t="n">
        <x:v>0.72453054607109</x:v>
      </x:c>
      <x:c r="O87" t="n">
        <x:v>70</x:v>
      </x:c>
      <x:c r="P87" s="27" t="n">
        <x:v>152.2</x:v>
      </x:c>
      <x:c r="Q87" t="n">
        <x:v>11</x:v>
      </x:c>
      <x:c r="R87" t="n">
        <x:v>0</x:v>
      </x:c>
    </x:row>
    <x:row r="88" ht="15" hidden="0">
      <x:c r="A88" s="33" t="s">
        <x:v>210</x:v>
      </x:c>
      <x:c r="B88" t="s">
        <x:v>211</x:v>
      </x:c>
      <x:c r="C88" t="s">
        <x:v>69</x:v>
      </x:c>
      <x:c r="D88" s="27" t="n">
        <x:v>101.3</x:v>
      </x:c>
      <x:c r="E88" s="27" t="n">
        <x:v>31.3</x:v>
      </x:c>
      <x:c r="F88" s="27" t="n">
        <x:v>38.1</x:v>
      </x:c>
      <x:c r="G88" s="34" t="n">
        <x:v>43.8</x:v>
      </x:c>
      <x:c r="H88" t="n">
        <x:v>42</x:v>
      </x:c>
      <x:c r="I88" s="26" t="s">
        <x:v>65</x:v>
      </x:c>
      <x:c r="J88" t="s">
        <x:v>132</x:v>
      </x:c>
      <x:c r="K88" t="s">
        <x:v>107</x:v>
      </x:c>
      <x:c r="L88" t="s">
        <x:v>111</x:v>
      </x:c>
      <x:c r="M88" t="n">
        <x:v>36</x:v>
      </x:c>
      <x:c r="N88" s="35" t="n">
        <x:v>0.855536510057031</x:v>
      </x:c>
      <x:c r="O88" t="n">
        <x:v>59</x:v>
      </x:c>
      <x:c r="P88" s="27" t="n">
        <x:v>50.6</x:v>
      </x:c>
      <x:c r="Q88" t="n">
        <x:v>11</x:v>
      </x:c>
      <x:c r="R88" t="n">
        <x:v>0</x:v>
      </x:c>
    </x:row>
    <x:row r="89" ht="15" hidden="0">
      <x:c r="A89" s="33" t="s">
        <x:v>212</x:v>
      </x:c>
      <x:c r="B89" t="s">
        <x:v>213</x:v>
      </x:c>
      <x:c r="C89" t="s">
        <x:v>64</x:v>
      </x:c>
      <x:c r="D89" s="27" t="n">
        <x:v>285.3</x:v>
      </x:c>
      <x:c r="E89" s="27" t="n">
        <x:v>96.7</x:v>
      </x:c>
      <x:c r="F89" s="27" t="n">
        <x:v>44.2</x:v>
      </x:c>
      <x:c r="G89" s="34" t="n">
        <x:v>21</x:v>
      </x:c>
      <x:c r="H89" t="n">
        <x:v>40</x:v>
      </x:c>
      <x:c r="I89" s="26" t="s">
        <x:v>65</x:v>
      </x:c>
      <x:c r="J89" t="s">
        <x:v>80</x:v>
      </x:c>
      <x:c r="K89" t="s">
        <x:v>107</x:v>
      </x:c>
      <x:c r="L89" t="s">
        <x:v>111</x:v>
      </x:c>
      <x:c r="M89" t="n">
        <x:v>29</x:v>
      </x:c>
      <x:c r="N89" s="35" t="n">
        <x:v>0.718452468166351</x:v>
      </x:c>
      <x:c r="O89" t="n">
        <x:v>64</x:v>
      </x:c>
      <x:c r="P89" s="27" t="n">
        <x:v>157</x:v>
      </x:c>
      <x:c r="Q89" t="n">
        <x:v>16</x:v>
      </x:c>
      <x:c r="R89" t="n">
        <x:v>0</x:v>
      </x:c>
    </x:row>
    <x:row r="90" ht="15" hidden="0">
      <x:c r="A90" s="33" t="s">
        <x:v>214</x:v>
      </x:c>
      <x:c r="B90" t="s">
        <x:v>215</x:v>
      </x:c>
      <x:c r="C90" t="s">
        <x:v>64</x:v>
      </x:c>
      <x:c r="D90" s="27" t="n">
        <x:v>239.3</x:v>
      </x:c>
      <x:c r="E90" s="27" t="n">
        <x:v>43.7</x:v>
      </x:c>
      <x:c r="F90" s="27" t="n">
        <x:v>46.8</x:v>
      </x:c>
      <x:c r="G90" s="34" t="n">
        <x:v>50.7</x:v>
      </x:c>
      <x:c r="H90" t="n">
        <x:v>39</x:v>
      </x:c>
      <x:c r="I90" s="26" t="s">
        <x:v>65</x:v>
      </x:c>
      <x:c r="J90" t="s">
        <x:v>86</x:v>
      </x:c>
      <x:c r="K90" t="s">
        <x:v>113</x:v>
      </x:c>
      <x:c r="L90" t="s">
        <x:v>114</x:v>
      </x:c>
      <x:c r="M90" t="n">
        <x:v>20</x:v>
      </x:c>
      <x:c r="N90" s="35" t="n">
        <x:v>0.828957878003907</x:v>
      </x:c>
      <x:c r="O90" t="n">
        <x:v>95</x:v>
      </x:c>
      <x:c r="P90" s="27" t="n">
        <x:v>147.4</x:v>
      </x:c>
      <x:c r="Q90" t="n">
        <x:v>12</x:v>
      </x:c>
      <x:c r="R90" t="n">
        <x:v>0</x:v>
      </x:c>
    </x:row>
    <x:row r="91" ht="15" hidden="0">
      <x:c r="A91" s="33" t="s">
        <x:v>216</x:v>
      </x:c>
      <x:c r="B91" t="s">
        <x:v>217</x:v>
      </x:c>
      <x:c r="C91" t="s">
        <x:v>68</x:v>
      </x:c>
      <x:c r="D91" s="27" t="n">
        <x:v>149</x:v>
      </x:c>
      <x:c r="E91" s="27" t="n">
        <x:v>28</x:v>
      </x:c>
      <x:c r="F91" s="27" t="n">
        <x:v>14.8</x:v>
      </x:c>
      <x:c r="G91" s="34" t="n">
        <x:v>31</x:v>
      </x:c>
      <x:c r="H91" t="n">
        <x:v>38</x:v>
      </x:c>
      <x:c r="I91" s="26" t="s">
        <x:v>65</x:v>
      </x:c>
      <x:c r="J91" t="s">
        <x:v>160</x:v>
      </x:c>
      <x:c r="K91" t="s">
        <x:v>118</x:v>
      </x:c>
      <x:c r="L91" t="s">
        <x:v>111</x:v>
      </x:c>
      <x:c r="M91" t="n">
        <x:v>11</x:v>
      </x:c>
      <x:c r="N91" s="35" t="n">
        <x:v>0.956620164215429</x:v>
      </x:c>
      <x:c r="O91" t="n">
        <x:v>91</x:v>
      </x:c>
      <x:c r="P91" s="27" t="n">
        <x:v>111.5</x:v>
      </x:c>
      <x:c r="Q91" t="n">
        <x:v>15</x:v>
      </x:c>
      <x:c r="R91" t="n">
        <x:v>0</x:v>
      </x:c>
    </x:row>
    <x:row r="92" ht="15" hidden="0">
      <x:c r="A92" s="33" t="s">
        <x:v>218</x:v>
      </x:c>
      <x:c r="B92" t="s">
        <x:v>219</x:v>
      </x:c>
      <x:c r="C92" t="s">
        <x:v>62</x:v>
      </x:c>
      <x:c r="D92" s="27" t="n">
        <x:v>95.1</x:v>
      </x:c>
      <x:c r="E92" s="27" t="n">
        <x:v>13.7</x:v>
      </x:c>
      <x:c r="F92" s="27" t="n">
        <x:v>47.1</x:v>
      </x:c>
      <x:c r="G92" s="34" t="n">
        <x:v>35.2</x:v>
      </x:c>
      <x:c r="H92" t="n">
        <x:v>35</x:v>
      </x:c>
      <x:c r="I92" s="26" t="s">
        <x:v>65</x:v>
      </x:c>
      <x:c r="J92" t="s">
        <x:v>88</x:v>
      </x:c>
      <x:c r="K92" t="s">
        <x:v>110</x:v>
      </x:c>
      <x:c r="L92" t="s">
        <x:v>145</x:v>
      </x:c>
      <x:c r="M92" t="n">
        <x:v>21</x:v>
      </x:c>
      <x:c r="N92" s="35" t="n">
        <x:v>0.787855743143756</x:v>
      </x:c>
      <x:c r="O92" t="n">
        <x:v>61</x:v>
      </x:c>
      <x:c r="P92" s="27" t="n">
        <x:v>41.3</x:v>
      </x:c>
      <x:c r="Q92" t="n">
        <x:v>13</x:v>
      </x:c>
      <x:c r="R92" t="n">
        <x:v>0</x:v>
      </x:c>
    </x:row>
    <x:row r="93" ht="15" hidden="0">
      <x:c r="A93" s="33" t="s">
        <x:v>220</x:v>
      </x:c>
      <x:c r="B93" t="s">
        <x:v>221</x:v>
      </x:c>
      <x:c r="C93" t="s">
        <x:v>70</x:v>
      </x:c>
      <x:c r="D93" s="27" t="n">
        <x:v>208.5</x:v>
      </x:c>
      <x:c r="E93" s="27" t="n">
        <x:v>55.6</x:v>
      </x:c>
      <x:c r="F93" s="27" t="n">
        <x:v>13.6</x:v>
      </x:c>
      <x:c r="G93" s="34" t="n">
        <x:v>36.8</x:v>
      </x:c>
      <x:c r="H93" t="n">
        <x:v>32</x:v>
      </x:c>
      <x:c r="I93" s="26" t="s">
        <x:v>65</x:v>
      </x:c>
      <x:c r="J93" t="s">
        <x:v>132</x:v>
      </x:c>
      <x:c r="K93" t="s">
        <x:v>118</x:v>
      </x:c>
      <x:c r="L93" t="s">
        <x:v>108</x:v>
      </x:c>
      <x:c r="M93" t="n">
        <x:v>27</x:v>
      </x:c>
      <x:c r="N93" s="35" t="n">
        <x:v>0.943087759584086</x:v>
      </x:c>
      <x:c r="O93" t="n">
        <x:v>64</x:v>
      </x:c>
      <x:c r="P93" s="27" t="n">
        <x:v>169.4</x:v>
      </x:c>
      <x:c r="Q93" t="n">
        <x:v>13</x:v>
      </x:c>
      <x:c r="R93" t="n">
        <x:v>0</x:v>
      </x:c>
    </x:row>
    <x:row r="94" ht="15" hidden="0">
      <x:c r="A94" s="33" t="s">
        <x:v>222</x:v>
      </x:c>
      <x:c r="B94" t="s">
        <x:v>223</x:v>
      </x:c>
      <x:c r="C94" t="s">
        <x:v>67</x:v>
      </x:c>
      <x:c r="D94" s="27" t="n">
        <x:v>83</x:v>
      </x:c>
      <x:c r="E94" s="27" t="n">
        <x:v>16.9</x:v>
      </x:c>
      <x:c r="F94" s="27" t="n">
        <x:v>63.5</x:v>
      </x:c>
      <x:c r="G94" s="34" t="n">
        <x:v>44.2</x:v>
      </x:c>
      <x:c r="H94" t="n">
        <x:v>31</x:v>
      </x:c>
      <x:c r="I94" s="26" t="s">
        <x:v>65</x:v>
      </x:c>
      <x:c r="J94" t="s">
        <x:v>132</x:v>
      </x:c>
      <x:c r="K94" t="s">
        <x:v>110</x:v>
      </x:c>
      <x:c r="L94" t="s">
        <x:v>108</x:v>
      </x:c>
      <x:c r="M94" t="n">
        <x:v>19</x:v>
      </x:c>
      <x:c r="N94" s="35" t="n">
        <x:v>0.949244905914495</x:v>
      </x:c>
      <x:c r="O94" t="n">
        <x:v>82</x:v>
      </x:c>
      <x:c r="P94" s="27" t="n">
        <x:v>66.2</x:v>
      </x:c>
      <x:c r="Q94" t="n">
        <x:v>11</x:v>
      </x:c>
      <x:c r="R94" t="n">
        <x:v>0</x:v>
      </x:c>
    </x:row>
    <x:row r="95" ht="15" hidden="0">
      <x:c r="A95" s="33" t="s">
        <x:v>224</x:v>
      </x:c>
      <x:c r="B95" t="s">
        <x:v>225</x:v>
      </x:c>
      <x:c r="C95" t="s">
        <x:v>123</x:v>
      </x:c>
      <x:c r="D95" s="27" t="n">
        <x:v>96.7</x:v>
      </x:c>
      <x:c r="E95" s="27" t="n">
        <x:v>16.5</x:v>
      </x:c>
      <x:c r="F95" s="27" t="n">
        <x:v>63.3</x:v>
      </x:c>
      <x:c r="G95" s="34" t="n">
        <x:v>46.8</x:v>
      </x:c>
      <x:c r="H95" t="n">
        <x:v>31</x:v>
      </x:c>
      <x:c r="I95" s="26" t="s">
        <x:v>65</x:v>
      </x:c>
      <x:c r="J95" t="s">
        <x:v>97</x:v>
      </x:c>
      <x:c r="K95" t="s">
        <x:v>118</x:v>
      </x:c>
      <x:c r="L95" t="s">
        <x:v>145</x:v>
      </x:c>
      <x:c r="M95" t="n">
        <x:v>36</x:v>
      </x:c>
      <x:c r="N95" s="35" t="n">
        <x:v>0.689278021150891</x:v>
      </x:c>
      <x:c r="O95" t="n">
        <x:v>67</x:v>
      </x:c>
      <x:c r="P95" s="27" t="n">
        <x:v>56.6</x:v>
      </x:c>
      <x:c r="Q95" t="n">
        <x:v>11</x:v>
      </x:c>
      <x:c r="R95" t="n">
        <x:v>0</x:v>
      </x:c>
    </x:row>
    <x:row r="96" ht="15" hidden="0">
      <x:c r="A96" s="33" t="s">
        <x:v>226</x:v>
      </x:c>
      <x:c r="B96" t="s">
        <x:v>227</x:v>
      </x:c>
      <x:c r="C96" t="s">
        <x:v>70</x:v>
      </x:c>
      <x:c r="D96" s="27" t="n">
        <x:v>415.6</x:v>
      </x:c>
      <x:c r="E96" s="27" t="n">
        <x:v>122.9</x:v>
      </x:c>
      <x:c r="F96" s="27" t="n">
        <x:v>50.2</x:v>
      </x:c>
      <x:c r="G96" s="34" t="n">
        <x:v>40.3</x:v>
      </x:c>
      <x:c r="H96" t="n">
        <x:v>31</x:v>
      </x:c>
      <x:c r="I96" s="26" t="s">
        <x:v>65</x:v>
      </x:c>
      <x:c r="J96" t="s">
        <x:v>193</x:v>
      </x:c>
      <x:c r="K96" t="s">
        <x:v>118</x:v>
      </x:c>
      <x:c r="L96" t="s">
        <x:v>145</x:v>
      </x:c>
      <x:c r="M96" t="n">
        <x:v>10</x:v>
      </x:c>
      <x:c r="N96" s="35" t="n">
        <x:v>0.84957748426149</x:v>
      </x:c>
      <x:c r="O96" t="n">
        <x:v>64</x:v>
      </x:c>
      <x:c r="P96" s="27" t="n">
        <x:v>174</x:v>
      </x:c>
      <x:c r="Q96" t="n">
        <x:v>12</x:v>
      </x:c>
      <x:c r="R96" t="n">
        <x:v>0</x:v>
      </x:c>
    </x:row>
    <x:row r="97" ht="15" hidden="0">
      <x:c r="A97" s="33" t="s">
        <x:v>228</x:v>
      </x:c>
      <x:c r="B97" t="s">
        <x:v>229</x:v>
      </x:c>
      <x:c r="C97" t="s">
        <x:v>64</x:v>
      </x:c>
      <x:c r="D97" s="27" t="n">
        <x:v>102.6</x:v>
      </x:c>
      <x:c r="E97" s="27" t="n">
        <x:v>18.3</x:v>
      </x:c>
      <x:c r="F97" s="27" t="n">
        <x:v>35.5</x:v>
      </x:c>
      <x:c r="G97" s="34" t="n">
        <x:v>24.5</x:v>
      </x:c>
      <x:c r="H97" t="n">
        <x:v>30</x:v>
      </x:c>
      <x:c r="I97" s="26" t="s">
        <x:v>65</x:v>
      </x:c>
      <x:c r="J97" t="s">
        <x:v>84</x:v>
      </x:c>
      <x:c r="K97" t="s">
        <x:v>113</x:v>
      </x:c>
      <x:c r="L97" t="s">
        <x:v>145</x:v>
      </x:c>
      <x:c r="M97" t="n">
        <x:v>13</x:v>
      </x:c>
      <x:c r="N97" s="35" t="n">
        <x:v>1.00152489646371</x:v>
      </x:c>
      <x:c r="O97" t="n">
        <x:v>73</x:v>
      </x:c>
      <x:c r="P97" s="27" t="n">
        <x:v>66.7</x:v>
      </x:c>
      <x:c r="Q97" t="n">
        <x:v>15</x:v>
      </x:c>
      <x:c r="R97" t="n">
        <x:v>0</x:v>
      </x:c>
    </x:row>
    <x:row r="98" ht="15" hidden="0">
      <x:c r="A98" s="33" t="s">
        <x:v>230</x:v>
      </x:c>
      <x:c r="B98" t="s">
        <x:v>231</x:v>
      </x:c>
      <x:c r="C98" t="s">
        <x:v>67</x:v>
      </x:c>
      <x:c r="D98" s="27" t="n">
        <x:v>140.7</x:v>
      </x:c>
      <x:c r="E98" s="27" t="n">
        <x:v>28.6</x:v>
      </x:c>
      <x:c r="F98" s="27" t="n">
        <x:v>48.8</x:v>
      </x:c>
      <x:c r="G98" s="34" t="n">
        <x:v>45.7</x:v>
      </x:c>
      <x:c r="H98" t="n">
        <x:v>28</x:v>
      </x:c>
      <x:c r="I98" s="26" t="s">
        <x:v>65</x:v>
      </x:c>
      <x:c r="J98" t="s">
        <x:v>86</x:v>
      </x:c>
      <x:c r="K98" t="s">
        <x:v>116</x:v>
      </x:c>
      <x:c r="L98" t="s">
        <x:v>111</x:v>
      </x:c>
      <x:c r="M98" t="n">
        <x:v>17</x:v>
      </x:c>
      <x:c r="N98" s="35" t="n">
        <x:v>0.623032860705436</x:v>
      </x:c>
      <x:c r="O98" t="n">
        <x:v>55</x:v>
      </x:c>
      <x:c r="P98" s="27" t="n">
        <x:v>99.4</x:v>
      </x:c>
      <x:c r="Q98" t="n">
        <x:v>11</x:v>
      </x:c>
      <x:c r="R98" t="n">
        <x:v>0</x:v>
      </x:c>
    </x:row>
    <x:row r="99" ht="15" hidden="0">
      <x:c r="A99" s="33" t="s">
        <x:v>232</x:v>
      </x:c>
      <x:c r="B99" t="s">
        <x:v>233</x:v>
      </x:c>
      <x:c r="C99" t="s">
        <x:v>66</x:v>
      </x:c>
      <x:c r="D99" s="27" t="n">
        <x:v>189.6</x:v>
      </x:c>
      <x:c r="E99" s="27" t="n">
        <x:v>33.4</x:v>
      </x:c>
      <x:c r="F99" s="27" t="n">
        <x:v>6</x:v>
      </x:c>
      <x:c r="G99" s="34" t="n">
        <x:v>78.7</x:v>
      </x:c>
      <x:c r="H99" t="n">
        <x:v>28</x:v>
      </x:c>
      <x:c r="I99" s="26" t="s">
        <x:v>65</x:v>
      </x:c>
      <x:c r="J99" t="s">
        <x:v>80</x:v>
      </x:c>
      <x:c r="K99" t="s">
        <x:v>116</x:v>
      </x:c>
      <x:c r="L99" t="s">
        <x:v>108</x:v>
      </x:c>
      <x:c r="M99" t="n">
        <x:v>14</x:v>
      </x:c>
      <x:c r="N99" s="35" t="n">
        <x:v>1.06268901699386</x:v>
      </x:c>
      <x:c r="O99" t="n">
        <x:v>61</x:v>
      </x:c>
      <x:c r="P99" s="27" t="n">
        <x:v>97.7</x:v>
      </x:c>
      <x:c r="Q99" t="n">
        <x:v>4</x:v>
      </x:c>
      <x:c r="R99" t="n">
        <x:v>0</x:v>
      </x:c>
    </x:row>
    <x:row r="100" ht="15" hidden="0">
      <x:c r="A100" s="33" t="s">
        <x:v>234</x:v>
      </x:c>
      <x:c r="B100" t="s">
        <x:v>235</x:v>
      </x:c>
      <x:c r="C100" t="s">
        <x:v>69</x:v>
      </x:c>
      <x:c r="D100" s="27" t="n">
        <x:v>200.3</x:v>
      </x:c>
      <x:c r="E100" s="27" t="n">
        <x:v>26.8</x:v>
      </x:c>
      <x:c r="F100" s="27" t="n">
        <x:v>14.9</x:v>
      </x:c>
      <x:c r="G100" s="34" t="n">
        <x:v>25</x:v>
      </x:c>
      <x:c r="H100" t="n">
        <x:v>23</x:v>
      </x:c>
      <x:c r="I100" s="26" t="s">
        <x:v>65</x:v>
      </x:c>
      <x:c r="J100" t="s">
        <x:v>132</x:v>
      </x:c>
      <x:c r="K100" t="s">
        <x:v>113</x:v>
      </x:c>
      <x:c r="L100" t="s">
        <x:v>111</x:v>
      </x:c>
      <x:c r="M100" t="n">
        <x:v>7</x:v>
      </x:c>
      <x:c r="N100" s="35" t="n">
        <x:v>0.736876892297394</x:v>
      </x:c>
      <x:c r="O100" t="n">
        <x:v>97</x:v>
      </x:c>
      <x:c r="P100" s="27" t="n">
        <x:v>120.2</x:v>
      </x:c>
      <x:c r="Q100" t="n">
        <x:v>18</x:v>
      </x:c>
      <x:c r="R100" t="n">
        <x:v>0</x:v>
      </x:c>
    </x:row>
    <x:row r="101" ht="15" hidden="0">
      <x:c r="A101" s="33" t="s">
        <x:v>236</x:v>
      </x:c>
      <x:c r="B101" t="s">
        <x:v>237</x:v>
      </x:c>
      <x:c r="C101" t="s">
        <x:v>69</x:v>
      </x:c>
      <x:c r="D101" s="27" t="n">
        <x:v>129.4</x:v>
      </x:c>
      <x:c r="E101" s="27" t="n">
        <x:v>28.9</x:v>
      </x:c>
      <x:c r="F101" s="27" t="n">
        <x:v>40.3</x:v>
      </x:c>
      <x:c r="G101" s="34" t="n">
        <x:v>64</x:v>
      </x:c>
      <x:c r="H101" t="n">
        <x:v>22</x:v>
      </x:c>
      <x:c r="I101" s="26" t="s">
        <x:v>65</x:v>
      </x:c>
      <x:c r="J101" t="s">
        <x:v>80</x:v>
      </x:c>
      <x:c r="K101" t="s">
        <x:v>110</x:v>
      </x:c>
      <x:c r="L101" t="s">
        <x:v>129</x:v>
      </x:c>
      <x:c r="M101" t="n">
        <x:v>15</x:v>
      </x:c>
      <x:c r="N101" s="35" t="n">
        <x:v>0.923700783766573</x:v>
      </x:c>
      <x:c r="O101" t="n">
        <x:v>58</x:v>
      </x:c>
      <x:c r="P101" s="27" t="n">
        <x:v>56</x:v>
      </x:c>
      <x:c r="Q101" t="n">
        <x:v>7</x:v>
      </x:c>
      <x:c r="R101" t="n">
        <x:v>0</x:v>
      </x:c>
    </x:row>
    <x:row r="102" ht="15" hidden="0">
      <x:c r="A102" s="33" t="s">
        <x:v>238</x:v>
      </x:c>
      <x:c r="B102" t="s">
        <x:v>239</x:v>
      </x:c>
      <x:c r="C102" t="s">
        <x:v>66</x:v>
      </x:c>
      <x:c r="D102" s="27" t="n">
        <x:v>245.2</x:v>
      </x:c>
      <x:c r="E102" s="27" t="n">
        <x:v>59.9</x:v>
      </x:c>
      <x:c r="F102" s="27" t="n">
        <x:v>37.5</x:v>
      </x:c>
      <x:c r="G102" s="34" t="n">
        <x:v>66.7</x:v>
      </x:c>
      <x:c r="H102" t="n">
        <x:v>19</x:v>
      </x:c>
      <x:c r="I102" s="26" t="s">
        <x:v>65</x:v>
      </x:c>
      <x:c r="J102" t="s">
        <x:v>80</x:v>
      </x:c>
      <x:c r="K102" t="s">
        <x:v>110</x:v>
      </x:c>
      <x:c r="L102" t="s">
        <x:v>129</x:v>
      </x:c>
      <x:c r="M102" t="n">
        <x:v>12</x:v>
      </x:c>
      <x:c r="N102" s="35" t="n">
        <x:v>0.723912192361783</x:v>
      </x:c>
      <x:c r="O102" t="n">
        <x:v>57</x:v>
      </x:c>
      <x:c r="P102" s="27" t="n">
        <x:v>114.4</x:v>
      </x:c>
      <x:c r="Q102" t="n">
        <x:v>7</x:v>
      </x:c>
      <x:c r="R102" t="n">
        <x:v>0</x:v>
      </x:c>
    </x:row>
    <x:row r="103" ht="15" hidden="0">
      <x:c r="A103" s="33" t="s">
        <x:v>240</x:v>
      </x:c>
      <x:c r="B103" t="s">
        <x:v>241</x:v>
      </x:c>
      <x:c r="C103" t="s">
        <x:v>70</x:v>
      </x:c>
      <x:c r="D103" s="27" t="n">
        <x:v>72.2</x:v>
      </x:c>
      <x:c r="E103" s="27" t="n">
        <x:v>11.5</x:v>
      </x:c>
      <x:c r="F103" s="27" t="n">
        <x:v>30.7</x:v>
      </x:c>
      <x:c r="G103" s="34" t="n">
        <x:v>56</x:v>
      </x:c>
      <x:c r="H103" t="n">
        <x:v>19</x:v>
      </x:c>
      <x:c r="I103" s="26" t="s">
        <x:v>65</x:v>
      </x:c>
      <x:c r="J103" t="s">
        <x:v>80</x:v>
      </x:c>
      <x:c r="K103" t="s">
        <x:v>116</x:v>
      </x:c>
      <x:c r="L103" t="s">
        <x:v>108</x:v>
      </x:c>
      <x:c r="M103" t="n">
        <x:v>31</x:v>
      </x:c>
      <x:c r="N103" s="35" t="n">
        <x:v>0.697334766847399</x:v>
      </x:c>
      <x:c r="O103" t="n">
        <x:v>98</x:v>
      </x:c>
      <x:c r="P103" s="27" t="n">
        <x:v>38.3</x:v>
      </x:c>
      <x:c r="Q103" t="n">
        <x:v>12</x:v>
      </x:c>
      <x:c r="R103" t="n">
        <x:v>0</x:v>
      </x:c>
    </x:row>
    <x:row r="104" ht="15" hidden="0">
      <x:c r="A104" s="33" t="s">
        <x:v>242</x:v>
      </x:c>
      <x:c r="B104" t="s">
        <x:v>243</x:v>
      </x:c>
      <x:c r="C104" t="s">
        <x:v>66</x:v>
      </x:c>
      <x:c r="D104" s="27" t="n">
        <x:v>100.9</x:v>
      </x:c>
      <x:c r="E104" s="27" t="n">
        <x:v>22.1</x:v>
      </x:c>
      <x:c r="F104" s="27" t="n">
        <x:v>53</x:v>
      </x:c>
      <x:c r="G104" s="34" t="n">
        <x:v>90.5</x:v>
      </x:c>
      <x:c r="H104" t="n">
        <x:v>18</x:v>
      </x:c>
      <x:c r="I104" s="26" t="s">
        <x:v>65</x:v>
      </x:c>
      <x:c r="J104" t="s">
        <x:v>86</x:v>
      </x:c>
      <x:c r="K104" t="s">
        <x:v>107</x:v>
      </x:c>
      <x:c r="L104" t="s">
        <x:v>111</x:v>
      </x:c>
      <x:c r="M104" t="n">
        <x:v>34</x:v>
      </x:c>
      <x:c r="N104" s="35" t="n">
        <x:v>0.678673207919302</x:v>
      </x:c>
      <x:c r="O104" t="n">
        <x:v>63</x:v>
      </x:c>
      <x:c r="P104" s="27" t="n">
        <x:v>46.4</x:v>
      </x:c>
      <x:c r="Q104" t="n">
        <x:v>2</x:v>
      </x:c>
      <x:c r="R104" t="n">
        <x:v>0</x:v>
      </x:c>
    </x:row>
    <x:row r="105" ht="15" hidden="0">
      <x:c r="A105" s="33" t="s">
        <x:v>244</x:v>
      </x:c>
      <x:c r="B105" t="s">
        <x:v>245</x:v>
      </x:c>
      <x:c r="C105" t="s">
        <x:v>60</x:v>
      </x:c>
      <x:c r="D105" s="27" t="n">
        <x:v>328.8</x:v>
      </x:c>
      <x:c r="E105" s="27" t="n">
        <x:v>67.3</x:v>
      </x:c>
      <x:c r="F105" s="27" t="n">
        <x:v>34.6</x:v>
      </x:c>
      <x:c r="G105" s="34" t="n">
        <x:v>67.8</x:v>
      </x:c>
      <x:c r="H105" t="n">
        <x:v>17</x:v>
      </x:c>
      <x:c r="I105" s="26" t="s">
        <x:v>65</x:v>
      </x:c>
      <x:c r="J105" t="s">
        <x:v>132</x:v>
      </x:c>
      <x:c r="K105" t="s">
        <x:v>107</x:v>
      </x:c>
      <x:c r="L105" t="s">
        <x:v>114</x:v>
      </x:c>
      <x:c r="M105" t="n">
        <x:v>22</x:v>
      </x:c>
      <x:c r="N105" s="35" t="n">
        <x:v>0.733111663290384</x:v>
      </x:c>
      <x:c r="O105" t="n">
        <x:v>60</x:v>
      </x:c>
      <x:c r="P105" s="27" t="n">
        <x:v>145.5</x:v>
      </x:c>
      <x:c r="Q105" t="n">
        <x:v>6</x:v>
      </x:c>
      <x:c r="R105" t="n">
        <x:v>0</x:v>
      </x:c>
    </x:row>
    <x:row r="106" ht="15" hidden="0">
      <x:c r="A106" s="33" t="s">
        <x:v>246</x:v>
      </x:c>
      <x:c r="B106" t="s">
        <x:v>247</x:v>
      </x:c>
      <x:c r="C106" t="s">
        <x:v>62</x:v>
      </x:c>
      <x:c r="D106" s="27" t="n">
        <x:v>207.6</x:v>
      </x:c>
      <x:c r="E106" s="27" t="n">
        <x:v>59</x:v>
      </x:c>
      <x:c r="F106" s="27" t="n">
        <x:v>29.6</x:v>
      </x:c>
      <x:c r="G106" s="34" t="n">
        <x:v>22</x:v>
      </x:c>
      <x:c r="H106" t="n">
        <x:v>17</x:v>
      </x:c>
      <x:c r="I106" s="26" t="s">
        <x:v>65</x:v>
      </x:c>
      <x:c r="J106" t="s">
        <x:v>90</x:v>
      </x:c>
      <x:c r="K106" t="s">
        <x:v>110</x:v>
      </x:c>
      <x:c r="L106" t="s">
        <x:v>111</x:v>
      </x:c>
      <x:c r="M106" t="n">
        <x:v>8</x:v>
      </x:c>
      <x:c r="N106" s="35" t="n">
        <x:v>0.731117391344624</x:v>
      </x:c>
      <x:c r="O106" t="n">
        <x:v>85</x:v>
      </x:c>
      <x:c r="P106" s="27" t="n">
        <x:v>159.9</x:v>
      </x:c>
      <x:c r="Q106" t="n">
        <x:v>16</x:v>
      </x:c>
      <x:c r="R106" t="n">
        <x:v>0</x:v>
      </x:c>
    </x:row>
    <x:row r="107" ht="15" hidden="0">
      <x:c r="A107" s="33" t="s">
        <x:v>248</x:v>
      </x:c>
      <x:c r="B107" t="s">
        <x:v>249</x:v>
      </x:c>
      <x:c r="C107" t="s">
        <x:v>60</x:v>
      </x:c>
      <x:c r="D107" s="27" t="n">
        <x:v>306.6</x:v>
      </x:c>
      <x:c r="E107" s="27" t="n">
        <x:v>39.6</x:v>
      </x:c>
      <x:c r="F107" s="27" t="n">
        <x:v>62.2</x:v>
      </x:c>
      <x:c r="G107" s="34" t="n">
        <x:v>34.8</x:v>
      </x:c>
      <x:c r="H107" t="n">
        <x:v>17</x:v>
      </x:c>
      <x:c r="I107" s="26" t="s">
        <x:v>65</x:v>
      </x:c>
      <x:c r="J107" t="s">
        <x:v>88</x:v>
      </x:c>
      <x:c r="K107" t="s">
        <x:v>110</x:v>
      </x:c>
      <x:c r="L107" t="s">
        <x:v>145</x:v>
      </x:c>
      <x:c r="M107" t="n">
        <x:v>27</x:v>
      </x:c>
      <x:c r="N107" s="35" t="n">
        <x:v>0.948743861759501</x:v>
      </x:c>
      <x:c r="O107" t="n">
        <x:v>64</x:v>
      </x:c>
      <x:c r="P107" s="27" t="n">
        <x:v>154.7</x:v>
      </x:c>
      <x:c r="Q107" t="n">
        <x:v>13</x:v>
      </x:c>
      <x:c r="R107" t="n">
        <x:v>0</x:v>
      </x:c>
    </x:row>
    <x:row r="108" ht="15" hidden="0">
      <x:c r="A108" s="33" t="s">
        <x:v>250</x:v>
      </x:c>
      <x:c r="B108" t="s">
        <x:v>251</x:v>
      </x:c>
      <x:c r="C108" t="s">
        <x:v>68</x:v>
      </x:c>
      <x:c r="D108" s="27" t="n">
        <x:v>101.5</x:v>
      </x:c>
      <x:c r="E108" s="27" t="n">
        <x:v>30</x:v>
      </x:c>
      <x:c r="F108" s="27" t="n">
        <x:v>60.6</x:v>
      </x:c>
      <x:c r="G108" s="34" t="n">
        <x:v>67.8</x:v>
      </x:c>
      <x:c r="H108" t="n">
        <x:v>16</x:v>
      </x:c>
      <x:c r="I108" s="26" t="s">
        <x:v>65</x:v>
      </x:c>
      <x:c r="J108" t="s">
        <x:v>80</x:v>
      </x:c>
      <x:c r="K108" t="s">
        <x:v>113</x:v>
      </x:c>
      <x:c r="L108" t="s">
        <x:v>114</x:v>
      </x:c>
      <x:c r="M108" t="n">
        <x:v>17</x:v>
      </x:c>
      <x:c r="N108" s="35" t="n">
        <x:v>0.748688370491771</x:v>
      </x:c>
      <x:c r="O108" t="n">
        <x:v>62</x:v>
      </x:c>
      <x:c r="P108" s="27" t="n">
        <x:v>51.8</x:v>
      </x:c>
      <x:c r="Q108" t="n">
        <x:v>6</x:v>
      </x:c>
      <x:c r="R108" t="n">
        <x:v>0</x:v>
      </x:c>
    </x:row>
    <x:row r="109" ht="15" hidden="0">
      <x:c r="A109" s="33" t="s">
        <x:v>252</x:v>
      </x:c>
      <x:c r="B109" t="s">
        <x:v>253</x:v>
      </x:c>
      <x:c r="C109" t="s">
        <x:v>68</x:v>
      </x:c>
      <x:c r="D109" s="27" t="n">
        <x:v>220.5</x:v>
      </x:c>
      <x:c r="E109" s="27" t="n">
        <x:v>55.2</x:v>
      </x:c>
      <x:c r="F109" s="27" t="n">
        <x:v>33</x:v>
      </x:c>
      <x:c r="G109" s="34" t="n">
        <x:v>40.5</x:v>
      </x:c>
      <x:c r="H109" t="n">
        <x:v>15</x:v>
      </x:c>
      <x:c r="I109" s="26" t="s">
        <x:v>65</x:v>
      </x:c>
      <x:c r="J109" t="s">
        <x:v>84</x:v>
      </x:c>
      <x:c r="K109" t="s">
        <x:v>118</x:v>
      </x:c>
      <x:c r="L109" t="s">
        <x:v>108</x:v>
      </x:c>
      <x:c r="M109" t="n">
        <x:v>22</x:v>
      </x:c>
      <x:c r="N109" s="35" t="n">
        <x:v>0.777759003680369</x:v>
      </x:c>
      <x:c r="O109" t="n">
        <x:v>85</x:v>
      </x:c>
      <x:c r="P109" s="27" t="n">
        <x:v>136.9</x:v>
      </x:c>
      <x:c r="Q109" t="n">
        <x:v>12</x:v>
      </x:c>
      <x:c r="R109" t="n">
        <x:v>0</x:v>
      </x:c>
    </x:row>
    <x:row r="110" ht="15" hidden="0">
      <x:c r="A110" s="33" t="s">
        <x:v>254</x:v>
      </x:c>
      <x:c r="B110" t="s">
        <x:v>255</x:v>
      </x:c>
      <x:c r="C110" t="s">
        <x:v>68</x:v>
      </x:c>
      <x:c r="D110" s="27" t="n">
        <x:v>64.7</x:v>
      </x:c>
      <x:c r="E110" s="27" t="n">
        <x:v>17.5</x:v>
      </x:c>
      <x:c r="F110" s="27" t="n">
        <x:v>8.9</x:v>
      </x:c>
      <x:c r="G110" s="34" t="n">
        <x:v>81.2</x:v>
      </x:c>
      <x:c r="H110" t="n">
        <x:v>15</x:v>
      </x:c>
      <x:c r="I110" s="26" t="s">
        <x:v>65</x:v>
      </x:c>
      <x:c r="J110" t="s">
        <x:v>160</x:v>
      </x:c>
      <x:c r="K110" t="s">
        <x:v>110</x:v>
      </x:c>
      <x:c r="L110" t="s">
        <x:v>129</x:v>
      </x:c>
      <x:c r="M110" t="n">
        <x:v>11</x:v>
      </x:c>
      <x:c r="N110" s="35" t="n">
        <x:v>0.74986417865332</x:v>
      </x:c>
      <x:c r="O110" t="n">
        <x:v>60</x:v>
      </x:c>
      <x:c r="P110" s="27" t="n">
        <x:v>46.9</x:v>
      </x:c>
      <x:c r="Q110" t="n">
        <x:v>4</x:v>
      </x:c>
      <x:c r="R110" t="n">
        <x:v>0</x:v>
      </x:c>
    </x:row>
    <x:row r="111" ht="15" hidden="0">
      <x:c r="A111" s="33" t="s">
        <x:v>256</x:v>
      </x:c>
      <x:c r="B111" t="s">
        <x:v>257</x:v>
      </x:c>
      <x:c r="C111" t="s">
        <x:v>71</x:v>
      </x:c>
      <x:c r="D111" s="27" t="n">
        <x:v>167.9</x:v>
      </x:c>
      <x:c r="E111" s="27" t="n">
        <x:v>49.2</x:v>
      </x:c>
      <x:c r="F111" s="27" t="n">
        <x:v>11</x:v>
      </x:c>
      <x:c r="G111" s="34" t="n">
        <x:v>28.8</x:v>
      </x:c>
      <x:c r="H111" t="n">
        <x:v>12</x:v>
      </x:c>
      <x:c r="I111" s="26" t="s">
        <x:v>65</x:v>
      </x:c>
      <x:c r="J111" t="s">
        <x:v>86</x:v>
      </x:c>
      <x:c r="K111" t="s">
        <x:v>107</x:v>
      </x:c>
      <x:c r="L111" t="s">
        <x:v>108</x:v>
      </x:c>
      <x:c r="M111" t="n">
        <x:v>35</x:v>
      </x:c>
      <x:c r="N111" s="35" t="n">
        <x:v>1.03251822844425</x:v>
      </x:c>
      <x:c r="O111" t="n">
        <x:v>75</x:v>
      </x:c>
      <x:c r="P111" s="27" t="n">
        <x:v>105.6</x:v>
      </x:c>
      <x:c r="Q111" t="n">
        <x:v>14</x:v>
      </x:c>
      <x:c r="R111" t="n">
        <x:v>0</x:v>
      </x:c>
    </x:row>
    <x:row r="112" ht="15" hidden="0">
      <x:c r="A112" s="33" t="s">
        <x:v>258</x:v>
      </x:c>
      <x:c r="B112" t="s">
        <x:v>259</x:v>
      </x:c>
      <x:c r="C112" t="s">
        <x:v>68</x:v>
      </x:c>
      <x:c r="D112" s="27" t="n">
        <x:v>129.2</x:v>
      </x:c>
      <x:c r="E112" s="27" t="n">
        <x:v>21.3</x:v>
      </x:c>
      <x:c r="F112" s="27" t="n">
        <x:v>27.7</x:v>
      </x:c>
      <x:c r="G112" s="34" t="n">
        <x:v>88.5</x:v>
      </x:c>
      <x:c r="H112" t="n">
        <x:v>42</x:v>
      </x:c>
      <x:c r="I112" s="36" t="s">
        <x:v>61</x:v>
      </x:c>
      <x:c r="J112" t="s">
        <x:v>193</x:v>
      </x:c>
      <x:c r="K112" t="s">
        <x:v>118</x:v>
      </x:c>
      <x:c r="L112" t="s">
        <x:v>108</x:v>
      </x:c>
      <x:c r="M112" t="n">
        <x:v>33</x:v>
      </x:c>
      <x:c r="N112" s="35" t="n">
        <x:v>0.688236669389372</x:v>
      </x:c>
      <x:c r="O112" t="n">
        <x:v>80</x:v>
      </x:c>
      <x:c r="P112" s="27" t="n">
        <x:v>60.8</x:v>
      </x:c>
      <x:c r="Q112" t="n">
        <x:v>2</x:v>
      </x:c>
      <x:c r="R112" t="n">
        <x:v>0</x:v>
      </x:c>
    </x:row>
    <x:row r="113" ht="15" hidden="0">
      <x:c r="A113" s="33" t="s">
        <x:v>260</x:v>
      </x:c>
      <x:c r="B113" t="s">
        <x:v>261</x:v>
      </x:c>
      <x:c r="C113" t="s">
        <x:v>69</x:v>
      </x:c>
      <x:c r="D113" s="27" t="n">
        <x:v>281.4</x:v>
      </x:c>
      <x:c r="E113" s="27" t="n">
        <x:v>43.6</x:v>
      </x:c>
      <x:c r="F113" s="27" t="n">
        <x:v>11.6</x:v>
      </x:c>
      <x:c r="G113" s="34" t="n">
        <x:v>73</x:v>
      </x:c>
      <x:c r="H113" t="n">
        <x:v>72</x:v>
      </x:c>
      <x:c r="I113" s="37" t="s">
        <x:v>63</x:v>
      </x:c>
      <x:c r="J113" t="s">
        <x:v>193</x:v>
      </x:c>
      <x:c r="K113" t="s">
        <x:v>113</x:v>
      </x:c>
      <x:c r="L113" t="s">
        <x:v>108</x:v>
      </x:c>
      <x:c r="M113" t="n">
        <x:v>19</x:v>
      </x:c>
      <x:c r="N113" s="35" t="n">
        <x:v>0.984357709327144</x:v>
      </x:c>
      <x:c r="O113" t="n">
        <x:v>91</x:v>
      </x:c>
      <x:c r="P113" s="27" t="n">
        <x:v>142.5</x:v>
      </x:c>
      <x:c r="Q113" t="n">
        <x:v>7</x:v>
      </x:c>
      <x:c r="R113" t="n">
        <x:v>0</x:v>
      </x:c>
    </x:row>
    <x:row r="114" ht="15" hidden="0">
      <x:c r="A114" s="33" t="s">
        <x:v>262</x:v>
      </x:c>
      <x:c r="B114" t="s">
        <x:v>263</x:v>
      </x:c>
      <x:c r="C114" t="s">
        <x:v>60</x:v>
      </x:c>
      <x:c r="D114" s="27" t="n">
        <x:v>128.5</x:v>
      </x:c>
      <x:c r="E114" s="27" t="n">
        <x:v>32.5</x:v>
      </x:c>
      <x:c r="F114" s="27" t="n">
        <x:v>62.3</x:v>
      </x:c>
      <x:c r="G114" s="34" t="n">
        <x:v>72.8</x:v>
      </x:c>
      <x:c r="H114" t="n">
        <x:v>71</x:v>
      </x:c>
      <x:c r="I114" s="37" t="s">
        <x:v>63</x:v>
      </x:c>
      <x:c r="J114" t="s">
        <x:v>84</x:v>
      </x:c>
      <x:c r="K114" t="s">
        <x:v>113</x:v>
      </x:c>
      <x:c r="L114" t="s">
        <x:v>111</x:v>
      </x:c>
      <x:c r="M114" t="n">
        <x:v>33</x:v>
      </x:c>
      <x:c r="N114" s="35" t="n">
        <x:v>0.878743814133813</x:v>
      </x:c>
      <x:c r="O114" t="n">
        <x:v>72</x:v>
      </x:c>
      <x:c r="P114" s="27" t="n">
        <x:v>88.9</x:v>
      </x:c>
      <x:c r="Q114" t="n">
        <x:v>5</x:v>
      </x:c>
      <x:c r="R114" t="n">
        <x:v>0</x:v>
      </x:c>
    </x:row>
    <x:row r="115" ht="15" hidden="0">
      <x:c r="A115" s="33" t="s">
        <x:v>264</x:v>
      </x:c>
      <x:c r="B115" t="s">
        <x:v>265</x:v>
      </x:c>
      <x:c r="C115" t="s">
        <x:v>67</x:v>
      </x:c>
      <x:c r="D115" s="27" t="n">
        <x:v>119.4</x:v>
      </x:c>
      <x:c r="E115" s="27" t="n">
        <x:v>32.1</x:v>
      </x:c>
      <x:c r="F115" s="27" t="n">
        <x:v>45.6</x:v>
      </x:c>
      <x:c r="G115" s="34" t="n">
        <x:v>65.2</x:v>
      </x:c>
      <x:c r="H115" t="n">
        <x:v>69</x:v>
      </x:c>
      <x:c r="I115" s="37" t="s">
        <x:v>63</x:v>
      </x:c>
      <x:c r="J115" t="s">
        <x:v>97</x:v>
      </x:c>
      <x:c r="K115" t="s">
        <x:v>113</x:v>
      </x:c>
      <x:c r="L115" t="s">
        <x:v>114</x:v>
      </x:c>
      <x:c r="M115" t="n">
        <x:v>36</x:v>
      </x:c>
      <x:c r="N115" s="35" t="n">
        <x:v>0.974187599545379</x:v>
      </x:c>
      <x:c r="O115" t="n">
        <x:v>67</x:v>
      </x:c>
      <x:c r="P115" s="27" t="n">
        <x:v>103.5</x:v>
      </x:c>
      <x:c r="Q115" t="n">
        <x:v>7</x:v>
      </x:c>
      <x:c r="R115" t="n">
        <x:v>0</x:v>
      </x:c>
    </x:row>
    <x:row r="116" ht="15" hidden="0">
      <x:c r="A116" s="33" t="s">
        <x:v>266</x:v>
      </x:c>
      <x:c r="B116" t="s">
        <x:v>267</x:v>
      </x:c>
      <x:c r="C116" t="s">
        <x:v>68</x:v>
      </x:c>
      <x:c r="D116" s="27" t="n">
        <x:v>166.5</x:v>
      </x:c>
      <x:c r="E116" s="27" t="n">
        <x:v>52.1</x:v>
      </x:c>
      <x:c r="F116" s="27" t="n">
        <x:v>47.9</x:v>
      </x:c>
      <x:c r="G116" s="34" t="n">
        <x:v>74.8</x:v>
      </x:c>
      <x:c r="H116" t="n">
        <x:v>66</x:v>
      </x:c>
      <x:c r="I116" s="37" t="s">
        <x:v>63</x:v>
      </x:c>
      <x:c r="J116" t="s">
        <x:v>193</x:v>
      </x:c>
      <x:c r="K116" t="s">
        <x:v>118</x:v>
      </x:c>
      <x:c r="L116" t="s">
        <x:v>111</x:v>
      </x:c>
      <x:c r="M116" t="n">
        <x:v>33</x:v>
      </x:c>
      <x:c r="N116" s="35" t="n">
        <x:v>0.915101802164802</x:v>
      </x:c>
      <x:c r="O116" t="n">
        <x:v>88</x:v>
      </x:c>
      <x:c r="P116" s="27" t="n">
        <x:v>88.7</x:v>
      </x:c>
      <x:c r="Q116" t="n">
        <x:v>6</x:v>
      </x:c>
      <x:c r="R116" t="n">
        <x:v>0</x:v>
      </x:c>
    </x:row>
    <x:row r="117" ht="15" hidden="0">
      <x:c r="A117" s="33" t="s">
        <x:v>268</x:v>
      </x:c>
      <x:c r="B117" t="s">
        <x:v>269</x:v>
      </x:c>
      <x:c r="C117" t="s">
        <x:v>71</x:v>
      </x:c>
      <x:c r="D117" s="27" t="n">
        <x:v>208.7</x:v>
      </x:c>
      <x:c r="E117" s="27" t="n">
        <x:v>35.9</x:v>
      </x:c>
      <x:c r="F117" s="27" t="n">
        <x:v>59.3</x:v>
      </x:c>
      <x:c r="G117" s="34" t="n">
        <x:v>75.8</x:v>
      </x:c>
      <x:c r="H117" t="n">
        <x:v>65</x:v>
      </x:c>
      <x:c r="I117" s="37" t="s">
        <x:v>63</x:v>
      </x:c>
      <x:c r="J117" t="s">
        <x:v>193</x:v>
      </x:c>
      <x:c r="K117" t="s">
        <x:v>107</x:v>
      </x:c>
      <x:c r="L117" t="s">
        <x:v>145</x:v>
      </x:c>
      <x:c r="M117" t="n">
        <x:v>11</x:v>
      </x:c>
      <x:c r="N117" s="35" t="n">
        <x:v>0.753069287215125</x:v>
      </x:c>
      <x:c r="O117" t="n">
        <x:v>91</x:v>
      </x:c>
      <x:c r="P117" s="27" t="n">
        <x:v>107.5</x:v>
      </x:c>
      <x:c r="Q117" t="n">
        <x:v>6</x:v>
      </x:c>
      <x:c r="R117" t="n">
        <x:v>0</x:v>
      </x:c>
    </x:row>
    <x:row r="118" ht="15" hidden="0">
      <x:c r="A118" s="33" t="s">
        <x:v>270</x:v>
      </x:c>
      <x:c r="B118" t="s">
        <x:v>271</x:v>
      </x:c>
      <x:c r="C118" t="s">
        <x:v>123</x:v>
      </x:c>
      <x:c r="D118" s="27" t="n">
        <x:v>84.6</x:v>
      </x:c>
      <x:c r="E118" s="27" t="n">
        <x:v>16.5</x:v>
      </x:c>
      <x:c r="F118" s="27" t="n">
        <x:v>32.1</x:v>
      </x:c>
      <x:c r="G118" s="34" t="n">
        <x:v>63.5</x:v>
      </x:c>
      <x:c r="H118" t="n">
        <x:v>60</x:v>
      </x:c>
      <x:c r="I118" s="37" t="s">
        <x:v>63</x:v>
      </x:c>
      <x:c r="J118" t="s">
        <x:v>84</x:v>
      </x:c>
      <x:c r="K118" t="s">
        <x:v>113</x:v>
      </x:c>
      <x:c r="L118" t="s">
        <x:v>111</x:v>
      </x:c>
      <x:c r="M118" t="n">
        <x:v>27</x:v>
      </x:c>
      <x:c r="N118" s="35" t="n">
        <x:v>0.737363522745649</x:v>
      </x:c>
      <x:c r="O118" t="n">
        <x:v>70</x:v>
      </x:c>
      <x:c r="P118" s="27" t="n">
        <x:v>62</x:v>
      </x:c>
      <x:c r="Q118" t="n">
        <x:v>7</x:v>
      </x:c>
      <x:c r="R118" t="n">
        <x:v>0</x:v>
      </x:c>
    </x:row>
    <x:row r="119" ht="15" hidden="0">
      <x:c r="A119" s="33" t="s">
        <x:v>272</x:v>
      </x:c>
      <x:c r="B119" t="s">
        <x:v>273</x:v>
      </x:c>
      <x:c r="C119" t="s">
        <x:v>70</x:v>
      </x:c>
      <x:c r="D119" s="27" t="n">
        <x:v>162.7</x:v>
      </x:c>
      <x:c r="E119" s="27" t="n">
        <x:v>25.3</x:v>
      </x:c>
      <x:c r="F119" s="27" t="n">
        <x:v>54.5</x:v>
      </x:c>
      <x:c r="G119" s="34" t="n">
        <x:v>79.3</x:v>
      </x:c>
      <x:c r="H119" t="n">
        <x:v>59</x:v>
      </x:c>
      <x:c r="I119" s="37" t="s">
        <x:v>63</x:v>
      </x:c>
      <x:c r="J119" t="s">
        <x:v>95</x:v>
      </x:c>
      <x:c r="K119" t="s">
        <x:v>118</x:v>
      </x:c>
      <x:c r="L119" t="s">
        <x:v>111</x:v>
      </x:c>
      <x:c r="M119" t="n">
        <x:v>17</x:v>
      </x:c>
      <x:c r="N119" s="35" t="n">
        <x:v>0.862138404116907</x:v>
      </x:c>
      <x:c r="O119" t="n">
        <x:v>97</x:v>
      </x:c>
      <x:c r="P119" s="27" t="n">
        <x:v>104.1</x:v>
      </x:c>
      <x:c r="Q119" t="n">
        <x:v>7</x:v>
      </x:c>
      <x:c r="R119" t="n">
        <x:v>0</x:v>
      </x:c>
    </x:row>
    <x:row r="120" ht="15" hidden="0">
      <x:c r="A120" s="33" t="s">
        <x:v>274</x:v>
      </x:c>
      <x:c r="B120" t="s">
        <x:v>275</x:v>
      </x:c>
      <x:c r="C120" t="s">
        <x:v>64</x:v>
      </x:c>
      <x:c r="D120" s="27" t="n">
        <x:v>128.4</x:v>
      </x:c>
      <x:c r="E120" s="27" t="n">
        <x:v>16.1</x:v>
      </x:c>
      <x:c r="F120" s="27" t="n">
        <x:v>18.2</x:v>
      </x:c>
      <x:c r="G120" s="34" t="n">
        <x:v>78.3</x:v>
      </x:c>
      <x:c r="H120" t="n">
        <x:v>59</x:v>
      </x:c>
      <x:c r="I120" s="37" t="s">
        <x:v>63</x:v>
      </x:c>
      <x:c r="J120" t="s">
        <x:v>80</x:v>
      </x:c>
      <x:c r="K120" t="s">
        <x:v>110</x:v>
      </x:c>
      <x:c r="L120" t="s">
        <x:v>114</x:v>
      </x:c>
      <x:c r="M120" t="n">
        <x:v>30</x:v>
      </x:c>
      <x:c r="N120" s="35" t="n">
        <x:v>0.703206288360228</x:v>
      </x:c>
      <x:c r="O120" t="n">
        <x:v>75</x:v>
      </x:c>
      <x:c r="P120" s="27" t="n">
        <x:v>81.9</x:v>
      </x:c>
      <x:c r="Q120" t="n">
        <x:v>4</x:v>
      </x:c>
      <x:c r="R120" t="n">
        <x:v>0</x:v>
      </x:c>
    </x:row>
    <x:row r="121" ht="15" hidden="0">
      <x:c r="A121" s="33" t="s">
        <x:v>276</x:v>
      </x:c>
      <x:c r="B121" t="s">
        <x:v>277</x:v>
      </x:c>
      <x:c r="C121" t="s">
        <x:v>64</x:v>
      </x:c>
      <x:c r="D121" s="27" t="n">
        <x:v>66.1</x:v>
      </x:c>
      <x:c r="E121" s="27" t="n">
        <x:v>15.1</x:v>
      </x:c>
      <x:c r="F121" s="27" t="n">
        <x:v>34.3</x:v>
      </x:c>
      <x:c r="G121" s="34" t="n">
        <x:v>81.2</x:v>
      </x:c>
      <x:c r="H121" t="n">
        <x:v>58</x:v>
      </x:c>
      <x:c r="I121" s="37" t="s">
        <x:v>63</x:v>
      </x:c>
      <x:c r="J121" t="s">
        <x:v>88</x:v>
      </x:c>
      <x:c r="K121" t="s">
        <x:v>118</x:v>
      </x:c>
      <x:c r="L121" t="s">
        <x:v>145</x:v>
      </x:c>
      <x:c r="M121" t="n">
        <x:v>14</x:v>
      </x:c>
      <x:c r="N121" s="35" t="n">
        <x:v>0.959371376542316</x:v>
      </x:c>
      <x:c r="O121" t="n">
        <x:v>71</x:v>
      </x:c>
      <x:c r="P121" s="27" t="n">
        <x:v>35.3</x:v>
      </x:c>
      <x:c r="Q121" t="n">
        <x:v>4</x:v>
      </x:c>
      <x:c r="R121" t="n">
        <x:v>0</x:v>
      </x:c>
    </x:row>
    <x:row r="122" ht="15" hidden="0">
      <x:c r="A122" s="33" t="s">
        <x:v>278</x:v>
      </x:c>
      <x:c r="B122" t="s">
        <x:v>279</x:v>
      </x:c>
      <x:c r="C122" t="s">
        <x:v>69</x:v>
      </x:c>
      <x:c r="D122" s="27" t="n">
        <x:v>269.8</x:v>
      </x:c>
      <x:c r="E122" s="27" t="n">
        <x:v>74.1</x:v>
      </x:c>
      <x:c r="F122" s="27" t="n">
        <x:v>53.6</x:v>
      </x:c>
      <x:c r="G122" s="34" t="n">
        <x:v>75.2</x:v>
      </x:c>
      <x:c r="H122" t="n">
        <x:v>55</x:v>
      </x:c>
      <x:c r="I122" s="37" t="s">
        <x:v>63</x:v>
      </x:c>
      <x:c r="J122" t="s">
        <x:v>84</x:v>
      </x:c>
      <x:c r="K122" t="s">
        <x:v>118</x:v>
      </x:c>
      <x:c r="L122" t="s">
        <x:v>129</x:v>
      </x:c>
      <x:c r="M122" t="n">
        <x:v>16</x:v>
      </x:c>
      <x:c r="N122" s="35" t="n">
        <x:v>0.980852337058473</x:v>
      </x:c>
      <x:c r="O122" t="n">
        <x:v>79</x:v>
      </x:c>
      <x:c r="P122" s="27" t="n">
        <x:v>133.4</x:v>
      </x:c>
      <x:c r="Q122" t="n">
        <x:v>5</x:v>
      </x:c>
      <x:c r="R122" t="n">
        <x:v>0</x:v>
      </x:c>
    </x:row>
    <x:row r="123" ht="15" hidden="0">
      <x:c r="A123" s="33" t="s">
        <x:v>280</x:v>
      </x:c>
      <x:c r="B123" t="s">
        <x:v>281</x:v>
      </x:c>
      <x:c r="C123" t="s">
        <x:v>123</x:v>
      </x:c>
      <x:c r="D123" s="27" t="n">
        <x:v>242.5</x:v>
      </x:c>
      <x:c r="E123" s="27" t="n">
        <x:v>57.6</x:v>
      </x:c>
      <x:c r="F123" s="27" t="n">
        <x:v>42.9</x:v>
      </x:c>
      <x:c r="G123" s="34" t="n">
        <x:v>75.8</x:v>
      </x:c>
      <x:c r="H123" t="n">
        <x:v>51</x:v>
      </x:c>
      <x:c r="I123" s="37" t="s">
        <x:v>63</x:v>
      </x:c>
      <x:c r="J123" t="s">
        <x:v>80</x:v>
      </x:c>
      <x:c r="K123" t="s">
        <x:v>110</x:v>
      </x:c>
      <x:c r="L123" t="s">
        <x:v>111</x:v>
      </x:c>
      <x:c r="M123" t="n">
        <x:v>20</x:v>
      </x:c>
      <x:c r="N123" s="35" t="n">
        <x:v>0.670453635286291</x:v>
      </x:c>
      <x:c r="O123" t="n">
        <x:v>81</x:v>
      </x:c>
      <x:c r="P123" s="27" t="n">
        <x:v>104.7</x:v>
      </x:c>
      <x:c r="Q123" t="n">
        <x:v>5</x:v>
      </x:c>
      <x:c r="R123" t="n">
        <x:v>0</x:v>
      </x:c>
    </x:row>
    <x:row r="124" ht="15" hidden="0">
      <x:c r="A124" s="33" t="s">
        <x:v>282</x:v>
      </x:c>
      <x:c r="B124" t="s">
        <x:v>283</x:v>
      </x:c>
      <x:c r="C124" t="s">
        <x:v>67</x:v>
      </x:c>
      <x:c r="D124" s="27" t="n">
        <x:v>89.4</x:v>
      </x:c>
      <x:c r="E124" s="27" t="n">
        <x:v>20.8</x:v>
      </x:c>
      <x:c r="F124" s="27" t="n">
        <x:v>14.9</x:v>
      </x:c>
      <x:c r="G124" s="34" t="n">
        <x:v>79.7</x:v>
      </x:c>
      <x:c r="H124" t="n">
        <x:v>49</x:v>
      </x:c>
      <x:c r="I124" s="37" t="s">
        <x:v>63</x:v>
      </x:c>
      <x:c r="J124" t="s">
        <x:v>88</x:v>
      </x:c>
      <x:c r="K124" t="s">
        <x:v>113</x:v>
      </x:c>
      <x:c r="L124" t="s">
        <x:v>145</x:v>
      </x:c>
      <x:c r="M124" t="n">
        <x:v>9</x:v>
      </x:c>
      <x:c r="N124" s="35" t="n">
        <x:v>0.662827475056759</x:v>
      </x:c>
      <x:c r="O124" t="n">
        <x:v>82</x:v>
      </x:c>
      <x:c r="P124" s="27" t="n">
        <x:v>77.1</x:v>
      </x:c>
      <x:c r="Q124" t="n">
        <x:v>4</x:v>
      </x:c>
      <x:c r="R124" t="n">
        <x:v>0</x:v>
      </x:c>
    </x:row>
    <x:row r="125" ht="15" hidden="0">
      <x:c r="A125" s="33" t="s">
        <x:v>284</x:v>
      </x:c>
      <x:c r="B125" t="s">
        <x:v>285</x:v>
      </x:c>
      <x:c r="C125" t="s">
        <x:v>71</x:v>
      </x:c>
      <x:c r="D125" s="27" t="n">
        <x:v>173.1</x:v>
      </x:c>
      <x:c r="E125" s="27" t="n">
        <x:v>40.1</x:v>
      </x:c>
      <x:c r="F125" s="27" t="n">
        <x:v>37</x:v>
      </x:c>
      <x:c r="G125" s="34" t="n">
        <x:v>88</x:v>
      </x:c>
      <x:c r="H125" t="n">
        <x:v>49</x:v>
      </x:c>
      <x:c r="I125" s="37" t="s">
        <x:v>63</x:v>
      </x:c>
      <x:c r="J125" t="s">
        <x:v>95</x:v>
      </x:c>
      <x:c r="K125" t="s">
        <x:v>113</x:v>
      </x:c>
      <x:c r="L125" t="s">
        <x:v>111</x:v>
      </x:c>
      <x:c r="M125" t="n">
        <x:v>9</x:v>
      </x:c>
      <x:c r="N125" s="35" t="n">
        <x:v>0.645821835621322</x:v>
      </x:c>
      <x:c r="O125" t="n">
        <x:v>77</x:v>
      </x:c>
      <x:c r="P125" s="27" t="n">
        <x:v>119.1</x:v>
      </x:c>
      <x:c r="Q125" t="n">
        <x:v>2</x:v>
      </x:c>
      <x:c r="R125" t="n">
        <x:v>0</x:v>
      </x:c>
    </x:row>
    <x:row r="126" ht="15" hidden="0">
      <x:c r="A126" s="33" t="s">
        <x:v>286</x:v>
      </x:c>
      <x:c r="B126" t="s">
        <x:v>287</x:v>
      </x:c>
      <x:c r="C126" t="s">
        <x:v>71</x:v>
      </x:c>
      <x:c r="D126" s="27" t="n">
        <x:v>240.2</x:v>
      </x:c>
      <x:c r="E126" s="27" t="n">
        <x:v>47</x:v>
      </x:c>
      <x:c r="F126" s="27" t="n">
        <x:v>32.1</x:v>
      </x:c>
      <x:c r="G126" s="34" t="n">
        <x:v>88.8</x:v>
      </x:c>
      <x:c r="H126" t="n">
        <x:v>48</x:v>
      </x:c>
      <x:c r="I126" s="37" t="s">
        <x:v>63</x:v>
      </x:c>
      <x:c r="J126" t="s">
        <x:v>80</x:v>
      </x:c>
      <x:c r="K126" t="s">
        <x:v>107</x:v>
      </x:c>
      <x:c r="L126" t="s">
        <x:v>145</x:v>
      </x:c>
      <x:c r="M126" t="n">
        <x:v>37</x:v>
      </x:c>
      <x:c r="N126" s="35" t="n">
        <x:v>1.02672510400653</x:v>
      </x:c>
      <x:c r="O126" t="n">
        <x:v>76</x:v>
      </x:c>
      <x:c r="P126" s="27" t="n">
        <x:v>172.5</x:v>
      </x:c>
      <x:c r="Q126" t="n">
        <x:v>2</x:v>
      </x:c>
      <x:c r="R126" t="n">
        <x:v>0</x:v>
      </x:c>
    </x:row>
    <x:row r="127" ht="15" hidden="0">
      <x:c r="A127" s="33" t="s">
        <x:v>288</x:v>
      </x:c>
      <x:c r="B127" t="s">
        <x:v>289</x:v>
      </x:c>
      <x:c r="C127" t="s">
        <x:v>70</x:v>
      </x:c>
      <x:c r="D127" s="27" t="n">
        <x:v>336.9</x:v>
      </x:c>
      <x:c r="E127" s="27" t="n">
        <x:v>77.9</x:v>
      </x:c>
      <x:c r="F127" s="27" t="n">
        <x:v>43.5</x:v>
      </x:c>
      <x:c r="G127" s="34" t="n">
        <x:v>91.2</x:v>
      </x:c>
      <x:c r="H127" t="n">
        <x:v>42</x:v>
      </x:c>
      <x:c r="I127" s="37" t="s">
        <x:v>63</x:v>
      </x:c>
      <x:c r="J127" t="s">
        <x:v>80</x:v>
      </x:c>
      <x:c r="K127" t="s">
        <x:v>107</x:v>
      </x:c>
      <x:c r="L127" t="s">
        <x:v>129</x:v>
      </x:c>
      <x:c r="M127" t="n">
        <x:v>23</x:v>
      </x:c>
      <x:c r="N127" s="35" t="n">
        <x:v>0.729354429430403</x:v>
      </x:c>
      <x:c r="O127" t="n">
        <x:v>65</x:v>
      </x:c>
      <x:c r="P127" s="27" t="n">
        <x:v>178.7</x:v>
      </x:c>
      <x:c r="Q127" t="n">
        <x:v>2</x:v>
      </x:c>
      <x:c r="R127" t="n">
        <x:v>0</x:v>
      </x:c>
    </x:row>
    <x:row r="128" ht="15" hidden="0">
      <x:c r="A128" s="33" t="s">
        <x:v>290</x:v>
      </x:c>
      <x:c r="B128" t="s">
        <x:v>291</x:v>
      </x:c>
      <x:c r="C128" t="s">
        <x:v>66</x:v>
      </x:c>
      <x:c r="D128" s="27" t="n">
        <x:v>199.3</x:v>
      </x:c>
      <x:c r="E128" s="27" t="n">
        <x:v>54.6</x:v>
      </x:c>
      <x:c r="F128" s="27" t="n">
        <x:v>56.9</x:v>
      </x:c>
      <x:c r="G128" s="34" t="n">
        <x:v>88</x:v>
      </x:c>
      <x:c r="H128" t="n">
        <x:v>41</x:v>
      </x:c>
      <x:c r="I128" s="37" t="s">
        <x:v>63</x:v>
      </x:c>
      <x:c r="J128" t="s">
        <x:v>97</x:v>
      </x:c>
      <x:c r="K128" t="s">
        <x:v>110</x:v>
      </x:c>
      <x:c r="L128" t="s">
        <x:v>129</x:v>
      </x:c>
      <x:c r="M128" t="n">
        <x:v>26</x:v>
      </x:c>
      <x:c r="N128" s="35" t="n">
        <x:v>0.915454242312355</x:v>
      </x:c>
      <x:c r="O128" t="n">
        <x:v>98</x:v>
      </x:c>
      <x:c r="P128" s="27" t="n">
        <x:v>155.2</x:v>
      </x:c>
      <x:c r="Q128" t="n">
        <x:v>6</x:v>
      </x:c>
      <x:c r="R128" t="n">
        <x:v>0</x:v>
      </x:c>
    </x:row>
    <x:row r="129" ht="15" hidden="0">
      <x:c r="A129" s="33" t="s">
        <x:v>292</x:v>
      </x:c>
      <x:c r="B129" t="s">
        <x:v>293</x:v>
      </x:c>
      <x:c r="C129" t="s">
        <x:v>67</x:v>
      </x:c>
      <x:c r="D129" s="27" t="n">
        <x:v>101.9</x:v>
      </x:c>
      <x:c r="E129" s="27" t="n">
        <x:v>26.6</x:v>
      </x:c>
      <x:c r="F129" s="27" t="n">
        <x:v>46.6</x:v>
      </x:c>
      <x:c r="G129" s="34" t="n">
        <x:v>82.8</x:v>
      </x:c>
      <x:c r="H129" t="n">
        <x:v>37</x:v>
      </x:c>
      <x:c r="I129" s="37" t="s">
        <x:v>63</x:v>
      </x:c>
      <x:c r="J129" t="s">
        <x:v>80</x:v>
      </x:c>
      <x:c r="K129" t="s">
        <x:v>113</x:v>
      </x:c>
      <x:c r="L129" t="s">
        <x:v>108</x:v>
      </x:c>
      <x:c r="M129" t="n">
        <x:v>24</x:v>
      </x:c>
      <x:c r="N129" s="35" t="n">
        <x:v>1.0483702849002</x:v>
      </x:c>
      <x:c r="O129" t="n">
        <x:v>82</x:v>
      </x:c>
      <x:c r="P129" s="27" t="n">
        <x:v>73.2</x:v>
      </x:c>
      <x:c r="Q129" t="n">
        <x:v>3</x:v>
      </x:c>
      <x:c r="R129" t="n">
        <x:v>0</x:v>
      </x:c>
    </x:row>
    <x:row r="130" ht="15" hidden="0">
      <x:c r="A130" s="33" t="s">
        <x:v>294</x:v>
      </x:c>
      <x:c r="B130" t="s">
        <x:v>295</x:v>
      </x:c>
      <x:c r="C130" t="s">
        <x:v>64</x:v>
      </x:c>
      <x:c r="D130" s="27" t="n">
        <x:v>311.9</x:v>
      </x:c>
      <x:c r="E130" s="27" t="n">
        <x:v>78.5</x:v>
      </x:c>
      <x:c r="F130" s="27" t="n">
        <x:v>20.9</x:v>
      </x:c>
      <x:c r="G130" s="34" t="n">
        <x:v>87</x:v>
      </x:c>
      <x:c r="H130" t="n">
        <x:v>35</x:v>
      </x:c>
      <x:c r="I130" s="37" t="s">
        <x:v>63</x:v>
      </x:c>
      <x:c r="J130" t="s">
        <x:v>80</x:v>
      </x:c>
      <x:c r="K130" t="s">
        <x:v>118</x:v>
      </x:c>
      <x:c r="L130" t="s">
        <x:v>129</x:v>
      </x:c>
      <x:c r="M130" t="n">
        <x:v>16</x:v>
      </x:c>
      <x:c r="N130" s="35" t="n">
        <x:v>1.03547031426255</x:v>
      </x:c>
      <x:c r="O130" t="n">
        <x:v>78</x:v>
      </x:c>
      <x:c r="P130" s="27" t="n">
        <x:v>131.9</x:v>
      </x:c>
      <x:c r="Q130" t="n">
        <x:v>3</x:v>
      </x:c>
      <x:c r="R130" t="n">
        <x:v>0</x:v>
      </x:c>
    </x:row>
    <x:row r="131" ht="15" hidden="0">
      <x:c r="A131" s="33" t="s">
        <x:v>296</x:v>
      </x:c>
      <x:c r="B131" t="s">
        <x:v>297</x:v>
      </x:c>
      <x:c r="C131" t="s">
        <x:v>68</x:v>
      </x:c>
      <x:c r="D131" s="27" t="n">
        <x:v>110.7</x:v>
      </x:c>
      <x:c r="E131" s="27" t="n">
        <x:v>23.8</x:v>
      </x:c>
      <x:c r="F131" s="27" t="n">
        <x:v>5.6</x:v>
      </x:c>
      <x:c r="G131" s="34" t="n">
        <x:v>85.3</x:v>
      </x:c>
      <x:c r="H131" t="n">
        <x:v>33</x:v>
      </x:c>
      <x:c r="I131" s="37" t="s">
        <x:v>63</x:v>
      </x:c>
      <x:c r="J131" t="s">
        <x:v>86</x:v>
      </x:c>
      <x:c r="K131" t="s">
        <x:v>116</x:v>
      </x:c>
      <x:c r="L131" t="s">
        <x:v>111</x:v>
      </x:c>
      <x:c r="M131" t="n">
        <x:v>31</x:v>
      </x:c>
      <x:c r="N131" s="35" t="n">
        <x:v>0.71170546609439</x:v>
      </x:c>
      <x:c r="O131" t="n">
        <x:v>80</x:v>
      </x:c>
      <x:c r="P131" s="27" t="n">
        <x:v>53.4</x:v>
      </x:c>
      <x:c r="Q131" t="n">
        <x:v>3</x:v>
      </x:c>
      <x:c r="R131" t="n">
        <x:v>0</x:v>
      </x:c>
    </x:row>
    <x:row r="132" ht="15" hidden="0">
      <x:c r="A132" s="33" t="s">
        <x:v>298</x:v>
      </x:c>
      <x:c r="B132" t="s">
        <x:v>299</x:v>
      </x:c>
      <x:c r="C132" t="s">
        <x:v>67</x:v>
      </x:c>
      <x:c r="D132" s="27" t="n">
        <x:v>164.5</x:v>
      </x:c>
      <x:c r="E132" s="27" t="n">
        <x:v>26.6</x:v>
      </x:c>
      <x:c r="F132" s="27" t="n">
        <x:v>34.1</x:v>
      </x:c>
      <x:c r="G132" s="34" t="n">
        <x:v>86.5</x:v>
      </x:c>
      <x:c r="H132" t="n">
        <x:v>33</x:v>
      </x:c>
      <x:c r="I132" s="37" t="s">
        <x:v>63</x:v>
      </x:c>
      <x:c r="J132" t="s">
        <x:v>86</x:v>
      </x:c>
      <x:c r="K132" t="s">
        <x:v>110</x:v>
      </x:c>
      <x:c r="L132" t="s">
        <x:v>129</x:v>
      </x:c>
      <x:c r="M132" t="n">
        <x:v>18</x:v>
      </x:c>
      <x:c r="N132" s="35" t="n">
        <x:v>0.980798424918125</x:v>
      </x:c>
      <x:c r="O132" t="n">
        <x:v>90</x:v>
      </x:c>
      <x:c r="P132" s="27" t="n">
        <x:v>135.2</x:v>
      </x:c>
      <x:c r="Q132" t="n">
        <x:v>4</x:v>
      </x:c>
      <x:c r="R132" t="n">
        <x:v>0</x:v>
      </x:c>
    </x:row>
    <x:row r="133" ht="15" hidden="0">
      <x:c r="A133" s="33" t="s">
        <x:v>300</x:v>
      </x:c>
      <x:c r="B133" t="s">
        <x:v>301</x:v>
      </x:c>
      <x:c r="C133" t="s">
        <x:v>123</x:v>
      </x:c>
      <x:c r="D133" s="27" t="n">
        <x:v>275.3</x:v>
      </x:c>
      <x:c r="E133" s="27" t="n">
        <x:v>81.6</x:v>
      </x:c>
      <x:c r="F133" s="27" t="n">
        <x:v>22.6</x:v>
      </x:c>
      <x:c r="G133" s="34" t="n">
        <x:v>83</x:v>
      </x:c>
      <x:c r="H133" t="n">
        <x:v>31</x:v>
      </x:c>
      <x:c r="I133" s="37" t="s">
        <x:v>63</x:v>
      </x:c>
      <x:c r="J133" t="s">
        <x:v>193</x:v>
      </x:c>
      <x:c r="K133" t="s">
        <x:v>110</x:v>
      </x:c>
      <x:c r="L133" t="s">
        <x:v>111</x:v>
      </x:c>
      <x:c r="M133" t="n">
        <x:v>18</x:v>
      </x:c>
      <x:c r="N133" s="35" t="n">
        <x:v>0.91948982828011</x:v>
      </x:c>
      <x:c r="O133" t="n">
        <x:v>80</x:v>
      </x:c>
      <x:c r="P133" s="27" t="n">
        <x:v>158.7</x:v>
      </x:c>
      <x:c r="Q133" t="n">
        <x:v>3</x:v>
      </x:c>
      <x:c r="R133" t="n">
        <x:v>0</x:v>
      </x:c>
    </x:row>
    <x:row r="134" ht="15" hidden="0">
      <x:c r="A134" s="33" t="s">
        <x:v>302</x:v>
      </x:c>
      <x:c r="B134" t="s">
        <x:v>303</x:v>
      </x:c>
      <x:c r="C134" t="s">
        <x:v>69</x:v>
      </x:c>
      <x:c r="D134" s="27" t="n">
        <x:v>161.1</x:v>
      </x:c>
      <x:c r="E134" s="27" t="n">
        <x:v>43.7</x:v>
      </x:c>
      <x:c r="F134" s="27" t="n">
        <x:v>34.5</x:v>
      </x:c>
      <x:c r="G134" s="34" t="n">
        <x:v>64.3</x:v>
      </x:c>
      <x:c r="H134" t="n">
        <x:v>24</x:v>
      </x:c>
      <x:c r="I134" s="37" t="s">
        <x:v>63</x:v>
      </x:c>
      <x:c r="J134" t="s">
        <x:v>88</x:v>
      </x:c>
      <x:c r="K134" t="s">
        <x:v>116</x:v>
      </x:c>
      <x:c r="L134" t="s">
        <x:v>114</x:v>
      </x:c>
      <x:c r="M134" t="n">
        <x:v>18</x:v>
      </x:c>
      <x:c r="N134" s="35" t="n">
        <x:v>0.930577900838279</x:v>
      </x:c>
      <x:c r="O134" t="n">
        <x:v>66</x:v>
      </x:c>
      <x:c r="P134" s="27" t="n">
        <x:v>138.9</x:v>
      </x:c>
      <x:c r="Q134" t="n">
        <x:v>7</x:v>
      </x:c>
      <x:c r="R134" t="n">
        <x:v>0</x:v>
      </x:c>
    </x:row>
    <x:row r="135" ht="15" hidden="0">
      <x:c r="A135" s="33" t="s">
        <x:v>304</x:v>
      </x:c>
      <x:c r="B135" t="s">
        <x:v>305</x:v>
      </x:c>
      <x:c r="C135" t="s">
        <x:v>69</x:v>
      </x:c>
      <x:c r="D135" s="27" t="n">
        <x:v>311.3</x:v>
      </x:c>
      <x:c r="E135" s="27" t="n">
        <x:v>84.3</x:v>
      </x:c>
      <x:c r="F135" s="27" t="n">
        <x:v>42.5</x:v>
      </x:c>
      <x:c r="G135" s="34" t="n">
        <x:v>83.2</x:v>
      </x:c>
      <x:c r="H135" t="n">
        <x:v>15</x:v>
      </x:c>
      <x:c r="I135" s="37" t="s">
        <x:v>63</x:v>
      </x:c>
      <x:c r="J135" t="s">
        <x:v>80</x:v>
      </x:c>
      <x:c r="K135" t="s">
        <x:v>118</x:v>
      </x:c>
      <x:c r="L135" t="s">
        <x:v>145</x:v>
      </x:c>
      <x:c r="M135" t="n">
        <x:v>27</x:v>
      </x:c>
      <x:c r="N135" s="35" t="n">
        <x:v>1.00214855678602</x:v>
      </x:c>
      <x:c r="O135" t="n">
        <x:v>82</x:v>
      </x:c>
      <x:c r="P135" s="27" t="n">
        <x:v>167</x:v>
      </x:c>
      <x:c r="Q135" t="n">
        <x:v>3</x:v>
      </x:c>
      <x:c r="R135" t="n">
        <x:v>0</x:v>
      </x:c>
    </x:row>
    <x:row r="136" ht="15" hidden="0">
      <x:c r="A136" s="33" t="s">
        <x:v>306</x:v>
      </x:c>
      <x:c r="B136" t="s">
        <x:v>307</x:v>
      </x:c>
      <x:c r="C136" t="s">
        <x:v>66</x:v>
      </x:c>
      <x:c r="D136" s="27" t="n">
        <x:v>179.2</x:v>
      </x:c>
      <x:c r="E136" s="27" t="n">
        <x:v>52.2</x:v>
      </x:c>
      <x:c r="F136" s="27" t="n">
        <x:v>46.9</x:v>
      </x:c>
      <x:c r="G136" s="34" t="n">
        <x:v>75.8</x:v>
      </x:c>
      <x:c r="H136" t="n">
        <x:v>15</x:v>
      </x:c>
      <x:c r="I136" s="37" t="s">
        <x:v>63</x:v>
      </x:c>
      <x:c r="J136" t="s">
        <x:v>84</x:v>
      </x:c>
      <x:c r="K136" t="s">
        <x:v>116</x:v>
      </x:c>
      <x:c r="L136" t="s">
        <x:v>111</x:v>
      </x:c>
      <x:c r="M136" t="n">
        <x:v>26</x:v>
      </x:c>
      <x:c r="N136" s="35" t="n">
        <x:v>0.825125383360166</x:v>
      </x:c>
      <x:c r="O136" t="n">
        <x:v>87</x:v>
      </x:c>
      <x:c r="P136" s="27" t="n">
        <x:v>96.5</x:v>
      </x:c>
      <x:c r="Q136" t="n">
        <x:v>5</x:v>
      </x:c>
      <x:c r="R136" t="n">
        <x:v>0</x:v>
      </x:c>
    </x:row>
    <x:row r="137" ht="15" hidden="0">
      <x:c r="A137" s="33" t="s">
        <x:v>308</x:v>
      </x:c>
      <x:c r="B137" t="s">
        <x:v>309</x:v>
      </x:c>
      <x:c r="C137" t="s">
        <x:v>68</x:v>
      </x:c>
      <x:c r="D137" s="27" t="n">
        <x:v>105.1</x:v>
      </x:c>
      <x:c r="E137" s="27" t="n">
        <x:v>15.5</x:v>
      </x:c>
      <x:c r="F137" s="27" t="n">
        <x:v>63.4</x:v>
      </x:c>
      <x:c r="G137" s="34" t="n">
        <x:v>85.3</x:v>
      </x:c>
      <x:c r="H137" t="n">
        <x:v>12</x:v>
      </x:c>
      <x:c r="I137" s="37" t="s">
        <x:v>63</x:v>
      </x:c>
      <x:c r="J137" t="s">
        <x:v>97</x:v>
      </x:c>
      <x:c r="K137" t="s">
        <x:v>110</x:v>
      </x:c>
      <x:c r="L137" t="s">
        <x:v>114</x:v>
      </x:c>
      <x:c r="M137" t="n">
        <x:v>31</x:v>
      </x:c>
      <x:c r="N137" s="35" t="n">
        <x:v>0.804530713401078</x:v>
      </x:c>
      <x:c r="O137" t="n">
        <x:v>97</x:v>
      </x:c>
      <x:c r="P137" s="27" t="n">
        <x:v>66.2</x:v>
      </x:c>
      <x:c r="Q137" t="n">
        <x:v>6</x:v>
      </x:c>
      <x:c r="R137" t="n">
        <x:v>0</x:v>
      </x:c>
    </x:row>
  </x:sheetData>
  <x:mergeCells>
    <x:mergeCell ref="A1:R1"/>
    <x:mergeCell ref="A2:R2"/>
    <x:mergeCell ref="A6:C6"/>
    <x:mergeCell ref="D6:F6"/>
    <x:mergeCell ref="G6:I6"/>
    <x:mergeCell ref="J6:L6"/>
    <x:mergeCell ref="M6:O6"/>
    <x:mergeCell ref="P6:R6"/>
    <x:mergeCell ref="A7:C8"/>
    <x:mergeCell ref="D7:F8"/>
    <x:mergeCell ref="G7:I8"/>
    <x:mergeCell ref="J7:L8"/>
    <x:mergeCell ref="M7:O8"/>
    <x:mergeCell ref="P7:R8"/>
    <x:mergeCell ref="A11:J11"/>
    <x:mergeCell ref="P11:R11"/>
    <x:mergeCell ref="A22:J22"/>
    <x:mergeCell ref="P30:R30"/>
    <x:mergeCell ref="A36:R36"/>
    <x:mergeCell ref="K22:M22"/>
  </x:mergeCells>
  <x:hyperlinks>
    <x:hyperlink xmlns:r="http://schemas.openxmlformats.org/officeDocument/2006/relationships" ref="A4" r:id="Rb3821024c17b4a0a"/>
    <x:hyperlink xmlns:r="http://schemas.openxmlformats.org/officeDocument/2006/relationships" ref="B4" r:id="R46f3b2b310e94732"/>
    <x:hyperlink xmlns:r="http://schemas.openxmlformats.org/officeDocument/2006/relationships" ref="C4" r:id="Ref2a321d810e48ca"/>
    <x:hyperlink xmlns:r="http://schemas.openxmlformats.org/officeDocument/2006/relationships" ref="D4" r:id="R4cbf52d2787244ec"/>
    <x:hyperlink xmlns:r="http://schemas.openxmlformats.org/officeDocument/2006/relationships" ref="E4" r:id="R4ed04e2738364092"/>
    <x:hyperlink xmlns:r="http://schemas.openxmlformats.org/officeDocument/2006/relationships" ref="F4" r:id="Rde5b4643727c4f22"/>
    <x:hyperlink xmlns:r="http://schemas.openxmlformats.org/officeDocument/2006/relationships" ref="G4" r:id="R31c4512db1194202"/>
    <x:hyperlink xmlns:r="http://schemas.openxmlformats.org/officeDocument/2006/relationships" ref="H4" r:id="Ra4a110a7af3049e7"/>
    <x:hyperlink xmlns:r="http://schemas.openxmlformats.org/officeDocument/2006/relationships" ref="I4" r:id="R5613610ae69e4a27"/>
    <x:hyperlink xmlns:r="http://schemas.openxmlformats.org/officeDocument/2006/relationships" ref="J4" r:id="R2f3fa22af9b84108"/>
    <x:hyperlink xmlns:r="http://schemas.openxmlformats.org/officeDocument/2006/relationships" ref="K4" r:id="Ra77001c4ed39490d"/>
    <x:hyperlink xmlns:r="http://schemas.openxmlformats.org/officeDocument/2006/relationships" ref="L4" r:id="R414a2b98061640d2"/>
    <x:hyperlink xmlns:r="http://schemas.openxmlformats.org/officeDocument/2006/relationships" ref="M4" r:id="Rf315cf1bd20e4a80"/>
    <x:hyperlink xmlns:r="http://schemas.openxmlformats.org/officeDocument/2006/relationships" ref="A38" r:id="Rcdb87e7aab4d4039"/>
    <x:hyperlink xmlns:r="http://schemas.openxmlformats.org/officeDocument/2006/relationships" ref="A39" r:id="Rc5b3793c1ad34ce1"/>
    <x:hyperlink xmlns:r="http://schemas.openxmlformats.org/officeDocument/2006/relationships" ref="A40" r:id="R522c509b51b34e89"/>
    <x:hyperlink xmlns:r="http://schemas.openxmlformats.org/officeDocument/2006/relationships" ref="A41" r:id="Reaa42935df4542fb"/>
    <x:hyperlink xmlns:r="http://schemas.openxmlformats.org/officeDocument/2006/relationships" ref="A42" r:id="Rf3584d4ad3644a42"/>
    <x:hyperlink xmlns:r="http://schemas.openxmlformats.org/officeDocument/2006/relationships" ref="A43" r:id="R6f98d2c39a014293"/>
    <x:hyperlink xmlns:r="http://schemas.openxmlformats.org/officeDocument/2006/relationships" ref="A44" r:id="R8c95a9b4df21426b"/>
    <x:hyperlink xmlns:r="http://schemas.openxmlformats.org/officeDocument/2006/relationships" ref="A45" r:id="R7354eaccb60442cc"/>
    <x:hyperlink xmlns:r="http://schemas.openxmlformats.org/officeDocument/2006/relationships" ref="A46" r:id="R1fc3d06cbde84dcc"/>
    <x:hyperlink xmlns:r="http://schemas.openxmlformats.org/officeDocument/2006/relationships" ref="A47" r:id="R63f3517eafdb4759"/>
    <x:hyperlink xmlns:r="http://schemas.openxmlformats.org/officeDocument/2006/relationships" ref="A48" r:id="Rce57f4477038445b"/>
    <x:hyperlink xmlns:r="http://schemas.openxmlformats.org/officeDocument/2006/relationships" ref="A49" r:id="R7526f741a12b412a"/>
    <x:hyperlink xmlns:r="http://schemas.openxmlformats.org/officeDocument/2006/relationships" ref="A50" r:id="R052a67ba714b4960"/>
    <x:hyperlink xmlns:r="http://schemas.openxmlformats.org/officeDocument/2006/relationships" ref="A51" r:id="Ra8e4b177bab44ab0"/>
    <x:hyperlink xmlns:r="http://schemas.openxmlformats.org/officeDocument/2006/relationships" ref="A52" r:id="Rd3d9e6c773b24b73"/>
    <x:hyperlink xmlns:r="http://schemas.openxmlformats.org/officeDocument/2006/relationships" ref="A53" r:id="R02378ea4c57b45d9"/>
    <x:hyperlink xmlns:r="http://schemas.openxmlformats.org/officeDocument/2006/relationships" ref="A54" r:id="R6662017a0490465e"/>
    <x:hyperlink xmlns:r="http://schemas.openxmlformats.org/officeDocument/2006/relationships" ref="A55" r:id="Rc873ac5dc74c48d3"/>
    <x:hyperlink xmlns:r="http://schemas.openxmlformats.org/officeDocument/2006/relationships" ref="A56" r:id="R5116afd9feb84b91"/>
    <x:hyperlink xmlns:r="http://schemas.openxmlformats.org/officeDocument/2006/relationships" ref="A57" r:id="R0c6360688b5b4545"/>
    <x:hyperlink xmlns:r="http://schemas.openxmlformats.org/officeDocument/2006/relationships" ref="A58" r:id="Rddb31b99a0794e41"/>
    <x:hyperlink xmlns:r="http://schemas.openxmlformats.org/officeDocument/2006/relationships" ref="A59" r:id="R02a7d3ecded14113"/>
    <x:hyperlink xmlns:r="http://schemas.openxmlformats.org/officeDocument/2006/relationships" ref="A60" r:id="Rb44b3036373143fb"/>
    <x:hyperlink xmlns:r="http://schemas.openxmlformats.org/officeDocument/2006/relationships" ref="A61" r:id="Rc12e4e1a28774e95"/>
    <x:hyperlink xmlns:r="http://schemas.openxmlformats.org/officeDocument/2006/relationships" ref="A62" r:id="R812b0c191a774459"/>
    <x:hyperlink xmlns:r="http://schemas.openxmlformats.org/officeDocument/2006/relationships" ref="A63" r:id="Rcee4cc2725c949b4"/>
    <x:hyperlink xmlns:r="http://schemas.openxmlformats.org/officeDocument/2006/relationships" ref="A64" r:id="R2b1ac4bf1ec4457e"/>
    <x:hyperlink xmlns:r="http://schemas.openxmlformats.org/officeDocument/2006/relationships" ref="A65" r:id="R4494416d61754cfd"/>
    <x:hyperlink xmlns:r="http://schemas.openxmlformats.org/officeDocument/2006/relationships" ref="A66" r:id="Rfb50243369fa4748"/>
    <x:hyperlink xmlns:r="http://schemas.openxmlformats.org/officeDocument/2006/relationships" ref="A67" r:id="R4bf169b5ec974711"/>
    <x:hyperlink xmlns:r="http://schemas.openxmlformats.org/officeDocument/2006/relationships" ref="A68" r:id="R1f8bda9600c34a25"/>
    <x:hyperlink xmlns:r="http://schemas.openxmlformats.org/officeDocument/2006/relationships" ref="A69" r:id="R8a5acddd798d4a87"/>
    <x:hyperlink xmlns:r="http://schemas.openxmlformats.org/officeDocument/2006/relationships" ref="A70" r:id="R0234fdfcc55d4937"/>
    <x:hyperlink xmlns:r="http://schemas.openxmlformats.org/officeDocument/2006/relationships" ref="A71" r:id="Rfff50f0319ba40ad"/>
    <x:hyperlink xmlns:r="http://schemas.openxmlformats.org/officeDocument/2006/relationships" ref="A72" r:id="Rf71c17957d5d4d86"/>
    <x:hyperlink xmlns:r="http://schemas.openxmlformats.org/officeDocument/2006/relationships" ref="A73" r:id="R840293fd01ec44ea"/>
    <x:hyperlink xmlns:r="http://schemas.openxmlformats.org/officeDocument/2006/relationships" ref="A74" r:id="R7fa113e304624544"/>
    <x:hyperlink xmlns:r="http://schemas.openxmlformats.org/officeDocument/2006/relationships" ref="A75" r:id="R10468f8115d84038"/>
    <x:hyperlink xmlns:r="http://schemas.openxmlformats.org/officeDocument/2006/relationships" ref="A76" r:id="Rc80cd8ec37a44910"/>
    <x:hyperlink xmlns:r="http://schemas.openxmlformats.org/officeDocument/2006/relationships" ref="A77" r:id="R48b864e6ae5c4773"/>
    <x:hyperlink xmlns:r="http://schemas.openxmlformats.org/officeDocument/2006/relationships" ref="A78" r:id="Ra19fa7ea16774c7a"/>
    <x:hyperlink xmlns:r="http://schemas.openxmlformats.org/officeDocument/2006/relationships" ref="A79" r:id="R34c798ae8e4c4cf6"/>
    <x:hyperlink xmlns:r="http://schemas.openxmlformats.org/officeDocument/2006/relationships" ref="A80" r:id="Rb7a73e2642c64dd6"/>
    <x:hyperlink xmlns:r="http://schemas.openxmlformats.org/officeDocument/2006/relationships" ref="A81" r:id="Rf23733b9bf0f4e8e"/>
    <x:hyperlink xmlns:r="http://schemas.openxmlformats.org/officeDocument/2006/relationships" ref="A82" r:id="R2f567fa6c8054609"/>
    <x:hyperlink xmlns:r="http://schemas.openxmlformats.org/officeDocument/2006/relationships" ref="A83" r:id="R5356f82366bb4d66"/>
    <x:hyperlink xmlns:r="http://schemas.openxmlformats.org/officeDocument/2006/relationships" ref="A84" r:id="Ra54b246b6f824d1d"/>
    <x:hyperlink xmlns:r="http://schemas.openxmlformats.org/officeDocument/2006/relationships" ref="A85" r:id="R8a500add57fa4657"/>
    <x:hyperlink xmlns:r="http://schemas.openxmlformats.org/officeDocument/2006/relationships" ref="A86" r:id="R3b31ffbde6074f33"/>
    <x:hyperlink xmlns:r="http://schemas.openxmlformats.org/officeDocument/2006/relationships" ref="A87" r:id="Rab11ec68768046dd"/>
    <x:hyperlink xmlns:r="http://schemas.openxmlformats.org/officeDocument/2006/relationships" ref="A88" r:id="Re192d4a6f12a4eb8"/>
    <x:hyperlink xmlns:r="http://schemas.openxmlformats.org/officeDocument/2006/relationships" ref="A89" r:id="R100b2c2cb3254f4c"/>
    <x:hyperlink xmlns:r="http://schemas.openxmlformats.org/officeDocument/2006/relationships" ref="A90" r:id="Rb905ce2ac06a434a"/>
    <x:hyperlink xmlns:r="http://schemas.openxmlformats.org/officeDocument/2006/relationships" ref="A91" r:id="R41d64f18813f4dc2"/>
    <x:hyperlink xmlns:r="http://schemas.openxmlformats.org/officeDocument/2006/relationships" ref="A92" r:id="R97366407b0eb4a31"/>
    <x:hyperlink xmlns:r="http://schemas.openxmlformats.org/officeDocument/2006/relationships" ref="A93" r:id="R55f8fb0566814314"/>
    <x:hyperlink xmlns:r="http://schemas.openxmlformats.org/officeDocument/2006/relationships" ref="A94" r:id="Re400859f5c514815"/>
    <x:hyperlink xmlns:r="http://schemas.openxmlformats.org/officeDocument/2006/relationships" ref="A95" r:id="Rc8384a1e4cef46f8"/>
    <x:hyperlink xmlns:r="http://schemas.openxmlformats.org/officeDocument/2006/relationships" ref="A96" r:id="R5af5d3315cb14de6"/>
    <x:hyperlink xmlns:r="http://schemas.openxmlformats.org/officeDocument/2006/relationships" ref="A97" r:id="R8c6a5b413da04988"/>
    <x:hyperlink xmlns:r="http://schemas.openxmlformats.org/officeDocument/2006/relationships" ref="A98" r:id="Rc3eccb9a9a694e41"/>
    <x:hyperlink xmlns:r="http://schemas.openxmlformats.org/officeDocument/2006/relationships" ref="A99" r:id="R3d3e62db0bd8475c"/>
    <x:hyperlink xmlns:r="http://schemas.openxmlformats.org/officeDocument/2006/relationships" ref="A100" r:id="R680fb26e017f48cd"/>
    <x:hyperlink xmlns:r="http://schemas.openxmlformats.org/officeDocument/2006/relationships" ref="A101" r:id="R57cfb2bb743c4341"/>
    <x:hyperlink xmlns:r="http://schemas.openxmlformats.org/officeDocument/2006/relationships" ref="A102" r:id="R321763cebee44704"/>
    <x:hyperlink xmlns:r="http://schemas.openxmlformats.org/officeDocument/2006/relationships" ref="A103" r:id="Rfd90ee6085c7483d"/>
    <x:hyperlink xmlns:r="http://schemas.openxmlformats.org/officeDocument/2006/relationships" ref="A104" r:id="R97c52fc6cb5845b9"/>
    <x:hyperlink xmlns:r="http://schemas.openxmlformats.org/officeDocument/2006/relationships" ref="A105" r:id="R10d821c879e844d3"/>
    <x:hyperlink xmlns:r="http://schemas.openxmlformats.org/officeDocument/2006/relationships" ref="A106" r:id="R3774cb69713740ec"/>
    <x:hyperlink xmlns:r="http://schemas.openxmlformats.org/officeDocument/2006/relationships" ref="A107" r:id="R1b6a305ab991447b"/>
    <x:hyperlink xmlns:r="http://schemas.openxmlformats.org/officeDocument/2006/relationships" ref="A108" r:id="Rfdc56e64698c4826"/>
    <x:hyperlink xmlns:r="http://schemas.openxmlformats.org/officeDocument/2006/relationships" ref="A109" r:id="R8fa0c459123248c9"/>
    <x:hyperlink xmlns:r="http://schemas.openxmlformats.org/officeDocument/2006/relationships" ref="A110" r:id="R6d88230f64bc40c3"/>
    <x:hyperlink xmlns:r="http://schemas.openxmlformats.org/officeDocument/2006/relationships" ref="A111" r:id="Refd3061d32ec4236"/>
    <x:hyperlink xmlns:r="http://schemas.openxmlformats.org/officeDocument/2006/relationships" ref="A112" r:id="R3d327e4811a249a6"/>
    <x:hyperlink xmlns:r="http://schemas.openxmlformats.org/officeDocument/2006/relationships" ref="A113" r:id="R3785b0e1563d418a"/>
    <x:hyperlink xmlns:r="http://schemas.openxmlformats.org/officeDocument/2006/relationships" ref="A114" r:id="R1c78b8146cff4482"/>
    <x:hyperlink xmlns:r="http://schemas.openxmlformats.org/officeDocument/2006/relationships" ref="A115" r:id="R8d0046f5430642a4"/>
    <x:hyperlink xmlns:r="http://schemas.openxmlformats.org/officeDocument/2006/relationships" ref="A116" r:id="R38393e3487c848b1"/>
    <x:hyperlink xmlns:r="http://schemas.openxmlformats.org/officeDocument/2006/relationships" ref="A117" r:id="R2d0188ac81b24d07"/>
    <x:hyperlink xmlns:r="http://schemas.openxmlformats.org/officeDocument/2006/relationships" ref="A118" r:id="Rbafb3e406e454a72"/>
    <x:hyperlink xmlns:r="http://schemas.openxmlformats.org/officeDocument/2006/relationships" ref="A119" r:id="R5588228be0d1424d"/>
    <x:hyperlink xmlns:r="http://schemas.openxmlformats.org/officeDocument/2006/relationships" ref="A120" r:id="R92b5d10a47f84851"/>
    <x:hyperlink xmlns:r="http://schemas.openxmlformats.org/officeDocument/2006/relationships" ref="A121" r:id="R2635535cfef64c3e"/>
    <x:hyperlink xmlns:r="http://schemas.openxmlformats.org/officeDocument/2006/relationships" ref="A122" r:id="R063f78ef43614c5d"/>
    <x:hyperlink xmlns:r="http://schemas.openxmlformats.org/officeDocument/2006/relationships" ref="A123" r:id="Reb0d5538897942dc"/>
    <x:hyperlink xmlns:r="http://schemas.openxmlformats.org/officeDocument/2006/relationships" ref="A124" r:id="R8cf927d39ce94ab5"/>
    <x:hyperlink xmlns:r="http://schemas.openxmlformats.org/officeDocument/2006/relationships" ref="A125" r:id="R75f5c2ea72bf4fed"/>
    <x:hyperlink xmlns:r="http://schemas.openxmlformats.org/officeDocument/2006/relationships" ref="A126" r:id="Rc75f0d41dc074a20"/>
    <x:hyperlink xmlns:r="http://schemas.openxmlformats.org/officeDocument/2006/relationships" ref="A127" r:id="Rd0d7867204f847c5"/>
    <x:hyperlink xmlns:r="http://schemas.openxmlformats.org/officeDocument/2006/relationships" ref="A128" r:id="R9b9be033af74405a"/>
    <x:hyperlink xmlns:r="http://schemas.openxmlformats.org/officeDocument/2006/relationships" ref="A129" r:id="R205da4b507534700"/>
    <x:hyperlink xmlns:r="http://schemas.openxmlformats.org/officeDocument/2006/relationships" ref="A130" r:id="Rff52ed8c63174a68"/>
    <x:hyperlink xmlns:r="http://schemas.openxmlformats.org/officeDocument/2006/relationships" ref="A131" r:id="R46235d5666fb4806"/>
    <x:hyperlink xmlns:r="http://schemas.openxmlformats.org/officeDocument/2006/relationships" ref="A132" r:id="R4895090cfe9145bd"/>
    <x:hyperlink xmlns:r="http://schemas.openxmlformats.org/officeDocument/2006/relationships" ref="A133" r:id="Rc88ae0271ccb4636"/>
    <x:hyperlink xmlns:r="http://schemas.openxmlformats.org/officeDocument/2006/relationships" ref="A134" r:id="R3f28430cadb64745"/>
    <x:hyperlink xmlns:r="http://schemas.openxmlformats.org/officeDocument/2006/relationships" ref="A135" r:id="Re163a14680ea49b6"/>
    <x:hyperlink xmlns:r="http://schemas.openxmlformats.org/officeDocument/2006/relationships" ref="A136" r:id="Re02ce8e638174699"/>
    <x:hyperlink xmlns:r="http://schemas.openxmlformats.org/officeDocument/2006/relationships" ref="A137" r:id="R4617f4c124394226"/>
  </x:hyperlinks>
  <x:pageMargins left="0.7" right="0.7" top="0.75" bottom="0.75" header="0.3" footer="0.3"/>
  <x:drawing xmlns:r="http://schemas.openxmlformats.org/officeDocument/2006/relationships" r:id="R13eafeafc854485c"/>
  <x:tableParts count="1">
    <x:tablePart xmlns:r="http://schemas.openxmlformats.org/officeDocument/2006/relationships" r:id="R1cbdeca11b2544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6" hidden="0" customWidth="1"/>
    <x:col min="2" max="2" width="12" hidden="0" customWidth="1"/>
    <x:col min="3" max="3" width="16" hidden="0" customWidth="1"/>
    <x:col min="4" max="4" width="12" hidden="0" customWidth="1"/>
    <x:col min="5" max="5" width="16" hidden="0" customWidth="1"/>
    <x:col min="6" max="6" width="12" hidden="0" customWidth="1"/>
    <x:col min="7" max="7" width="16" hidden="0" customWidth="1"/>
    <x:col min="8" max="8" width="12" hidden="0" customWidth="1"/>
    <x:col min="9" max="9" width="16" hidden="0" customWidth="1"/>
    <x:col min="10" max="10" width="12" hidden="0" customWidth="1"/>
    <x:col min="11" max="11" width="16" hidden="0" customWidth="1"/>
    <x:col min="12" max="12" width="12" hidden="0" customWidth="1"/>
    <x:col min="13" max="13" width="16" hidden="0" customWidth="1"/>
    <x:col min="14" max="14" width="12" hidden="0" customWidth="1"/>
    <x:col min="15" max="15" width="16" hidden="0" customWidth="1"/>
    <x:col min="16" max="16" width="12" hidden="0" customWidth="1"/>
    <x:col min="17" max="17" width="16" hidden="0" customWidth="1"/>
    <x:col min="18" max="18" width="12" hidden="0" customWidth="1"/>
  </x:cols>
  <x:sheetData>
    <x:row r="1" ht="32" hidden="0" customHeight="1">
      <x:c r="A1" s="309" t="s">
        <x:v>310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09"/>
      <x:c r="N1" s="1"/>
      <x:c r="O1" s="1"/>
      <x:c r="P1" s="1"/>
      <x:c r="Q1" s="1"/>
      <x:c r="R1" s="1"/>
    </x:row>
    <x:row r="2" ht="22" hidden="0" customHeight="1">
      <x:c r="A2" s="209" t="s">
        <x:v>311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"/>
      <x:c r="O2" s="2"/>
      <x:c r="P2" s="2"/>
      <x:c r="Q2" s="2"/>
      <x:c r="R2" s="2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6" ht="15" hidden="0">
      <x:c r="A6" s="7" t="s">
        <x:v>312</x:v>
      </x:c>
      <x:c r="B6" s="7"/>
      <x:c r="C6" s="7"/>
      <x:c r="E6" s="7" t="s">
        <x:v>313</x:v>
      </x:c>
      <x:c r="F6" s="7"/>
      <x:c r="G6" s="7"/>
      <x:c r="I6" s="7" t="s">
        <x:v>314</x:v>
      </x:c>
      <x:c r="J6" s="7"/>
      <x:c r="K6" s="7"/>
      <x:c r="M6" s="7" t="s">
        <x:v>315</x:v>
      </x:c>
      <x:c r="N6" s="7"/>
      <x:c r="O6" s="7"/>
    </x:row>
    <x:row r="7" ht="27.75" hidden="0" customHeight="1">
      <x:c r="A7" s="38" t="n">
        <x:f aca="0">MAX(0,100-AVERAGE('10_Project_Data'!W6:W105))</x:f>
        <x:v>90.71000000000001</x:v>
      </x:c>
      <x:c r="B7" s="38"/>
      <x:c r="C7" s="38"/>
      <x:c r="E7" s="39" t="n">
        <x:f aca="0">100-AVERAGE('10_Project_Data'!S6:S105)*100</x:f>
        <x:v>76.85453474224758</x:v>
      </x:c>
      <x:c r="F7" s="39"/>
      <x:c r="G7" s="39"/>
      <x:c r="I7" s="40" t="n">
        <x:f aca="0">100-AVERAGE('10_Project_Data'!P6:P105)</x:f>
        <x:v>47.99</x:v>
      </x:c>
      <x:c r="J7" s="40"/>
      <x:c r="K7" s="40"/>
      <x:c r="M7" s="41" t="n">
        <x:f aca="0">AVERAGE('10_Project_Data'!O6:O105)*100</x:f>
        <x:v>83.55638172761734</x:v>
      </x:c>
      <x:c r="N7" s="41"/>
      <x:c r="O7" s="41"/>
    </x:row>
    <x:row r="8" ht="15" hidden="0">
      <x:c r="A8" s="38"/>
      <x:c r="B8" s="38"/>
      <x:c r="C8" s="38"/>
      <x:c r="E8" s="39"/>
      <x:c r="F8" s="39"/>
      <x:c r="G8" s="39"/>
      <x:c r="I8" s="40"/>
      <x:c r="J8" s="40"/>
      <x:c r="K8" s="40"/>
      <x:c r="M8" s="41"/>
      <x:c r="N8" s="41"/>
      <x:c r="O8" s="41"/>
    </x:row>
    <x:row r="9" ht="15" hidden="0">
      <x:c r="A9" s="38"/>
      <x:c r="B9" s="38"/>
      <x:c r="C9" s="38"/>
      <x:c r="E9" s="39"/>
      <x:c r="F9" s="39"/>
      <x:c r="G9" s="39"/>
      <x:c r="I9" s="40"/>
      <x:c r="J9" s="40"/>
      <x:c r="K9" s="40"/>
      <x:c r="M9" s="41"/>
      <x:c r="N9" s="41"/>
      <x:c r="O9" s="41"/>
    </x:row>
    <x:row r="10" ht="15" hidden="0">
      <x:c r="A10" s="38"/>
      <x:c r="B10" s="38"/>
      <x:c r="C10" s="38"/>
      <x:c r="E10" s="39"/>
      <x:c r="F10" s="39"/>
      <x:c r="G10" s="39"/>
      <x:c r="I10" s="40"/>
      <x:c r="J10" s="40"/>
      <x:c r="K10" s="40"/>
      <x:c r="M10" s="41"/>
      <x:c r="N10" s="41"/>
      <x:c r="O10" s="41"/>
    </x:row>
    <x:row r="11" ht="15" hidden="0">
      <x:c r="A11" s="42" t="n">
        <x:f aca="0">MAX(0,100-AVERAGE('10_Project_Data'!W6:W105))</x:f>
        <x:v>90.71000000000001</x:v>
      </x:c>
      <x:c r="B11" s="42"/>
      <x:c r="C11" s="42"/>
      <x:c r="E11" s="42" t="n">
        <x:f aca="0">100-AVERAGE('10_Project_Data'!S6:S105)*100</x:f>
        <x:v>76.85453474224758</x:v>
      </x:c>
      <x:c r="F11" s="42"/>
      <x:c r="G11" s="42"/>
      <x:c r="I11" s="42" t="n">
        <x:f aca="0">100-AVERAGE('10_Project_Data'!P6:P105)</x:f>
        <x:v>47.99</x:v>
      </x:c>
      <x:c r="J11" s="42"/>
      <x:c r="K11" s="42"/>
      <x:c r="M11" s="42" t="n">
        <x:f aca="0">AVERAGE('10_Project_Data'!O6:O105)*100</x:f>
        <x:v>83.55638172761734</x:v>
      </x:c>
      <x:c r="N11" s="42"/>
      <x:c r="O11" s="42"/>
    </x:row>
    <x:row r="13" ht="15" hidden="0">
      <x:c r="A13" s="7" t="s">
        <x:v>316</x:v>
      </x:c>
      <x:c r="B13" s="7"/>
      <x:c r="C13" s="7"/>
      <x:c r="E13" s="7" t="s">
        <x:v>317</x:v>
      </x:c>
      <x:c r="F13" s="7"/>
      <x:c r="G13" s="7"/>
      <x:c r="I13" s="7" t="s">
        <x:v>318</x:v>
      </x:c>
      <x:c r="J13" s="7"/>
      <x:c r="K13" s="7"/>
      <x:c r="M13" s="7" t="s">
        <x:v>319</x:v>
      </x:c>
      <x:c r="N13" s="7"/>
      <x:c r="O13" s="7"/>
    </x:row>
    <x:row r="14" ht="27.75" hidden="0" customHeight="1">
      <x:c r="A14" s="43" t="n">
        <x:f aca="0">AVERAGE('10_Project_Data'!Q6:Q105)</x:f>
        <x:v>75.15</x:v>
      </x:c>
      <x:c r="B14" s="43"/>
      <x:c r="C14" s="43"/>
      <x:c r="E14" s="44" t="n">
        <x:f aca="0">AVERAGE('10_Project_Data'!S6:S105)*100</x:f>
        <x:v>23.145465257752416</x:v>
      </x:c>
      <x:c r="F14" s="44"/>
      <x:c r="G14" s="44"/>
      <x:c r="I14" s="38" t="n">
        <x:f aca="0">AVERAGE('10_Project_Data'!T6:T105)</x:f>
        <x:v>59.16333333333333</x:v>
      </x:c>
      <x:c r="J14" s="38"/>
      <x:c r="K14" s="38"/>
      <x:c r="M14" s="45" t="n">
        <x:f aca="0">MAX(0,100-COUNTIF('11_Task_Data'!L6:L605,"YES")*1.5)</x:f>
        <x:v>13</x:v>
      </x:c>
      <x:c r="N14" s="45"/>
      <x:c r="O14" s="45"/>
    </x:row>
    <x:row r="15" ht="15" hidden="0">
      <x:c r="A15" s="43"/>
      <x:c r="B15" s="43"/>
      <x:c r="C15" s="43"/>
      <x:c r="E15" s="44"/>
      <x:c r="F15" s="44"/>
      <x:c r="G15" s="44"/>
      <x:c r="I15" s="38"/>
      <x:c r="J15" s="38"/>
      <x:c r="K15" s="38"/>
      <x:c r="M15" s="45"/>
      <x:c r="N15" s="45"/>
      <x:c r="O15" s="45"/>
    </x:row>
    <x:row r="16" ht="15" hidden="0">
      <x:c r="A16" s="43"/>
      <x:c r="B16" s="43"/>
      <x:c r="C16" s="43"/>
      <x:c r="E16" s="44"/>
      <x:c r="F16" s="44"/>
      <x:c r="G16" s="44"/>
      <x:c r="I16" s="38"/>
      <x:c r="J16" s="38"/>
      <x:c r="K16" s="38"/>
      <x:c r="M16" s="45"/>
      <x:c r="N16" s="45"/>
      <x:c r="O16" s="45"/>
    </x:row>
    <x:row r="17" ht="15" hidden="0">
      <x:c r="A17" s="43"/>
      <x:c r="B17" s="43"/>
      <x:c r="C17" s="43"/>
      <x:c r="E17" s="44"/>
      <x:c r="F17" s="44"/>
      <x:c r="G17" s="44"/>
      <x:c r="I17" s="38"/>
      <x:c r="J17" s="38"/>
      <x:c r="K17" s="38"/>
      <x:c r="M17" s="45"/>
      <x:c r="N17" s="45"/>
      <x:c r="O17" s="45"/>
    </x:row>
    <x:row r="18" ht="15" hidden="0">
      <x:c r="A18" s="42" t="n">
        <x:f aca="0">AVERAGE('10_Project_Data'!Q6:Q105)</x:f>
        <x:v>75.15</x:v>
      </x:c>
      <x:c r="B18" s="42"/>
      <x:c r="C18" s="42"/>
      <x:c r="E18" s="42" t="n">
        <x:f aca="0">AVERAGE('10_Project_Data'!S6:S105)*100</x:f>
        <x:v>23.145465257752416</x:v>
      </x:c>
      <x:c r="F18" s="42"/>
      <x:c r="G18" s="42"/>
      <x:c r="I18" s="42" t="n">
        <x:f aca="0">AVERAGE('10_Project_Data'!T6:T105)</x:f>
        <x:v>59.16333333333333</x:v>
      </x:c>
      <x:c r="J18" s="42"/>
      <x:c r="K18" s="42"/>
      <x:c r="M18" s="42" t="n">
        <x:f aca="0">MAX(0,100-COUNTIF('11_Task_Data'!L6:L605,"YES")*1.5)</x:f>
        <x:v>13</x:v>
      </x:c>
      <x:c r="N18" s="42"/>
      <x:c r="O18" s="42"/>
    </x:row>
    <x:row r="20" ht="21" hidden="0" customHeight="1">
      <x:c r="A20" s="15" t="s">
        <x:v>320</x:v>
      </x:c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</x:row>
    <x:row r="21" ht="15" hidden="0">
      <x:c r="A21" s="23" t="s">
        <x:v>54</x:v>
      </x:c>
      <x:c r="B21" s="23" t="s">
        <x:v>59</x:v>
      </x:c>
      <x:c r="C21" s="23" t="s">
        <x:v>321</x:v>
      </x:c>
      <x:c r="D21" s="23" t="s">
        <x:v>322</x:v>
      </x:c>
      <x:c r="E21" s="23" t="s">
        <x:v>323</x:v>
      </x:c>
      <x:c r="F21" s="23" t="s">
        <x:v>55</x:v>
      </x:c>
      <x:c r="G21" s="23" t="s">
        <x:v>56</x:v>
      </x:c>
      <x:c r="H21" s="23" t="s">
        <x:v>324</x:v>
      </x:c>
      <x:c r="I21" s="23" t="s">
        <x:v>325</x:v>
      </x:c>
      <x:c r="J21" s="23" t="s">
        <x:v>326</x:v>
      </x:c>
    </x:row>
    <x:row r="22" ht="15" hidden="0">
      <x:c r="A22" t="s">
        <x:v>60</x:v>
      </x:c>
      <x:c r="B22" t="n">
        <x:f aca="0">COUNTIF('10_Project_Data'!$C$6:$C$105,A22)</x:f>
        <x:v>5</x:v>
      </x:c>
      <x:c r="C22" s="257" t="n">
        <x:f aca="0">AVERAGEIF('10_Project_Data'!$C$6:$C$105,A22,'10_Project_Data'!$T$6:$T$105)</x:f>
        <x:v>50.4</x:v>
      </x:c>
      <x:c r="D22" s="257" t="n">
        <x:f aca="0">AVERAGEIF('10_Project_Data'!$C$6:$C$105,A22,'10_Project_Data'!$P$6:$P$105)</x:f>
        <x:v>47.6</x:v>
      </x:c>
      <x:c r="E22" s="257" t="n">
        <x:f aca="0">AVERAGEIF('10_Project_Data'!$C$6:$C$105,A22,'10_Project_Data'!$Q$6:$Q$105)</x:f>
        <x:v>71.6</x:v>
      </x:c>
      <x:c r="F22" s="258" t="n">
        <x:f aca="0">SUMIF('10_Project_Data'!$C$6:$C$105,A22,'10_Project_Data'!$K$6:$K$105)</x:f>
        <x:v>1132.7</x:v>
      </x:c>
      <x:c r="G22" s="258" t="n">
        <x:f aca="0">SUMIF('10_Project_Data'!$C$6:$C$105,A22,'10_Project_Data'!$L$6:$L$105)</x:f>
        <x:v>252.8</x:v>
      </x:c>
      <x:c r="H22" t="n">
        <x:f aca="0">COUNTIFS('10_Project_Data'!$C$6:$C$105,A22,'10_Project_Data'!$X$6:$X$105,"RED")</x:f>
        <x:v>4</x:v>
      </x:c>
      <x:c r="I22" t="n">
        <x:f aca="0">COUNTIFS('10_Project_Data'!$C$6:$C$105,A22,'10_Project_Data'!$X$6:$X$105,"AMBER")</x:f>
        <x:v>1</x:v>
      </x:c>
      <x:c r="J22" t="n">
        <x:f aca="0">COUNTIFS('10_Project_Data'!$C$6:$C$105,A22,'10_Project_Data'!$X$6:$X$105,"GREEN")</x:f>
        <x:v>0</x:v>
      </x:c>
    </x:row>
    <x:row r="23" ht="15" hidden="0">
      <x:c r="A23" t="s">
        <x:v>62</x:v>
      </x:c>
      <x:c r="B23" t="n">
        <x:f aca="0">COUNTIF('10_Project_Data'!$C$6:$C$105,A23)</x:f>
        <x:v>6</x:v>
      </x:c>
      <x:c r="C23" s="257" t="n">
        <x:f aca="0">AVERAGEIF('10_Project_Data'!$C$6:$C$105,A23,'10_Project_Data'!$T$6:$T$105)</x:f>
        <x:v>56.25</x:v>
      </x:c>
      <x:c r="D23" s="257" t="n">
        <x:f aca="0">AVERAGEIF('10_Project_Data'!$C$6:$C$105,A23,'10_Project_Data'!$P$6:$P$105)</x:f>
        <x:v>59.666666666666664</x:v>
      </x:c>
      <x:c r="E23" s="257" t="n">
        <x:f aca="0">AVERAGEIF('10_Project_Data'!$C$6:$C$105,A23,'10_Project_Data'!$Q$6:$Q$105)</x:f>
        <x:v>70.66666666666667</x:v>
      </x:c>
      <x:c r="F23" s="258" t="n">
        <x:f aca="0">SUMIF('10_Project_Data'!$C$6:$C$105,A23,'10_Project_Data'!$K$6:$K$105)</x:f>
        <x:v>1105.2</x:v>
      </x:c>
      <x:c r="G23" s="258" t="n">
        <x:f aca="0">SUMIF('10_Project_Data'!$C$6:$C$105,A23,'10_Project_Data'!$L$6:$L$105)</x:f>
        <x:v>206.5</x:v>
      </x:c>
      <x:c r="H23" t="n">
        <x:f aca="0">COUNTIFS('10_Project_Data'!$C$6:$C$105,A23,'10_Project_Data'!$X$6:$X$105,"RED")</x:f>
        <x:v>6</x:v>
      </x:c>
      <x:c r="I23" t="n">
        <x:f aca="0">COUNTIFS('10_Project_Data'!$C$6:$C$105,A23,'10_Project_Data'!$X$6:$X$105,"AMBER")</x:f>
        <x:v>0</x:v>
      </x:c>
      <x:c r="J23" t="n">
        <x:f aca="0">COUNTIFS('10_Project_Data'!$C$6:$C$105,A23,'10_Project_Data'!$X$6:$X$105,"GREEN")</x:f>
        <x:v>0</x:v>
      </x:c>
    </x:row>
    <x:row r="24" ht="15" hidden="0">
      <x:c r="A24" t="s">
        <x:v>64</x:v>
      </x:c>
      <x:c r="B24" t="n">
        <x:f aca="0">COUNTIF('10_Project_Data'!$C$6:$C$105,A24)</x:f>
        <x:v>10</x:v>
      </x:c>
      <x:c r="C24" s="257" t="n">
        <x:f aca="0">AVERAGEIF('10_Project_Data'!$C$6:$C$105,A24,'10_Project_Data'!$T$6:$T$105)</x:f>
        <x:v>61.79999999999999</x:v>
      </x:c>
      <x:c r="D24" s="257" t="n">
        <x:f aca="0">AVERAGEIF('10_Project_Data'!$C$6:$C$105,A24,'10_Project_Data'!$P$6:$P$105)</x:f>
        <x:v>53</x:v>
      </x:c>
      <x:c r="E24" s="257" t="n">
        <x:f aca="0">AVERAGEIF('10_Project_Data'!$C$6:$C$105,A24,'10_Project_Data'!$Q$6:$Q$105)</x:f>
        <x:v>80.4</x:v>
      </x:c>
      <x:c r="F24" s="258" t="n">
        <x:f aca="0">SUMIF('10_Project_Data'!$C$6:$C$105,A24,'10_Project_Data'!$K$6:$K$105)</x:f>
        <x:v>1755.6000000000004</x:v>
      </x:c>
      <x:c r="G24" s="258" t="n">
        <x:f aca="0">SUMIF('10_Project_Data'!$C$6:$C$105,A24,'10_Project_Data'!$L$6:$L$105)</x:f>
        <x:v>404.4</x:v>
      </x:c>
      <x:c r="H24" t="n">
        <x:f aca="0">COUNTIFS('10_Project_Data'!$C$6:$C$105,A24,'10_Project_Data'!$X$6:$X$105,"RED")</x:f>
        <x:v>7</x:v>
      </x:c>
      <x:c r="I24" t="n">
        <x:f aca="0">COUNTIFS('10_Project_Data'!$C$6:$C$105,A24,'10_Project_Data'!$X$6:$X$105,"AMBER")</x:f>
        <x:v>3</x:v>
      </x:c>
      <x:c r="J24" t="n">
        <x:f aca="0">COUNTIFS('10_Project_Data'!$C$6:$C$105,A24,'10_Project_Data'!$X$6:$X$105,"GREEN")</x:f>
        <x:v>0</x:v>
      </x:c>
    </x:row>
    <x:row r="25" ht="15" hidden="0">
      <x:c r="A25" t="s">
        <x:v>66</x:v>
      </x:c>
      <x:c r="B25" t="n">
        <x:f aca="0">COUNTIF('10_Project_Data'!$C$6:$C$105,A25)</x:f>
        <x:v>8</x:v>
      </x:c>
      <x:c r="C25" s="257" t="n">
        <x:f aca="0">AVERAGEIF('10_Project_Data'!$C$6:$C$105,A25,'10_Project_Data'!$T$6:$T$105)</x:f>
        <x:v>60.22916666666667</x:v>
      </x:c>
      <x:c r="D25" s="257" t="n">
        <x:f aca="0">AVERAGEIF('10_Project_Data'!$C$6:$C$105,A25,'10_Project_Data'!$P$6:$P$105)</x:f>
        <x:v>41.125</x:v>
      </x:c>
      <x:c r="E25" s="257" t="n">
        <x:f aca="0">AVERAGEIF('10_Project_Data'!$C$6:$C$105,A25,'10_Project_Data'!$Q$6:$Q$105)</x:f>
        <x:v>73.125</x:v>
      </x:c>
      <x:c r="F25" s="258" t="n">
        <x:f aca="0">SUMIF('10_Project_Data'!$C$6:$C$105,A25,'10_Project_Data'!$K$6:$K$105)</x:f>
        <x:v>1545.8000000000002</x:v>
      </x:c>
      <x:c r="G25" s="258" t="n">
        <x:f aca="0">SUMIF('10_Project_Data'!$C$6:$C$105,A25,'10_Project_Data'!$L$6:$L$105)</x:f>
        <x:v>354.4</x:v>
      </x:c>
      <x:c r="H25" t="n">
        <x:f aca="0">COUNTIFS('10_Project_Data'!$C$6:$C$105,A25,'10_Project_Data'!$X$6:$X$105,"RED")</x:f>
        <x:v>6</x:v>
      </x:c>
      <x:c r="I25" t="n">
        <x:f aca="0">COUNTIFS('10_Project_Data'!$C$6:$C$105,A25,'10_Project_Data'!$X$6:$X$105,"AMBER")</x:f>
        <x:v>2</x:v>
      </x:c>
      <x:c r="J25" t="n">
        <x:f aca="0">COUNTIFS('10_Project_Data'!$C$6:$C$105,A25,'10_Project_Data'!$X$6:$X$105,"GREEN")</x:f>
        <x:v>0</x:v>
      </x:c>
    </x:row>
    <x:row r="26" ht="15" hidden="0">
      <x:c r="A26" t="s">
        <x:v>67</x:v>
      </x:c>
      <x:c r="B26" t="n">
        <x:f aca="0">COUNTIF('10_Project_Data'!$C$6:$C$105,A26)</x:f>
        <x:v>15</x:v>
      </x:c>
      <x:c r="C26" s="257" t="n">
        <x:f aca="0">AVERAGEIF('10_Project_Data'!$C$6:$C$105,A26,'10_Project_Data'!$T$6:$T$105)</x:f>
        <x:v>54.988888888888894</x:v>
      </x:c>
      <x:c r="D26" s="257" t="n">
        <x:f aca="0">AVERAGEIF('10_Project_Data'!$C$6:$C$105,A26,'10_Project_Data'!$P$6:$P$105)</x:f>
        <x:v>53.86666666666667</x:v>
      </x:c>
      <x:c r="E26" s="257" t="n">
        <x:f aca="0">AVERAGEIF('10_Project_Data'!$C$6:$C$105,A26,'10_Project_Data'!$Q$6:$Q$105)</x:f>
        <x:v>77.46666666666667</x:v>
      </x:c>
      <x:c r="F26" s="258" t="n">
        <x:f aca="0">SUMIF('10_Project_Data'!$C$6:$C$105,A26,'10_Project_Data'!$K$6:$K$105)</x:f>
        <x:v>2371.0000000000005</x:v>
      </x:c>
      <x:c r="G26" s="258" t="n">
        <x:f aca="0">SUMIF('10_Project_Data'!$C$6:$C$105,A26,'10_Project_Data'!$L$6:$L$105)</x:f>
        <x:v>536.7000000000002</x:v>
      </x:c>
      <x:c r="H26" t="n">
        <x:f aca="0">COUNTIFS('10_Project_Data'!$C$6:$C$105,A26,'10_Project_Data'!$X$6:$X$105,"RED")</x:f>
        <x:v>11</x:v>
      </x:c>
      <x:c r="I26" t="n">
        <x:f aca="0">COUNTIFS('10_Project_Data'!$C$6:$C$105,A26,'10_Project_Data'!$X$6:$X$105,"AMBER")</x:f>
        <x:v>4</x:v>
      </x:c>
      <x:c r="J26" t="n">
        <x:f aca="0">COUNTIFS('10_Project_Data'!$C$6:$C$105,A26,'10_Project_Data'!$X$6:$X$105,"GREEN")</x:f>
        <x:v>0</x:v>
      </x:c>
    </x:row>
    <x:row r="27" ht="15" hidden="0">
      <x:c r="A27" t="s">
        <x:v>68</x:v>
      </x:c>
      <x:c r="B27" t="n">
        <x:f aca="0">COUNTIF('10_Project_Data'!$C$6:$C$105,A27)</x:f>
        <x:v>15</x:v>
      </x:c>
      <x:c r="C27" s="257" t="n">
        <x:f aca="0">AVERAGEIF('10_Project_Data'!$C$6:$C$105,A27,'10_Project_Data'!$T$6:$T$105)</x:f>
        <x:v>64.14444444444445</x:v>
      </x:c>
      <x:c r="D27" s="257" t="n">
        <x:f aca="0">AVERAGEIF('10_Project_Data'!$C$6:$C$105,A27,'10_Project_Data'!$P$6:$P$105)</x:f>
        <x:v>48.8</x:v>
      </x:c>
      <x:c r="E27" s="257" t="n">
        <x:f aca="0">AVERAGEIF('10_Project_Data'!$C$6:$C$105,A27,'10_Project_Data'!$Q$6:$Q$105)</x:f>
        <x:v>78.86666666666666</x:v>
      </x:c>
      <x:c r="F27" s="258" t="n">
        <x:f aca="0">SUMIF('10_Project_Data'!$C$6:$C$105,A27,'10_Project_Data'!$K$6:$K$105)</x:f>
        <x:v>2281.3999999999996</x:v>
      </x:c>
      <x:c r="G27" s="258" t="n">
        <x:f aca="0">SUMIF('10_Project_Data'!$C$6:$C$105,A27,'10_Project_Data'!$L$6:$L$105)</x:f>
        <x:v>546.5</x:v>
      </x:c>
      <x:c r="H27" t="n">
        <x:f aca="0">COUNTIFS('10_Project_Data'!$C$6:$C$105,A27,'10_Project_Data'!$X$6:$X$105,"RED")</x:f>
        <x:v>11</x:v>
      </x:c>
      <x:c r="I27" t="n">
        <x:f aca="0">COUNTIFS('10_Project_Data'!$C$6:$C$105,A27,'10_Project_Data'!$X$6:$X$105,"AMBER")</x:f>
        <x:v>3</x:v>
      </x:c>
      <x:c r="J27" t="n">
        <x:f aca="0">COUNTIFS('10_Project_Data'!$C$6:$C$105,A27,'10_Project_Data'!$X$6:$X$105,"GREEN")</x:f>
        <x:v>1</x:v>
      </x:c>
    </x:row>
    <x:row r="28" ht="15" hidden="0">
      <x:c r="A28" t="s">
        <x:v>69</x:v>
      </x:c>
      <x:c r="B28" t="n">
        <x:f aca="0">COUNTIF('10_Project_Data'!$C$6:$C$105,A28)</x:f>
        <x:v>11</x:v>
      </x:c>
      <x:c r="C28" s="257" t="n">
        <x:f aca="0">AVERAGEIF('10_Project_Data'!$C$6:$C$105,A28,'10_Project_Data'!$T$6:$T$105)</x:f>
        <x:v>60.16666666666667</x:v>
      </x:c>
      <x:c r="D28" s="257" t="n">
        <x:f aca="0">AVERAGEIF('10_Project_Data'!$C$6:$C$105,A28,'10_Project_Data'!$P$6:$P$105)</x:f>
        <x:v>48.27272727272727</x:v>
      </x:c>
      <x:c r="E28" s="257" t="n">
        <x:f aca="0">AVERAGEIF('10_Project_Data'!$C$6:$C$105,A28,'10_Project_Data'!$Q$6:$Q$105)</x:f>
        <x:v>74.27272727272727</x:v>
      </x:c>
      <x:c r="F28" s="258" t="n">
        <x:f aca="0">SUMIF('10_Project_Data'!$C$6:$C$105,A28,'10_Project_Data'!$K$6:$K$105)</x:f>
        <x:v>2052.3</x:v>
      </x:c>
      <x:c r="G28" s="258" t="n">
        <x:f aca="0">SUMIF('10_Project_Data'!$C$6:$C$105,A28,'10_Project_Data'!$L$6:$L$105)</x:f>
        <x:v>492.1</x:v>
      </x:c>
      <x:c r="H28" t="n">
        <x:f aca="0">COUNTIFS('10_Project_Data'!$C$6:$C$105,A28,'10_Project_Data'!$X$6:$X$105,"RED")</x:f>
        <x:v>7</x:v>
      </x:c>
      <x:c r="I28" t="n">
        <x:f aca="0">COUNTIFS('10_Project_Data'!$C$6:$C$105,A28,'10_Project_Data'!$X$6:$X$105,"AMBER")</x:f>
        <x:v>4</x:v>
      </x:c>
      <x:c r="J28" t="n">
        <x:f aca="0">COUNTIFS('10_Project_Data'!$C$6:$C$105,A28,'10_Project_Data'!$X$6:$X$105,"GREEN")</x:f>
        <x:v>0</x:v>
      </x:c>
    </x:row>
    <x:row r="29" ht="15" hidden="0">
      <x:c r="A29" t="s">
        <x:v>70</x:v>
      </x:c>
      <x:c r="B29" t="n">
        <x:f aca="0">COUNTIF('10_Project_Data'!$C$6:$C$105,A29)</x:f>
        <x:v>12</x:v>
      </x:c>
      <x:c r="C29" s="257" t="n">
        <x:f aca="0">AVERAGEIF('10_Project_Data'!$C$6:$C$105,A29,'10_Project_Data'!$T$6:$T$105)</x:f>
        <x:v>53.208333333333336</x:v>
      </x:c>
      <x:c r="D29" s="257" t="n">
        <x:f aca="0">AVERAGEIF('10_Project_Data'!$C$6:$C$105,A29,'10_Project_Data'!$P$6:$P$105)</x:f>
        <x:v>54.916666666666664</x:v>
      </x:c>
      <x:c r="E29" s="257" t="n">
        <x:f aca="0">AVERAGEIF('10_Project_Data'!$C$6:$C$105,A29,'10_Project_Data'!$Q$6:$Q$105)</x:f>
        <x:v>70.75</x:v>
      </x:c>
      <x:c r="F29" s="258" t="n">
        <x:f aca="0">SUMIF('10_Project_Data'!$C$6:$C$105,A29,'10_Project_Data'!$K$6:$K$105)</x:f>
        <x:v>2622.1000000000004</x:v>
      </x:c>
      <x:c r="G29" s="258" t="n">
        <x:f aca="0">SUMIF('10_Project_Data'!$C$6:$C$105,A29,'10_Project_Data'!$L$6:$L$105)</x:f>
        <x:v>640.3</x:v>
      </x:c>
      <x:c r="H29" t="n">
        <x:f aca="0">COUNTIFS('10_Project_Data'!$C$6:$C$105,A29,'10_Project_Data'!$X$6:$X$105,"RED")</x:f>
        <x:v>10</x:v>
      </x:c>
      <x:c r="I29" t="n">
        <x:f aca="0">COUNTIFS('10_Project_Data'!$C$6:$C$105,A29,'10_Project_Data'!$X$6:$X$105,"AMBER")</x:f>
        <x:v>2</x:v>
      </x:c>
      <x:c r="J29" t="n">
        <x:f aca="0">COUNTIFS('10_Project_Data'!$C$6:$C$105,A29,'10_Project_Data'!$X$6:$X$105,"GREEN")</x:f>
        <x:v>0</x:v>
      </x:c>
    </x:row>
    <x:row r="30" ht="15" hidden="0">
      <x:c r="A30" t="s">
        <x:v>71</x:v>
      </x:c>
      <x:c r="B30" t="n">
        <x:f aca="0">COUNTIF('10_Project_Data'!$C$6:$C$105,A30)</x:f>
        <x:v>6</x:v>
      </x:c>
      <x:c r="C30" s="257" t="n">
        <x:f aca="0">AVERAGEIF('10_Project_Data'!$C$6:$C$105,A30,'10_Project_Data'!$T$6:$T$105)</x:f>
        <x:v>67.69444444444444</x:v>
      </x:c>
      <x:c r="D30" s="257" t="n">
        <x:f aca="0">AVERAGEIF('10_Project_Data'!$C$6:$C$105,A30,'10_Project_Data'!$P$6:$P$105)</x:f>
        <x:v>53.5</x:v>
      </x:c>
      <x:c r="E30" s="257" t="n">
        <x:f aca="0">AVERAGEIF('10_Project_Data'!$C$6:$C$105,A30,'10_Project_Data'!$Q$6:$Q$105)</x:f>
        <x:v>79.66666666666667</x:v>
      </x:c>
      <x:c r="F30" s="258" t="n">
        <x:f aca="0">SUMIF('10_Project_Data'!$C$6:$C$105,A30,'10_Project_Data'!$K$6:$K$105)</x:f>
        <x:v>1035.8</x:v>
      </x:c>
      <x:c r="G30" s="258" t="n">
        <x:f aca="0">SUMIF('10_Project_Data'!$C$6:$C$105,A30,'10_Project_Data'!$L$6:$L$105)</x:f>
        <x:v>213.8</x:v>
      </x:c>
      <x:c r="H30" t="n">
        <x:f aca="0">COUNTIFS('10_Project_Data'!$C$6:$C$105,A30,'10_Project_Data'!$X$6:$X$105,"RED")</x:f>
        <x:v>3</x:v>
      </x:c>
      <x:c r="I30" t="n">
        <x:f aca="0">COUNTIFS('10_Project_Data'!$C$6:$C$105,A30,'10_Project_Data'!$X$6:$X$105,"AMBER")</x:f>
        <x:v>3</x:v>
      </x:c>
      <x:c r="J30" t="n">
        <x:f aca="0">COUNTIFS('10_Project_Data'!$C$6:$C$105,A30,'10_Project_Data'!$X$6:$X$105,"GREEN")</x:f>
        <x:v>0</x:v>
      </x:c>
    </x:row>
    <x:row r="31" ht="15" hidden="0">
      <x:c r="A31" t="s">
        <x:v>123</x:v>
      </x:c>
      <x:c r="B31" t="n">
        <x:f aca="0">COUNTIF('10_Project_Data'!$C$6:$C$105,A31)</x:f>
        <x:v>12</x:v>
      </x:c>
      <x:c r="C31" s="257" t="n">
        <x:f aca="0">AVERAGEIF('10_Project_Data'!$C$6:$C$105,A31,'10_Project_Data'!$T$6:$T$105)</x:f>
        <x:v>61.125</x:v>
      </x:c>
      <x:c r="D31" s="257" t="n">
        <x:f aca="0">AVERAGEIF('10_Project_Data'!$C$6:$C$105,A31,'10_Project_Data'!$P$6:$P$105)</x:f>
        <x:v>57.916666666666664</x:v>
      </x:c>
      <x:c r="E31" s="257" t="n">
        <x:f aca="0">AVERAGEIF('10_Project_Data'!$C$6:$C$105,A31,'10_Project_Data'!$Q$6:$Q$105)</x:f>
        <x:v>71.25</x:v>
      </x:c>
      <x:c r="F31" s="258" t="n">
        <x:f aca="0">SUMIF('10_Project_Data'!$C$6:$C$105,A31,'10_Project_Data'!$K$6:$K$105)</x:f>
        <x:v>2296.6000000000004</x:v>
      </x:c>
      <x:c r="G31" s="258" t="n">
        <x:f aca="0">SUMIF('10_Project_Data'!$C$6:$C$105,A31,'10_Project_Data'!$L$6:$L$105)</x:f>
        <x:v>577.1</x:v>
      </x:c>
      <x:c r="H31" t="n">
        <x:f aca="0">COUNTIFS('10_Project_Data'!$C$6:$C$105,A31,'10_Project_Data'!$X$6:$X$105,"RED")</x:f>
        <x:v>9</x:v>
      </x:c>
      <x:c r="I31" t="n">
        <x:f aca="0">COUNTIFS('10_Project_Data'!$C$6:$C$105,A31,'10_Project_Data'!$X$6:$X$105,"AMBER")</x:f>
        <x:v>3</x:v>
      </x:c>
      <x:c r="J31" t="n">
        <x:f aca="0">COUNTIFS('10_Project_Data'!$C$6:$C$105,A31,'10_Project_Data'!$X$6:$X$105,"GREEN")</x:f>
        <x:v>0</x:v>
      </x:c>
    </x:row>
  </x:sheetData>
  <x:mergeCells>
    <x:mergeCell ref="A1:R1"/>
    <x:mergeCell ref="A2:R2"/>
    <x:mergeCell ref="A6:C6"/>
    <x:mergeCell ref="E6:G6"/>
    <x:mergeCell ref="I6:K6"/>
    <x:mergeCell ref="M6:O6"/>
    <x:mergeCell ref="A7:C10"/>
    <x:mergeCell ref="E7:G10"/>
    <x:mergeCell ref="I7:K10"/>
    <x:mergeCell ref="M7:O10"/>
    <x:mergeCell ref="A11:C11"/>
    <x:mergeCell ref="E11:G11"/>
    <x:mergeCell ref="I11:K11"/>
    <x:mergeCell ref="M11:O11"/>
    <x:mergeCell ref="A13:C13"/>
    <x:mergeCell ref="E13:G13"/>
    <x:mergeCell ref="I13:K13"/>
    <x:mergeCell ref="M13:O13"/>
    <x:mergeCell ref="A14:C17"/>
    <x:mergeCell ref="E14:G17"/>
    <x:mergeCell ref="I14:K17"/>
    <x:mergeCell ref="M14:O17"/>
    <x:mergeCell ref="A18:C18"/>
    <x:mergeCell ref="E18:G18"/>
    <x:mergeCell ref="I18:K18"/>
    <x:mergeCell ref="M18:O18"/>
    <x:mergeCell ref="A20:R20"/>
  </x:mergeCells>
  <x:conditionalFormatting sqref="A11:A11">
    <x:cfRule type="dataBar" priority="2">
      <x:dataBar minLength="10" maxLength="90" showValue="1">
        <x:cfvo type="num" val="0"/>
        <x:cfvo type="num" val="100"/>
        <x:color rgb="FF2F75B5"/>
      </x:dataBar>
      <x:extLst>
        <x:ext xmlns:x14="http://schemas.microsoft.com/office/spreadsheetml/2009/9/main" uri="{B025F937-C7B1-47D3-B67F-A62EFF666E3E}">
          <x14:id>{75465523-8229-46D0-AF96-52C7E7443882}</x14:id>
        </x:ext>
      </x:extLst>
    </x:cfRule>
  </x:conditionalFormatting>
  <x:conditionalFormatting sqref="E11:E11">
    <x:cfRule type="dataBar" priority="3">
      <x:dataBar minLength="10" maxLength="90" showValue="1">
        <x:cfvo type="num" val="0"/>
        <x:cfvo type="num" val="100"/>
        <x:color rgb="FF00A6A6"/>
      </x:dataBar>
      <x:extLst>
        <x:ext xmlns:x14="http://schemas.microsoft.com/office/spreadsheetml/2009/9/main" uri="{B025F937-C7B1-47D3-B67F-A62EFF666E3E}">
          <x14:id>{C2C98C81-B8A8-48D0-AE7A-2B1A2D2851AE}</x14:id>
        </x:ext>
      </x:extLst>
    </x:cfRule>
  </x:conditionalFormatting>
  <x:conditionalFormatting sqref="I11:I11">
    <x:cfRule type="dataBar" priority="4">
      <x:dataBar minLength="10" maxLength="90" showValue="1">
        <x:cfvo type="num" val="0"/>
        <x:cfvo type="num" val="100"/>
        <x:color rgb="FFD9534F"/>
      </x:dataBar>
      <x:extLst>
        <x:ext xmlns:x14="http://schemas.microsoft.com/office/spreadsheetml/2009/9/main" uri="{B025F937-C7B1-47D3-B67F-A62EFF666E3E}">
          <x14:id>{E8A37347-9391-423E-BD97-D3A08ACDE58F}</x14:id>
        </x:ext>
      </x:extLst>
    </x:cfRule>
  </x:conditionalFormatting>
  <x:conditionalFormatting sqref="M11:M11">
    <x:cfRule type="dataBar" priority="5">
      <x:dataBar minLength="10" maxLength="90" showValue="1">
        <x:cfvo type="num" val="0"/>
        <x:cfvo type="num" val="100"/>
        <x:color rgb="FF20B8C8"/>
      </x:dataBar>
      <x:extLst>
        <x:ext xmlns:x14="http://schemas.microsoft.com/office/spreadsheetml/2009/9/main" uri="{B025F937-C7B1-47D3-B67F-A62EFF666E3E}">
          <x14:id>{BD64C894-C249-46D8-916F-DBC46E30F656}</x14:id>
        </x:ext>
      </x:extLst>
    </x:cfRule>
  </x:conditionalFormatting>
  <x:conditionalFormatting sqref="A18:A18">
    <x:cfRule type="dataBar" priority="6">
      <x:dataBar minLength="10" maxLength="90" showValue="1">
        <x:cfvo type="num" val="0"/>
        <x:cfvo type="num" val="100"/>
        <x:color rgb="FF7657D9"/>
      </x:dataBar>
      <x:extLst>
        <x:ext xmlns:x14="http://schemas.microsoft.com/office/spreadsheetml/2009/9/main" uri="{B025F937-C7B1-47D3-B67F-A62EFF666E3E}">
          <x14:id>{5C7F8B73-4DA4-4E88-BEB4-A638C3A0C050}</x14:id>
        </x:ext>
      </x:extLst>
    </x:cfRule>
  </x:conditionalFormatting>
  <x:conditionalFormatting sqref="E18:E18">
    <x:cfRule type="dataBar" priority="7">
      <x:dataBar minLength="10" maxLength="90" showValue="1">
        <x:cfvo type="num" val="0"/>
        <x:cfvo type="num" val="100"/>
        <x:color rgb="FF2E9B5B"/>
      </x:dataBar>
      <x:extLst>
        <x:ext xmlns:x14="http://schemas.microsoft.com/office/spreadsheetml/2009/9/main" uri="{B025F937-C7B1-47D3-B67F-A62EFF666E3E}">
          <x14:id>{10745077-7DF1-4014-895F-49F05010AB3D}</x14:id>
        </x:ext>
      </x:extLst>
    </x:cfRule>
  </x:conditionalFormatting>
  <x:conditionalFormatting sqref="I18:I18">
    <x:cfRule type="dataBar" priority="8">
      <x:dataBar minLength="10" maxLength="90" showValue="1">
        <x:cfvo type="num" val="0"/>
        <x:cfvo type="num" val="100"/>
        <x:color rgb="FF2F75B5"/>
      </x:dataBar>
      <x:extLst>
        <x:ext xmlns:x14="http://schemas.microsoft.com/office/spreadsheetml/2009/9/main" uri="{B025F937-C7B1-47D3-B67F-A62EFF666E3E}">
          <x14:id>{4189D0BC-408C-4257-90AF-9035DE85AD78}</x14:id>
        </x:ext>
      </x:extLst>
    </x:cfRule>
  </x:conditionalFormatting>
  <x:conditionalFormatting sqref="M18:M18">
    <x:cfRule type="dataBar" priority="9">
      <x:dataBar minLength="10" maxLength="90" showValue="1">
        <x:cfvo type="num" val="0"/>
        <x:cfvo type="num" val="100"/>
        <x:color rgb="FFE5A400"/>
      </x:dataBar>
      <x:extLst>
        <x:ext xmlns:x14="http://schemas.microsoft.com/office/spreadsheetml/2009/9/main" uri="{B025F937-C7B1-47D3-B67F-A62EFF666E3E}">
          <x14:id>{C0C5D31D-2ECF-48DE-984E-3415B0F7E74E}</x14:id>
        </x:ext>
      </x:extLst>
    </x:cfRule>
  </x:conditionalFormatting>
  <x:hyperlinks>
    <x:hyperlink xmlns:r="http://schemas.openxmlformats.org/officeDocument/2006/relationships" ref="A4" r:id="R4dd5b27d81b9449a"/>
    <x:hyperlink xmlns:r="http://schemas.openxmlformats.org/officeDocument/2006/relationships" ref="B4" r:id="R8d81a8d3371e40c0"/>
    <x:hyperlink xmlns:r="http://schemas.openxmlformats.org/officeDocument/2006/relationships" ref="C4" r:id="R69cf76ffb7744d47"/>
    <x:hyperlink xmlns:r="http://schemas.openxmlformats.org/officeDocument/2006/relationships" ref="D4" r:id="R6e3a0a31279a4af7"/>
    <x:hyperlink xmlns:r="http://schemas.openxmlformats.org/officeDocument/2006/relationships" ref="E4" r:id="R496fa03b087d48c2"/>
    <x:hyperlink xmlns:r="http://schemas.openxmlformats.org/officeDocument/2006/relationships" ref="F4" r:id="R8af28af2105d4625"/>
    <x:hyperlink xmlns:r="http://schemas.openxmlformats.org/officeDocument/2006/relationships" ref="G4" r:id="R3f7bfde446de402b"/>
    <x:hyperlink xmlns:r="http://schemas.openxmlformats.org/officeDocument/2006/relationships" ref="H4" r:id="R17dae49abc7748eb"/>
    <x:hyperlink xmlns:r="http://schemas.openxmlformats.org/officeDocument/2006/relationships" ref="I4" r:id="R1428985ebcd54059"/>
    <x:hyperlink xmlns:r="http://schemas.openxmlformats.org/officeDocument/2006/relationships" ref="J4" r:id="Re12f7fb6485d4ca1"/>
    <x:hyperlink xmlns:r="http://schemas.openxmlformats.org/officeDocument/2006/relationships" ref="K4" r:id="R6c9ab0f3c8ca415d"/>
    <x:hyperlink xmlns:r="http://schemas.openxmlformats.org/officeDocument/2006/relationships" ref="L4" r:id="R78b9da4668124af1"/>
    <x:hyperlink xmlns:r="http://schemas.openxmlformats.org/officeDocument/2006/relationships" ref="M4" r:id="R2d3cf9ec7fdc4625"/>
  </x:hyperlinks>
  <x:pageMargins left="0.7" right="0.7" top="0.75" bottom="0.75" header="0.3" footer="0.3"/>
  <x:drawing xmlns:r="http://schemas.openxmlformats.org/officeDocument/2006/relationships" r:id="Re0ea8c1de9504f0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5465523-8229-46D0-AF96-52C7E7443882}">
            <x14:dataBar minLength="10" maxLength="90" showValue="1" gradient="1">
              <x14:cfvo type="num">
                <xm:f>0</xm:f>
              </x14:cfvo>
              <x14:cfvo type="num">
                <xm:f>100</xm:f>
              </x14:cfvo>
              <x14:fillColor rgb="FF2F75B5"/>
              <x14:negativeFillColor rgb="FF2F75B5"/>
              <x14:axisColor rgb="FF000000"/>
            </x14:dataBar>
          </x14:cfRule>
          <xm:sqref>A11:A11</xm:sqref>
        </x14:conditionalFormatting>
        <x14:conditionalFormatting>
          <x14:cfRule type="dataBar" priority="3" id="{C2C98C81-B8A8-48D0-AE7A-2B1A2D2851AE}">
            <x14:dataBar minLength="10" maxLength="90" showValue="1" gradient="1">
              <x14:cfvo type="num">
                <xm:f>0</xm:f>
              </x14:cfvo>
              <x14:cfvo type="num">
                <xm:f>100</xm:f>
              </x14:cfvo>
              <x14:fillColor rgb="FF00A6A6"/>
              <x14:negativeFillColor rgb="FF00A6A6"/>
              <x14:axisColor rgb="FF000000"/>
            </x14:dataBar>
          </x14:cfRule>
          <xm:sqref>E11:E11</xm:sqref>
        </x14:conditionalFormatting>
        <x14:conditionalFormatting>
          <x14:cfRule type="dataBar" priority="4" id="{E8A37347-9391-423E-BD97-D3A08ACDE58F}">
            <x14:dataBar minLength="10" maxLength="90" showValue="1" gradient="1">
              <x14:cfvo type="num">
                <xm:f>0</xm:f>
              </x14:cfvo>
              <x14:cfvo type="num">
                <xm:f>100</xm:f>
              </x14:cfvo>
              <x14:fillColor rgb="FFD9534F"/>
              <x14:negativeFillColor rgb="FFD9534F"/>
              <x14:axisColor rgb="FF000000"/>
            </x14:dataBar>
          </x14:cfRule>
          <xm:sqref>I11:I11</xm:sqref>
        </x14:conditionalFormatting>
        <x14:conditionalFormatting>
          <x14:cfRule type="dataBar" priority="5" id="{BD64C894-C249-46D8-916F-DBC46E30F656}">
            <x14:dataBar minLength="10" maxLength="90" showValue="1" gradient="1">
              <x14:cfvo type="num">
                <xm:f>0</xm:f>
              </x14:cfvo>
              <x14:cfvo type="num">
                <xm:f>100</xm:f>
              </x14:cfvo>
              <x14:fillColor rgb="FF20B8C8"/>
              <x14:negativeFillColor rgb="FF20B8C8"/>
              <x14:axisColor rgb="FF000000"/>
            </x14:dataBar>
          </x14:cfRule>
          <xm:sqref>M11:M11</xm:sqref>
        </x14:conditionalFormatting>
        <x14:conditionalFormatting>
          <x14:cfRule type="dataBar" priority="6" id="{5C7F8B73-4DA4-4E88-BEB4-A638C3A0C050}">
            <x14:dataBar minLength="10" maxLength="90" showValue="1" gradient="1">
              <x14:cfvo type="num">
                <xm:f>0</xm:f>
              </x14:cfvo>
              <x14:cfvo type="num">
                <xm:f>100</xm:f>
              </x14:cfvo>
              <x14:fillColor rgb="FF7657D9"/>
              <x14:negativeFillColor rgb="FF7657D9"/>
              <x14:axisColor rgb="FF000000"/>
            </x14:dataBar>
          </x14:cfRule>
          <xm:sqref>A18:A18</xm:sqref>
        </x14:conditionalFormatting>
        <x14:conditionalFormatting>
          <x14:cfRule type="dataBar" priority="7" id="{10745077-7DF1-4014-895F-49F05010AB3D}">
            <x14:dataBar minLength="10" maxLength="90" showValue="1" gradient="1">
              <x14:cfvo type="num">
                <xm:f>0</xm:f>
              </x14:cfvo>
              <x14:cfvo type="num">
                <xm:f>100</xm:f>
              </x14:cfvo>
              <x14:fillColor rgb="FF2E9B5B"/>
              <x14:negativeFillColor rgb="FF2E9B5B"/>
              <x14:axisColor rgb="FF000000"/>
            </x14:dataBar>
          </x14:cfRule>
          <xm:sqref>E18:E18</xm:sqref>
        </x14:conditionalFormatting>
        <x14:conditionalFormatting>
          <x14:cfRule type="dataBar" priority="8" id="{4189D0BC-408C-4257-90AF-9035DE85AD78}">
            <x14:dataBar minLength="10" maxLength="90" showValue="1" gradient="1">
              <x14:cfvo type="num">
                <xm:f>0</xm:f>
              </x14:cfvo>
              <x14:cfvo type="num">
                <xm:f>100</xm:f>
              </x14:cfvo>
              <x14:fillColor rgb="FF2F75B5"/>
              <x14:negativeFillColor rgb="FF2F75B5"/>
              <x14:axisColor rgb="FF000000"/>
            </x14:dataBar>
          </x14:cfRule>
          <xm:sqref>I18:I18</xm:sqref>
        </x14:conditionalFormatting>
        <x14:conditionalFormatting>
          <x14:cfRule type="dataBar" priority="9" id="{C0C5D31D-2ECF-48DE-984E-3415B0F7E74E}">
            <x14:dataBar minLength="10" maxLength="90" showValue="1" gradient="1">
              <x14:cfvo type="num">
                <xm:f>0</xm:f>
              </x14:cfvo>
              <x14:cfvo type="num">
                <xm:f>100</xm:f>
              </x14:cfvo>
              <x14:fillColor rgb="FFE5A400"/>
              <x14:negativeFillColor rgb="FFE5A400"/>
              <x14:axisColor rgb="FF000000"/>
            </x14:dataBar>
          </x14:cfRule>
          <xm:sqref>M18:M18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2" hidden="0" customWidth="1"/>
    <x:col min="2" max="2" width="26" hidden="0" customWidth="1"/>
    <x:col min="3" max="8" width="14" hidden="0" customWidth="1"/>
    <x:col min="9" max="9" width="28" hidden="0" customWidth="1"/>
    <x:col min="10" max="14" width="16" hidden="0" customWidth="1"/>
  </x:cols>
  <x:sheetData>
    <x:row r="1" ht="32" hidden="0" customHeight="1">
      <x:c r="A1" s="309" t="s">
        <x:v>327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09"/>
      <x:c r="N1" s="1"/>
    </x:row>
    <x:row r="2" ht="22" hidden="0" customHeight="1">
      <x:c r="A2" s="209" t="s">
        <x:v>328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6" ht="15" hidden="0">
      <x:c r="A6" s="23" t="s">
        <x:v>329</x:v>
      </x:c>
      <x:c r="B6" s="46" t="s">
        <x:v>264</x:v>
      </x:c>
    </x:row>
    <x:row r="8" ht="15" hidden="0">
      <x:c r="A8" s="47" t="s">
        <x:v>330</x:v>
      </x:c>
      <x:c r="B8" s="47"/>
      <x:c r="C8" s="47"/>
      <x:c r="D8" s="47" t="s">
        <x:v>3</x:v>
      </x:c>
      <x:c r="E8" s="47"/>
      <x:c r="F8" s="47"/>
      <x:c r="G8" s="47" t="s">
        <x:v>331</x:v>
      </x:c>
      <x:c r="H8" s="47"/>
      <x:c r="I8" s="47"/>
      <x:c r="J8" s="47" t="s">
        <x:v>58</x:v>
      </x:c>
      <x:c r="K8" s="47"/>
      <x:c r="L8" s="47"/>
    </x:row>
    <x:row r="9" ht="18.549999237060547" hidden="0">
      <x:c r="A9" s="48" t="str">
        <x:f aca="0">IFERROR(INDEX('10_Project_Data'!B:B,MATCH($B$6,'10_Project_Data'!A:A,0)),"")</x:f>
        <x:v>Aurora Transformation</x:v>
      </x:c>
      <x:c r="B9" s="48"/>
      <x:c r="C9" s="48"/>
      <x:c r="D9" s="48" t="str">
        <x:f aca="0">IFERROR(INDEX('10_Project_Data'!F:F,MATCH($B$6,'10_Project_Data'!A:A,0)),"")</x:f>
        <x:v>Sponsor E</x:v>
      </x:c>
      <x:c r="E9" s="48"/>
      <x:c r="F9" s="48"/>
      <x:c r="G9" s="48" t="str">
        <x:f aca="0">IFERROR(INDEX('10_Project_Data'!G:G,MATCH($B$6,'10_Project_Data'!A:A,0)),"")</x:f>
        <x:v>Arjun Mehta</x:v>
      </x:c>
      <x:c r="H9" s="48"/>
      <x:c r="I9" s="48"/>
      <x:c r="J9" s="48" t="str">
        <x:f aca="0">IFERROR(INDEX('10_Project_Data'!X:X,MATCH($B$6,'10_Project_Data'!A:A,0)),"")</x:f>
        <x:v>AMBER</x:v>
      </x:c>
      <x:c r="K9" s="48"/>
      <x:c r="L9" s="48"/>
    </x:row>
    <x:row r="12" ht="15" hidden="0">
      <x:c r="A12" s="7" t="s">
        <x:v>19</x:v>
      </x:c>
      <x:c r="B12" s="7"/>
      <x:c r="C12" s="7" t="s">
        <x:v>20</x:v>
      </x:c>
      <x:c r="D12" s="7"/>
      <x:c r="E12" s="7" t="s">
        <x:v>21</x:v>
      </x:c>
      <x:c r="F12" s="7"/>
      <x:c r="G12" s="7" t="s">
        <x:v>332</x:v>
      </x:c>
      <x:c r="H12" s="7"/>
      <x:c r="I12" s="7" t="s">
        <x:v>314</x:v>
      </x:c>
      <x:c r="J12" s="7"/>
      <x:c r="K12" s="7" t="s">
        <x:v>316</x:v>
      </x:c>
      <x:c r="L12" s="7"/>
    </x:row>
    <x:row r="13" ht="27.75" hidden="0" customHeight="1">
      <x:c r="A13" s="49" t="n">
        <x:f aca="0">IFERROR(INDEX('10_Project_Data'!K:K,MATCH($B$6,'10_Project_Data'!A:A,0)),0)</x:f>
        <x:v>119.4</x:v>
      </x:c>
      <x:c r="B13" s="49"/>
      <x:c r="C13" s="50" t="n">
        <x:f aca="0">IFERROR(INDEX('10_Project_Data'!L:L,MATCH($B$6,'10_Project_Data'!A:A,0)),0)</x:f>
        <x:v>32.1</x:v>
      </x:c>
      <x:c r="D13" s="50"/>
      <x:c r="E13" s="51" t="n">
        <x:f aca="0">IFERROR(INDEX('10_Project_Data'!M:M,MATCH($B$6,'10_Project_Data'!A:A,0)),0)</x:f>
        <x:v>45.6</x:v>
      </x:c>
      <x:c r="F13" s="51"/>
      <x:c r="G13" s="41" t="n">
        <x:f aca="0">IFERROR(INDEX('10_Project_Data'!T:T,MATCH($B$6,'10_Project_Data'!A:A,0)),0)</x:f>
        <x:v>65.16666666666667</x:v>
      </x:c>
      <x:c r="H13" s="41"/>
      <x:c r="I13" s="52" t="n">
        <x:f aca="0">IFERROR(INDEX('10_Project_Data'!P:P,MATCH($B$6,'10_Project_Data'!A:A,0)),0)</x:f>
        <x:v>69</x:v>
      </x:c>
      <x:c r="J13" s="52"/>
      <x:c r="K13" s="53" t="n">
        <x:f aca="0">IFERROR(INDEX('10_Project_Data'!Q:Q,MATCH($B$6,'10_Project_Data'!A:A,0)),0)</x:f>
        <x:v>67</x:v>
      </x:c>
      <x:c r="L13" s="53"/>
    </x:row>
    <x:row r="14" ht="15" hidden="0">
      <x:c r="A14" s="49"/>
      <x:c r="B14" s="49"/>
      <x:c r="C14" s="50"/>
      <x:c r="D14" s="50"/>
      <x:c r="E14" s="51"/>
      <x:c r="F14" s="51"/>
      <x:c r="G14" s="41"/>
      <x:c r="H14" s="41"/>
      <x:c r="I14" s="52"/>
      <x:c r="J14" s="52"/>
      <x:c r="K14" s="53"/>
      <x:c r="L14" s="53"/>
    </x:row>
    <x:row r="17" ht="21" hidden="0" customHeight="1">
      <x:c r="A17" s="15" t="s">
        <x:v>333</x:v>
      </x:c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</x:row>
    <x:row r="18" ht="15" hidden="0">
      <x:c r="A18" s="54" t="str">
        <x:f aca="0">IFERROR("RAG: "&amp;INDEX('10_Project_Data'!X:X,MATCH($B$6,'10_Project_Data'!A:A,0))&amp;"  •  Risk score: "&amp;INDEX('10_Project_Data'!P:P,MATCH($B$6,'10_Project_Data'!A:A,0))&amp;"  •  Days risk: "&amp;INDEX('10_Project_Data'!W:W,MATCH($B$6,'10_Project_Data'!A:A,0))&amp;"  •  Blocked tasks: "&amp;INDEX('10_Project_Data'!U:U,MATCH($B$6,'10_Project_Data'!A:A,0))&amp;"  •  Escalations: "&amp;INDEX('10_Project_Data'!V:V,MATCH($B$6,'10_Project_Data'!A:A,0)),"")</x:f>
        <x:v>RAG: AMBER  •  Risk score: 69  •  Days risk: 7  •  Blocked tasks: 1  •  Escalations: 0</x:v>
      </x:c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</x:row>
    <x:row r="19" ht="15" hidden="0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</x:row>
    <x:row r="21" ht="21" hidden="0" customHeight="1">
      <x:c r="A21" s="15" t="s">
        <x:v>334</x:v>
      </x:c>
      <x:c r="B21" s="15"/>
      <x:c r="C21" s="15"/>
      <x:c r="D21" s="15"/>
      <x:c r="E21" s="15"/>
      <x:c r="F21" s="15"/>
      <x:c r="G21" s="15"/>
      <x:c r="H21" s="15"/>
      <x:c r="I21" s="15"/>
      <x:c r="J21" s="15" t="s">
        <x:v>335</x:v>
      </x:c>
      <x:c r="K21" s="15"/>
      <x:c r="L21" s="15"/>
      <x:c r="M21" s="15"/>
      <x:c r="N21" s="15"/>
    </x:row>
    <x:row r="22" ht="15" hidden="0">
      <x:c r="A22" s="23" t="s">
        <x:v>336</x:v>
      </x:c>
      <x:c r="B22" s="23" t="s">
        <x:v>337</x:v>
      </x:c>
      <x:c r="C22" s="23" t="s">
        <x:v>338</x:v>
      </x:c>
      <x:c r="D22" s="23" t="s">
        <x:v>339</x:v>
      </x:c>
      <x:c r="E22" s="23" t="s">
        <x:v>76</x:v>
      </x:c>
      <x:c r="F22" s="23" t="s">
        <x:v>340</x:v>
      </x:c>
      <x:c r="G22" s="23" t="s">
        <x:v>341</x:v>
      </x:c>
      <x:c r="H22" s="23" t="s">
        <x:v>342</x:v>
      </x:c>
      <x:c r="I22" s="23" t="s">
        <x:v>343</x:v>
      </x:c>
      <x:c r="J22" s="55" t="s">
        <x:v>344</x:v>
      </x:c>
      <x:c r="K22" s="55"/>
      <x:c r="L22" s="55"/>
      <x:c r="M22" s="55"/>
      <x:c r="N22" s="55"/>
    </x:row>
    <x:row r="23" ht="15" hidden="0">
      <x:c r="A23" s="56" t="str">
        <x:f aca="0">IFERROR(INDEX('11_Task_Data'!$C$6:$C$605,MATCH($B$6&amp;TEXT(1,"00"),'11_Task_Data'!$P$6:$P$605,0)),"")</x:f>
        <x:v>Requirements &amp; scope freeze</x:v>
      </x:c>
      <x:c r="B23" s="56" t="str">
        <x:f aca="0">IFERROR(INDEX('11_Task_Data'!$D$6:$D$605,MATCH($B$6&amp;TEXT(1,"00"),'11_Task_Data'!$P$6:$P$605,0)),"")</x:f>
        <x:v>Rahul</x:v>
      </x:c>
      <x:c r="C23" s="56" t="str">
        <x:f aca="0">IFERROR(INDEX('11_Task_Data'!$F$6:$F$605,MATCH($B$6&amp;TEXT(1,"00"),'11_Task_Data'!$P$6:$P$605,0)),"")</x:f>
        <x:v>High</x:v>
      </x:c>
      <x:c r="D23" s="57" t="str">
        <x:f aca="0">IFERROR(INDEX('11_Task_Data'!$J$6:$J$605,MATCH($B$6&amp;TEXT(1,"00"),'11_Task_Data'!$P$6:$P$605,0)),"")</x:f>
        <x:v>In Progress</x:v>
      </x:c>
      <x:c r="E23" s="58" t="n">
        <x:f aca="0">IFERROR(INDEX('11_Task_Data'!$I$6:$I$605,MATCH($B$6&amp;TEXT(1,"00"),'11_Task_Data'!$P$6:$P$605,0)),"")</x:f>
        <x:v>63</x:v>
      </x:c>
      <x:c r="F23" s="59" t="str">
        <x:f aca="0">IFERROR(INDEX('11_Task_Data'!$K$6:$K$605,MATCH($B$6&amp;TEXT(1,"00"),'11_Task_Data'!$P$6:$P$605,0)),"")</x:f>
      </x:c>
      <x:c r="G23" s="56" t="str">
        <x:f aca="0">IFERROR(INDEX('11_Task_Data'!$L$6:$L$605,MATCH($B$6&amp;TEXT(1,"00"),'11_Task_Data'!$P$6:$P$605,0)),"")</x:f>
        <x:v>NO</x:v>
      </x:c>
      <x:c r="H23" s="60" t="n">
        <x:f aca="0">IFERROR(INDEX('11_Task_Data'!$H$6:$H$605,MATCH($B$6&amp;TEXT(1,"00"),'11_Task_Data'!$P$6:$P$605,0)),"")</x:f>
        <x:v>46226</x:v>
      </x:c>
      <x:c r="I23" s="56" t="n">
        <x:f aca="0">IFERROR(INDEX('11_Task_Data'!$N$6:$N$605,MATCH($B$6&amp;TEXT(1,"00"),'11_Task_Data'!$P$6:$P$605,0)),"")</x:f>
        <x:v>78</x:v>
      </x:c>
      <x:c r="J23" s="61" t="str">
        <x:f aca="0">IFERROR("Decision required when risk, dependency and due-date signals converge. Start with the highest-priority open task, identify its support owner, then quantify the schedule / commercial consequence before escalating.","")</x:f>
        <x:v>Decision required when risk, dependency and due-date signals converge. Start with the highest-priority open task, identify its support owner, then quantify the schedule / commercial consequence before escalating.</x:v>
      </x:c>
      <x:c r="K23" s="61"/>
      <x:c r="L23" s="61"/>
      <x:c r="M23" s="61"/>
      <x:c r="N23" s="61"/>
    </x:row>
    <x:row r="24" ht="15" hidden="0">
      <x:c r="A24" s="56" t="str">
        <x:f aca="0">IFERROR(INDEX('11_Task_Data'!$C$6:$C$605,MATCH($B$6&amp;TEXT(2,"00"),'11_Task_Data'!$P$6:$P$605,0)),"")</x:f>
        <x:v>Design / solution</x:v>
      </x:c>
      <x:c r="B24" s="56" t="str">
        <x:f aca="0">IFERROR(INDEX('11_Task_Data'!$D$6:$D$605,MATCH($B$6&amp;TEXT(2,"00"),'11_Task_Data'!$P$6:$P$605,0)),"")</x:f>
        <x:v>Karan</x:v>
      </x:c>
      <x:c r="C24" s="56" t="str">
        <x:f aca="0">IFERROR(INDEX('11_Task_Data'!$F$6:$F$605,MATCH($B$6&amp;TEXT(2,"00"),'11_Task_Data'!$P$6:$P$605,0)),"")</x:f>
        <x:v>High</x:v>
      </x:c>
      <x:c r="D24" s="57" t="str">
        <x:f aca="0">IFERROR(INDEX('11_Task_Data'!$J$6:$J$605,MATCH($B$6&amp;TEXT(2,"00"),'11_Task_Data'!$P$6:$P$605,0)),"")</x:f>
        <x:v>In Progress</x:v>
      </x:c>
      <x:c r="E24" s="58" t="n">
        <x:f aca="0">IFERROR(INDEX('11_Task_Data'!$I$6:$I$605,MATCH($B$6&amp;TEXT(2,"00"),'11_Task_Data'!$P$6:$P$605,0)),"")</x:f>
        <x:v>68</x:v>
      </x:c>
      <x:c r="F24" s="59" t="str">
        <x:f aca="0">IFERROR(INDEX('11_Task_Data'!$K$6:$K$605,MATCH($B$6&amp;TEXT(2,"00"),'11_Task_Data'!$P$6:$P$605,0)),"")</x:f>
      </x:c>
      <x:c r="G24" s="56" t="str">
        <x:f aca="0">IFERROR(INDEX('11_Task_Data'!$L$6:$L$605,MATCH($B$6&amp;TEXT(2,"00"),'11_Task_Data'!$P$6:$P$605,0)),"")</x:f>
        <x:v>NO</x:v>
      </x:c>
      <x:c r="H24" s="60" t="n">
        <x:f aca="0">IFERROR(INDEX('11_Task_Data'!$H$6:$H$605,MATCH($B$6&amp;TEXT(2,"00"),'11_Task_Data'!$P$6:$P$605,0)),"")</x:f>
        <x:v>46238</x:v>
      </x:c>
      <x:c r="I24" s="56" t="n">
        <x:f aca="0">IFERROR(INDEX('11_Task_Data'!$N$6:$N$605,MATCH($B$6&amp;TEXT(2,"00"),'11_Task_Data'!$P$6:$P$605,0)),"")</x:f>
        <x:v>83</x:v>
      </x:c>
      <x:c r="J24" s="61"/>
      <x:c r="K24" s="61"/>
      <x:c r="L24" s="61"/>
      <x:c r="M24" s="61"/>
      <x:c r="N24" s="61"/>
    </x:row>
    <x:row r="25" ht="15" hidden="0">
      <x:c r="A25" s="56" t="str">
        <x:f aca="0">IFERROR(INDEX('11_Task_Data'!$C$6:$C$605,MATCH($B$6&amp;TEXT(3,"00"),'11_Task_Data'!$P$6:$P$605,0)),"")</x:f>
        <x:v>BOM / commercial approval</x:v>
      </x:c>
      <x:c r="B25" s="56" t="str">
        <x:f aca="0">IFERROR(INDEX('11_Task_Data'!$D$6:$D$605,MATCH($B$6&amp;TEXT(3,"00"),'11_Task_Data'!$P$6:$P$605,0)),"")</x:f>
        <x:v>Meera</x:v>
      </x:c>
      <x:c r="C25" s="56" t="str">
        <x:f aca="0">IFERROR(INDEX('11_Task_Data'!$F$6:$F$605,MATCH($B$6&amp;TEXT(3,"00"),'11_Task_Data'!$P$6:$P$605,0)),"")</x:f>
        <x:v>Critical</x:v>
      </x:c>
      <x:c r="D25" s="57" t="str">
        <x:f aca="0">IFERROR(INDEX('11_Task_Data'!$J$6:$J$605,MATCH($B$6&amp;TEXT(3,"00"),'11_Task_Data'!$P$6:$P$605,0)),"")</x:f>
        <x:v>In Progress</x:v>
      </x:c>
      <x:c r="E25" s="58" t="n">
        <x:f aca="0">IFERROR(INDEX('11_Task_Data'!$I$6:$I$605,MATCH($B$6&amp;TEXT(3,"00"),'11_Task_Data'!$P$6:$P$605,0)),"")</x:f>
        <x:v>71</x:v>
      </x:c>
      <x:c r="F25" s="59" t="str">
        <x:f aca="0">IFERROR(INDEX('11_Task_Data'!$K$6:$K$605,MATCH($B$6&amp;TEXT(3,"00"),'11_Task_Data'!$P$6:$P$605,0)),"")</x:f>
      </x:c>
      <x:c r="G25" s="56" t="str">
        <x:f aca="0">IFERROR(INDEX('11_Task_Data'!$L$6:$L$605,MATCH($B$6&amp;TEXT(3,"00"),'11_Task_Data'!$P$6:$P$605,0)),"")</x:f>
        <x:v>NO</x:v>
      </x:c>
      <x:c r="H25" s="60" t="n">
        <x:f aca="0">IFERROR(INDEX('11_Task_Data'!$H$6:$H$605,MATCH($B$6&amp;TEXT(3,"00"),'11_Task_Data'!$P$6:$P$605,0)),"")</x:f>
        <x:v>46248</x:v>
      </x:c>
      <x:c r="I25" s="56" t="n">
        <x:f aca="0">IFERROR(INDEX('11_Task_Data'!$N$6:$N$605,MATCH($B$6&amp;TEXT(3,"00"),'11_Task_Data'!$P$6:$P$605,0)),"")</x:f>
        <x:v>22</x:v>
      </x:c>
      <x:c r="J25" s="61"/>
      <x:c r="K25" s="61"/>
      <x:c r="L25" s="61"/>
      <x:c r="M25" s="61"/>
      <x:c r="N25" s="61"/>
    </x:row>
    <x:row r="26" ht="15" hidden="0">
      <x:c r="A26" s="56" t="str">
        <x:f aca="0">IFERROR(INDEX('11_Task_Data'!$C$6:$C$605,MATCH($B$6&amp;TEXT(4,"00"),'11_Task_Data'!$P$6:$P$605,0)),"")</x:f>
        <x:v>Build / execution</x:v>
      </x:c>
      <x:c r="B26" s="56" t="str">
        <x:f aca="0">IFERROR(INDEX('11_Task_Data'!$D$6:$D$605,MATCH($B$6&amp;TEXT(4,"00"),'11_Task_Data'!$P$6:$P$605,0)),"")</x:f>
        <x:v>Vivek</x:v>
      </x:c>
      <x:c r="C26" s="56" t="str">
        <x:f aca="0">IFERROR(INDEX('11_Task_Data'!$F$6:$F$605,MATCH($B$6&amp;TEXT(4,"00"),'11_Task_Data'!$P$6:$P$605,0)),"")</x:f>
        <x:v>Critical</x:v>
      </x:c>
      <x:c r="D26" s="57" t="str">
        <x:f aca="0">IFERROR(INDEX('11_Task_Data'!$J$6:$J$605,MATCH($B$6&amp;TEXT(4,"00"),'11_Task_Data'!$P$6:$P$605,0)),"")</x:f>
        <x:v>In Progress</x:v>
      </x:c>
      <x:c r="E26" s="58" t="n">
        <x:f aca="0">IFERROR(INDEX('11_Task_Data'!$I$6:$I$605,MATCH($B$6&amp;TEXT(4,"00"),'11_Task_Data'!$P$6:$P$605,0)),"")</x:f>
        <x:v>69</x:v>
      </x:c>
      <x:c r="F26" s="59" t="str">
        <x:f aca="0">IFERROR(INDEX('11_Task_Data'!$K$6:$K$605,MATCH($B$6&amp;TEXT(4,"00"),'11_Task_Data'!$P$6:$P$605,0)),"")</x:f>
      </x:c>
      <x:c r="G26" s="56" t="str">
        <x:f aca="0">IFERROR(INDEX('11_Task_Data'!$L$6:$L$605,MATCH($B$6&amp;TEXT(4,"00"),'11_Task_Data'!$P$6:$P$605,0)),"")</x:f>
        <x:v>NO</x:v>
      </x:c>
      <x:c r="H26" s="60" t="n">
        <x:f aca="0">IFERROR(INDEX('11_Task_Data'!$H$6:$H$605,MATCH($B$6&amp;TEXT(4,"00"),'11_Task_Data'!$P$6:$P$605,0)),"")</x:f>
        <x:v>46270</x:v>
      </x:c>
      <x:c r="I26" s="56" t="n">
        <x:f aca="0">IFERROR(INDEX('11_Task_Data'!$N$6:$N$605,MATCH($B$6&amp;TEXT(4,"00"),'11_Task_Data'!$P$6:$P$605,0)),"")</x:f>
        <x:v>105</x:v>
      </x:c>
      <x:c r="J26" s="61"/>
      <x:c r="K26" s="61"/>
      <x:c r="L26" s="61"/>
      <x:c r="M26" s="61"/>
      <x:c r="N26" s="61"/>
    </x:row>
    <x:row r="27" ht="15" hidden="0">
      <x:c r="A27" s="56" t="str">
        <x:f aca="0">IFERROR(INDEX('11_Task_Data'!$C$6:$C$605,MATCH($B$6&amp;TEXT(5,"00"),'11_Task_Data'!$P$6:$P$605,0)),"")</x:f>
        <x:v>Testing / validation</x:v>
      </x:c>
      <x:c r="B27" s="56" t="str">
        <x:f aca="0">IFERROR(INDEX('11_Task_Data'!$D$6:$D$605,MATCH($B$6&amp;TEXT(5,"00"),'11_Task_Data'!$P$6:$P$605,0)),"")</x:f>
        <x:v>Ritu</x:v>
      </x:c>
      <x:c r="C27" s="56" t="str">
        <x:f aca="0">IFERROR(INDEX('11_Task_Data'!$F$6:$F$605,MATCH($B$6&amp;TEXT(5,"00"),'11_Task_Data'!$P$6:$P$605,0)),"")</x:f>
        <x:v>Critical</x:v>
      </x:c>
      <x:c r="D27" s="57" t="str">
        <x:f aca="0">IFERROR(INDEX('11_Task_Data'!$J$6:$J$605,MATCH($B$6&amp;TEXT(5,"00"),'11_Task_Data'!$P$6:$P$605,0)),"")</x:f>
        <x:v>In Progress</x:v>
      </x:c>
      <x:c r="E27" s="58" t="n">
        <x:f aca="0">IFERROR(INDEX('11_Task_Data'!$I$6:$I$605,MATCH($B$6&amp;TEXT(5,"00"),'11_Task_Data'!$P$6:$P$605,0)),"")</x:f>
        <x:v>48</x:v>
      </x:c>
      <x:c r="F27" s="59" t="str">
        <x:f aca="0">IFERROR(INDEX('11_Task_Data'!$K$6:$K$605,MATCH($B$6&amp;TEXT(5,"00"),'11_Task_Data'!$P$6:$P$605,0)),"")</x:f>
        <x:v>Awaiting clarification</x:v>
      </x:c>
      <x:c r="G27" s="56" t="str">
        <x:f aca="0">IFERROR(INDEX('11_Task_Data'!$L$6:$L$605,MATCH($B$6&amp;TEXT(5,"00"),'11_Task_Data'!$P$6:$P$605,0)),"")</x:f>
        <x:v>NO</x:v>
      </x:c>
      <x:c r="H27" s="60" t="n">
        <x:f aca="0">IFERROR(INDEX('11_Task_Data'!$H$6:$H$605,MATCH($B$6&amp;TEXT(5,"00"),'11_Task_Data'!$P$6:$P$605,0)),"")</x:f>
        <x:v>46271</x:v>
      </x:c>
      <x:c r="I27" s="56" t="n">
        <x:f aca="0">IFERROR(INDEX('11_Task_Data'!$N$6:$N$605,MATCH($B$6&amp;TEXT(5,"00"),'11_Task_Data'!$P$6:$P$605,0)),"")</x:f>
        <x:v>31</x:v>
      </x:c>
      <x:c r="J27" s="61"/>
      <x:c r="K27" s="61"/>
      <x:c r="L27" s="61"/>
      <x:c r="M27" s="61"/>
      <x:c r="N27" s="61"/>
    </x:row>
    <x:row r="28" ht="15" hidden="0">
      <x:c r="A28" s="56" t="str">
        <x:f aca="0">IFERROR(INDEX('11_Task_Data'!$C$6:$C$605,MATCH($B$6&amp;TEXT(6,"00"),'11_Task_Data'!$P$6:$P$605,0)),"")</x:f>
        <x:v>Customer acceptance</x:v>
      </x:c>
      <x:c r="B28" s="56" t="str">
        <x:f aca="0">IFERROR(INDEX('11_Task_Data'!$D$6:$D$605,MATCH($B$6&amp;TEXT(6,"00"),'11_Task_Data'!$P$6:$P$605,0)),"")</x:f>
        <x:v>Sanjay</x:v>
      </x:c>
      <x:c r="C28" s="56" t="str">
        <x:f aca="0">IFERROR(INDEX('11_Task_Data'!$F$6:$F$605,MATCH($B$6&amp;TEXT(6,"00"),'11_Task_Data'!$P$6:$P$605,0)),"")</x:f>
        <x:v>Medium</x:v>
      </x:c>
      <x:c r="D28" s="57" t="str">
        <x:f aca="0">IFERROR(INDEX('11_Task_Data'!$J$6:$J$605,MATCH($B$6&amp;TEXT(6,"00"),'11_Task_Data'!$P$6:$P$605,0)),"")</x:f>
        <x:v>In Progress</x:v>
      </x:c>
      <x:c r="E28" s="58" t="n">
        <x:f aca="0">IFERROR(INDEX('11_Task_Data'!$I$6:$I$605,MATCH($B$6&amp;TEXT(6,"00"),'11_Task_Data'!$P$6:$P$605,0)),"")</x:f>
        <x:v>72</x:v>
      </x:c>
      <x:c r="F28" s="59" t="str">
        <x:f aca="0">IFERROR(INDEX('11_Task_Data'!$K$6:$K$605,MATCH($B$6&amp;TEXT(6,"00"),'11_Task_Data'!$P$6:$P$605,0)),"")</x:f>
      </x:c>
      <x:c r="G28" s="56" t="str">
        <x:f aca="0">IFERROR(INDEX('11_Task_Data'!$L$6:$L$605,MATCH($B$6&amp;TEXT(6,"00"),'11_Task_Data'!$P$6:$P$605,0)),"")</x:f>
        <x:v>NO</x:v>
      </x:c>
      <x:c r="H28" s="60" t="n">
        <x:f aca="0">IFERROR(INDEX('11_Task_Data'!$H$6:$H$605,MATCH($B$6&amp;TEXT(6,"00"),'11_Task_Data'!$P$6:$P$605,0)),"")</x:f>
        <x:v>46296</x:v>
      </x:c>
      <x:c r="I28" s="56" t="n">
        <x:f aca="0">IFERROR(INDEX('11_Task_Data'!$N$6:$N$605,MATCH($B$6&amp;TEXT(6,"00"),'11_Task_Data'!$P$6:$P$605,0)),"")</x:f>
        <x:v>22</x:v>
      </x:c>
      <x:c r="J28" s="61"/>
      <x:c r="K28" s="61"/>
      <x:c r="L28" s="61"/>
      <x:c r="M28" s="61"/>
      <x:c r="N28" s="61"/>
    </x:row>
  </x:sheetData>
  <x:mergeCells>
    <x:mergeCell ref="A1:N1"/>
    <x:mergeCell ref="A2:N2"/>
    <x:mergeCell ref="A8:C8"/>
    <x:mergeCell ref="D8:F8"/>
    <x:mergeCell ref="G8:I8"/>
    <x:mergeCell ref="J8:L8"/>
    <x:mergeCell ref="A9:C9"/>
    <x:mergeCell ref="D9:F9"/>
    <x:mergeCell ref="G9:I9"/>
    <x:mergeCell ref="J9:L9"/>
    <x:mergeCell ref="A12:B12"/>
    <x:mergeCell ref="C12:D12"/>
    <x:mergeCell ref="E12:F12"/>
    <x:mergeCell ref="G12:H12"/>
    <x:mergeCell ref="I12:J12"/>
    <x:mergeCell ref="K12:L12"/>
    <x:mergeCell ref="A13:B14"/>
    <x:mergeCell ref="C13:D14"/>
    <x:mergeCell ref="E13:F14"/>
    <x:mergeCell ref="G13:H14"/>
    <x:mergeCell ref="I13:J14"/>
    <x:mergeCell ref="K13:L14"/>
    <x:mergeCell ref="A17:N17"/>
    <x:mergeCell ref="A18:N19"/>
    <x:mergeCell ref="A21:I21"/>
    <x:mergeCell ref="J21:N21"/>
    <x:mergeCell ref="J22:N22"/>
    <x:mergeCell ref="J23:N28"/>
  </x:mergeCells>
  <x:dataValidations count="1">
    <x:dataValidation type="list" errorStyle="stop" operator="between" allowBlank="0" showDropDown="0" showInputMessage="0" showErrorMessage="0" sqref="B6">
      <x:formula1>10_Project_Data!$A$6:$A$105</x:formula1>
      <x:formula2>0</x:formula2>
    </x:dataValidation>
  </x:dataValidations>
  <x:hyperlinks>
    <x:hyperlink xmlns:r="http://schemas.openxmlformats.org/officeDocument/2006/relationships" ref="A4" r:id="R98674a7b0edc44ad"/>
    <x:hyperlink xmlns:r="http://schemas.openxmlformats.org/officeDocument/2006/relationships" ref="B4" r:id="R2d97f4d902fe4169"/>
    <x:hyperlink xmlns:r="http://schemas.openxmlformats.org/officeDocument/2006/relationships" ref="C4" r:id="R6e153b6ea3ea422e"/>
    <x:hyperlink xmlns:r="http://schemas.openxmlformats.org/officeDocument/2006/relationships" ref="D4" r:id="R98d828b93b7b4e13"/>
    <x:hyperlink xmlns:r="http://schemas.openxmlformats.org/officeDocument/2006/relationships" ref="E4" r:id="R9e3bdb49a2904df3"/>
    <x:hyperlink xmlns:r="http://schemas.openxmlformats.org/officeDocument/2006/relationships" ref="F4" r:id="Rc8fb16ff8e3744c6"/>
    <x:hyperlink xmlns:r="http://schemas.openxmlformats.org/officeDocument/2006/relationships" ref="G4" r:id="R3845888a9faf47c7"/>
    <x:hyperlink xmlns:r="http://schemas.openxmlformats.org/officeDocument/2006/relationships" ref="H4" r:id="Rbcc348588bcb4e77"/>
    <x:hyperlink xmlns:r="http://schemas.openxmlformats.org/officeDocument/2006/relationships" ref="I4" r:id="Rf3709268a1574eaa"/>
    <x:hyperlink xmlns:r="http://schemas.openxmlformats.org/officeDocument/2006/relationships" ref="J4" r:id="R71675f44817849f1"/>
    <x:hyperlink xmlns:r="http://schemas.openxmlformats.org/officeDocument/2006/relationships" ref="K4" r:id="Ra7eca79803444751"/>
    <x:hyperlink xmlns:r="http://schemas.openxmlformats.org/officeDocument/2006/relationships" ref="L4" r:id="R13144a6e059f4e75"/>
    <x:hyperlink xmlns:r="http://schemas.openxmlformats.org/officeDocument/2006/relationships" ref="M4" r:id="Ra7ad59091fd64497"/>
  </x:hyperlinks>
  <x:pageMargins left="0.7" right="0.7" top="0.75" bottom="0.75" header="0.3" footer="0.3"/>
  <x:drawing xmlns:r="http://schemas.openxmlformats.org/officeDocument/2006/relationships" r:id="R8d73b785b06a421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4" hidden="0" customWidth="1"/>
    <x:col min="3" max="4" width="15" hidden="0" customWidth="1"/>
    <x:col min="5" max="6" width="14" hidden="0" customWidth="1"/>
    <x:col min="7" max="7" width="16" hidden="0" customWidth="1"/>
    <x:col min="8" max="9" width="18" hidden="0" customWidth="1"/>
    <x:col min="10" max="14" width="16" hidden="0" customWidth="1"/>
  </x:cols>
  <x:sheetData>
    <x:row r="1" ht="32" hidden="0" customHeight="1">
      <x:c r="A1" s="309" t="s">
        <x:v>345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09"/>
      <x:c r="N1" s="309"/>
    </x:row>
    <x:row r="2" ht="22" hidden="0" customHeight="1">
      <x:c r="A2" s="209" t="s">
        <x:v>346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09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6" ht="15" hidden="0">
      <x:c r="A6" s="23" t="s">
        <x:v>329</x:v>
      </x:c>
      <x:c r="B6" s="62" t="s">
        <x:v>264</x:v>
      </x:c>
    </x:row>
    <x:row r="8" ht="15" hidden="0">
      <x:c r="A8" s="7" t="s">
        <x:v>347</x:v>
      </x:c>
      <x:c r="B8" s="7"/>
      <x:c r="C8" s="7"/>
      <x:c r="D8" s="7" t="s">
        <x:v>348</x:v>
      </x:c>
      <x:c r="E8" s="7"/>
      <x:c r="F8" s="7"/>
      <x:c r="G8" s="7" t="s">
        <x:v>349</x:v>
      </x:c>
      <x:c r="H8" s="7"/>
      <x:c r="I8" s="7"/>
      <x:c r="J8" s="7" t="s">
        <x:v>350</x:v>
      </x:c>
      <x:c r="K8" s="7"/>
      <x:c r="L8" s="7"/>
    </x:row>
    <x:row r="9" ht="27.75" hidden="0" customHeight="1">
      <x:c r="A9" s="52" t="n">
        <x:f aca="0">SUMPRODUCT(('11_Task_Data'!$A$6:$A$605=$B$6)*('11_Task_Data'!$K$6:$K$605&lt;&gt;""))</x:f>
        <x:v>1</x:v>
      </x:c>
      <x:c r="B9" s="52"/>
      <x:c r="C9" s="52"/>
      <x:c r="D9" s="63" t="n">
        <x:f aca="0">SUMPRODUCT(('11_Task_Data'!$A$6:$A$605=$B$6)*('11_Task_Data'!$L$6:$L$605="YES"))</x:f>
        <x:v>0</x:v>
      </x:c>
      <x:c r="E9" s="63"/>
      <x:c r="F9" s="63"/>
      <x:c r="G9" s="52" t="n">
        <x:f aca="1">SUMPRODUCT(('11_Task_Data'!$A$6:$A$605=$B$6)*('11_Task_Data'!$H$6:$H$605&lt;TODAY())*('11_Task_Data'!$I$6:$I$605&lt;100))</x:f>
        <x:v>5</x:v>
      </x:c>
      <x:c r="H9" s="52"/>
      <x:c r="I9" s="52"/>
      <x:c r="J9" s="38" t="n">
        <x:f aca="0">AVERAGEIF('11_Task_Data'!$A$6:$A$605,$B$6,'11_Task_Data'!$I$6:$I$605)</x:f>
        <x:v>65.16666666666667</x:v>
      </x:c>
      <x:c r="K9" s="38"/>
      <x:c r="L9" s="38"/>
    </x:row>
    <x:row r="10" ht="15" hidden="0">
      <x:c r="A10" s="52"/>
      <x:c r="B10" s="52"/>
      <x:c r="C10" s="52"/>
      <x:c r="D10" s="63"/>
      <x:c r="E10" s="63"/>
      <x:c r="F10" s="63"/>
      <x:c r="G10" s="52"/>
      <x:c r="H10" s="52"/>
      <x:c r="I10" s="52"/>
      <x:c r="J10" s="38"/>
      <x:c r="K10" s="38"/>
      <x:c r="L10" s="38"/>
    </x:row>
    <x:row r="13" ht="21" hidden="0" customHeight="1">
      <x:c r="A13" s="15" t="s">
        <x:v>351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</x:row>
    <x:row r="14" ht="28.350000381469727" hidden="0">
      <x:c r="A14" s="30" t="s">
        <x:v>336</x:v>
      </x:c>
      <x:c r="B14" s="30" t="s">
        <x:v>337</x:v>
      </x:c>
      <x:c r="C14" s="30" t="s">
        <x:v>352</x:v>
      </x:c>
      <x:c r="D14" s="30" t="s">
        <x:v>338</x:v>
      </x:c>
      <x:c r="E14" s="30" t="s">
        <x:v>342</x:v>
      </x:c>
      <x:c r="F14" s="30" t="s">
        <x:v>76</x:v>
      </x:c>
      <x:c r="G14" s="30" t="s">
        <x:v>340</x:v>
      </x:c>
      <x:c r="H14" s="30" t="s">
        <x:v>341</x:v>
      </x:c>
      <x:c r="I14" s="30" t="s">
        <x:v>353</x:v>
      </x:c>
      <x:c r="J14" s="30" t="s">
        <x:v>343</x:v>
      </x:c>
      <x:c r="K14" s="30" t="s">
        <x:v>354</x:v>
      </x:c>
      <x:c r="L14" s="30" t="s">
        <x:v>355</x:v>
      </x:c>
      <x:c r="M14" s="30" t="s">
        <x:v>339</x:v>
      </x:c>
      <x:c r="N14" s="30" t="s">
        <x:v>356</x:v>
      </x:c>
    </x:row>
    <x:row r="15" ht="15" hidden="0">
      <x:c r="A15" t="str">
        <x:f aca="0">IFERROR(INDEX('11_Task_Data'!$C$6:$C$605,MATCH($B$6&amp;"O"&amp;1,'11_Task_Data'!$Q$6:$Q$605,0)),"")</x:f>
        <x:v>Requirements &amp; scope freeze</x:v>
      </x:c>
      <x:c r="B15" t="str">
        <x:f aca="0">IFERROR(INDEX('11_Task_Data'!$D$6:$D$605,MATCH($B$6&amp;"O"&amp;1,'11_Task_Data'!$Q$6:$Q$605,0)),"")</x:f>
        <x:v>Rahul</x:v>
      </x:c>
      <x:c r="C15" t="str">
        <x:f aca="0">IFERROR(INDEX('11_Task_Data'!$E$6:$E$605,MATCH($B$6&amp;"O"&amp;1,'11_Task_Data'!$Q$6:$Q$605,0)),"")</x:f>
        <x:v>Vivek</x:v>
      </x:c>
      <x:c r="D15" t="str">
        <x:f aca="0">IFERROR(INDEX('11_Task_Data'!$F$6:$F$605,MATCH($B$6&amp;"O"&amp;1,'11_Task_Data'!$Q$6:$Q$605,0)),"")</x:f>
        <x:v>High</x:v>
      </x:c>
      <x:c r="E15" s="64" t="n">
        <x:f aca="0">IFERROR(INDEX('11_Task_Data'!$H$6:$H$605,MATCH($B$6&amp;"O"&amp;1,'11_Task_Data'!$Q$6:$Q$605,0)),"")</x:f>
        <x:v>46226</x:v>
      </x:c>
      <x:c r="F15" s="65" t="n">
        <x:f aca="0">IFERROR(INDEX('11_Task_Data'!$I$6:$I$605,MATCH($B$6&amp;"O"&amp;1,'11_Task_Data'!$Q$6:$Q$605,0)),"")</x:f>
        <x:v>63</x:v>
      </x:c>
      <x:c r="G15" t="str">
        <x:f aca="0">IFERROR(INDEX('11_Task_Data'!$K$6:$K$605,MATCH($B$6&amp;"O"&amp;1,'11_Task_Data'!$Q$6:$Q$605,0)),"")</x:f>
      </x:c>
      <x:c r="H15" t="str">
        <x:f aca="0">IFERROR(INDEX('11_Task_Data'!$L$6:$L$605,MATCH($B$6&amp;"O"&amp;1,'11_Task_Data'!$Q$6:$Q$605,0)),"")</x:f>
        <x:v>NO</x:v>
      </x:c>
      <x:c r="I15" t="n">
        <x:f aca="0">IFERROR(INDEX('11_Task_Data'!$M$6:$M$605,MATCH($B$6&amp;"O"&amp;1,'11_Task_Data'!$Q$6:$Q$605,0)),"")</x:f>
        <x:v>21</x:v>
      </x:c>
      <x:c r="J15" t="n">
        <x:f aca="0">IFERROR(INDEX('11_Task_Data'!$N$6:$N$605,MATCH($B$6&amp;"O"&amp;1,'11_Task_Data'!$Q$6:$Q$605,0)),"")</x:f>
        <x:v>78</x:v>
      </x:c>
      <x:c r="K15" t="n">
        <x:f aca="0">IFERROR(J15-I15,"")</x:f>
        <x:v>57</x:v>
      </x:c>
      <x:c r="L15" s="66" t="str">
        <x:f aca="1">IF(H15="YES","ESCALATE",IF(G15&lt;&gt;"","RESOLVE BLOCKER",IF(E15&lt;TODAY(),"RECOVER DATE","CONTINUE")))</x:f>
        <x:v>RECOVER DATE</x:v>
      </x:c>
      <x:c r="M15" t="str">
        <x:f aca="0">IFERROR(INDEX('11_Task_Data'!$J$6:$J$605,MATCH($B$6&amp;"O"&amp;1,'11_Task_Data'!$Q$6:$Q$605,0)),"")</x:f>
        <x:v>In Progress</x:v>
      </x:c>
      <x:c r="N15" s="64" t="n">
        <x:f aca="0">IFERROR(INDEX('11_Task_Data'!$O$6:$O$605,MATCH($B$6&amp;"O"&amp;1,'11_Task_Data'!$Q$6:$Q$605,0)),"")</x:f>
        <x:v>46274</x:v>
      </x:c>
    </x:row>
    <x:row r="16" ht="15" hidden="0">
      <x:c r="A16" t="str">
        <x:f aca="0">IFERROR(INDEX('11_Task_Data'!$C$6:$C$605,MATCH($B$6&amp;"O"&amp;2,'11_Task_Data'!$Q$6:$Q$605,0)),"")</x:f>
        <x:v>Design / solution</x:v>
      </x:c>
      <x:c r="B16" t="str">
        <x:f aca="0">IFERROR(INDEX('11_Task_Data'!$D$6:$D$605,MATCH($B$6&amp;"O"&amp;2,'11_Task_Data'!$Q$6:$Q$605,0)),"")</x:f>
        <x:v>Karan</x:v>
      </x:c>
      <x:c r="C16" t="str">
        <x:f aca="0">IFERROR(INDEX('11_Task_Data'!$E$6:$E$605,MATCH($B$6&amp;"O"&amp;2,'11_Task_Data'!$Q$6:$Q$605,0)),"")</x:f>
        <x:v>Ritu</x:v>
      </x:c>
      <x:c r="D16" t="str">
        <x:f aca="0">IFERROR(INDEX('11_Task_Data'!$F$6:$F$605,MATCH($B$6&amp;"O"&amp;2,'11_Task_Data'!$Q$6:$Q$605,0)),"")</x:f>
        <x:v>High</x:v>
      </x:c>
      <x:c r="E16" s="64" t="n">
        <x:f aca="0">IFERROR(INDEX('11_Task_Data'!$H$6:$H$605,MATCH($B$6&amp;"O"&amp;2,'11_Task_Data'!$Q$6:$Q$605,0)),"")</x:f>
        <x:v>46238</x:v>
      </x:c>
      <x:c r="F16" s="65" t="n">
        <x:f aca="0">IFERROR(INDEX('11_Task_Data'!$I$6:$I$605,MATCH($B$6&amp;"O"&amp;2,'11_Task_Data'!$Q$6:$Q$605,0)),"")</x:f>
        <x:v>68</x:v>
      </x:c>
      <x:c r="G16" t="str">
        <x:f aca="0">IFERROR(INDEX('11_Task_Data'!$K$6:$K$605,MATCH($B$6&amp;"O"&amp;2,'11_Task_Data'!$Q$6:$Q$605,0)),"")</x:f>
      </x:c>
      <x:c r="H16" t="str">
        <x:f aca="0">IFERROR(INDEX('11_Task_Data'!$L$6:$L$605,MATCH($B$6&amp;"O"&amp;2,'11_Task_Data'!$Q$6:$Q$605,0)),"")</x:f>
        <x:v>NO</x:v>
      </x:c>
      <x:c r="I16" t="n">
        <x:f aca="0">IFERROR(INDEX('11_Task_Data'!$M$6:$M$605,MATCH($B$6&amp;"O"&amp;2,'11_Task_Data'!$Q$6:$Q$605,0)),"")</x:f>
        <x:v>80</x:v>
      </x:c>
      <x:c r="J16" t="n">
        <x:f aca="0">IFERROR(INDEX('11_Task_Data'!$N$6:$N$605,MATCH($B$6&amp;"O"&amp;2,'11_Task_Data'!$Q$6:$Q$605,0)),"")</x:f>
        <x:v>83</x:v>
      </x:c>
      <x:c r="K16" t="n">
        <x:f aca="0">IFERROR(J16-I16,"")</x:f>
        <x:v>3</x:v>
      </x:c>
      <x:c r="L16" s="66" t="str">
        <x:f aca="1">IF(H16="YES","ESCALATE",IF(G16&lt;&gt;"","RESOLVE BLOCKER",IF(E16&lt;TODAY(),"RECOVER DATE","CONTINUE")))</x:f>
        <x:v>RECOVER DATE</x:v>
      </x:c>
      <x:c r="M16" t="str">
        <x:f aca="0">IFERROR(INDEX('11_Task_Data'!$J$6:$J$605,MATCH($B$6&amp;"O"&amp;2,'11_Task_Data'!$Q$6:$Q$605,0)),"")</x:f>
        <x:v>In Progress</x:v>
      </x:c>
      <x:c r="N16" s="64" t="n">
        <x:f aca="0">IFERROR(INDEX('11_Task_Data'!$O$6:$O$605,MATCH($B$6&amp;"O"&amp;2,'11_Task_Data'!$Q$6:$Q$605,0)),"")</x:f>
        <x:v>46274</x:v>
      </x:c>
    </x:row>
    <x:row r="17" ht="15" hidden="0">
      <x:c r="A17" t="str">
        <x:f aca="0">IFERROR(INDEX('11_Task_Data'!$C$6:$C$605,MATCH($B$6&amp;"O"&amp;3,'11_Task_Data'!$Q$6:$Q$605,0)),"")</x:f>
        <x:v>BOM / commercial approval</x:v>
      </x:c>
      <x:c r="B17" t="str">
        <x:f aca="0">IFERROR(INDEX('11_Task_Data'!$D$6:$D$605,MATCH($B$6&amp;"O"&amp;3,'11_Task_Data'!$Q$6:$Q$605,0)),"")</x:f>
        <x:v>Meera</x:v>
      </x:c>
      <x:c r="C17" t="str">
        <x:f aca="0">IFERROR(INDEX('11_Task_Data'!$E$6:$E$605,MATCH($B$6&amp;"O"&amp;3,'11_Task_Data'!$Q$6:$Q$605,0)),"")</x:f>
        <x:v>Sanjay</x:v>
      </x:c>
      <x:c r="D17" t="str">
        <x:f aca="0">IFERROR(INDEX('11_Task_Data'!$F$6:$F$605,MATCH($B$6&amp;"O"&amp;3,'11_Task_Data'!$Q$6:$Q$605,0)),"")</x:f>
        <x:v>Critical</x:v>
      </x:c>
      <x:c r="E17" s="64" t="n">
        <x:f aca="0">IFERROR(INDEX('11_Task_Data'!$H$6:$H$605,MATCH($B$6&amp;"O"&amp;3,'11_Task_Data'!$Q$6:$Q$605,0)),"")</x:f>
        <x:v>46248</x:v>
      </x:c>
      <x:c r="F17" s="65" t="n">
        <x:f aca="0">IFERROR(INDEX('11_Task_Data'!$I$6:$I$605,MATCH($B$6&amp;"O"&amp;3,'11_Task_Data'!$Q$6:$Q$605,0)),"")</x:f>
        <x:v>71</x:v>
      </x:c>
      <x:c r="G17" t="str">
        <x:f aca="0">IFERROR(INDEX('11_Task_Data'!$K$6:$K$605,MATCH($B$6&amp;"O"&amp;3,'11_Task_Data'!$Q$6:$Q$605,0)),"")</x:f>
      </x:c>
      <x:c r="H17" t="str">
        <x:f aca="0">IFERROR(INDEX('11_Task_Data'!$L$6:$L$605,MATCH($B$6&amp;"O"&amp;3,'11_Task_Data'!$Q$6:$Q$605,0)),"")</x:f>
        <x:v>NO</x:v>
      </x:c>
      <x:c r="I17" t="n">
        <x:f aca="0">IFERROR(INDEX('11_Task_Data'!$M$6:$M$605,MATCH($B$6&amp;"O"&amp;3,'11_Task_Data'!$Q$6:$Q$605,0)),"")</x:f>
        <x:v>42</x:v>
      </x:c>
      <x:c r="J17" t="n">
        <x:f aca="0">IFERROR(INDEX('11_Task_Data'!$N$6:$N$605,MATCH($B$6&amp;"O"&amp;3,'11_Task_Data'!$Q$6:$Q$605,0)),"")</x:f>
        <x:v>22</x:v>
      </x:c>
      <x:c r="K17" t="n">
        <x:f aca="0">IFERROR(J17-I17,"")</x:f>
        <x:v>-20</x:v>
      </x:c>
      <x:c r="L17" s="66" t="str">
        <x:f aca="1">IF(H17="YES","ESCALATE",IF(G17&lt;&gt;"","RESOLVE BLOCKER",IF(E17&lt;TODAY(),"RECOVER DATE","CONTINUE")))</x:f>
        <x:v>RECOVER DATE</x:v>
      </x:c>
      <x:c r="M17" t="str">
        <x:f aca="0">IFERROR(INDEX('11_Task_Data'!$J$6:$J$605,MATCH($B$6&amp;"O"&amp;3,'11_Task_Data'!$Q$6:$Q$605,0)),"")</x:f>
        <x:v>In Progress</x:v>
      </x:c>
      <x:c r="N17" s="64" t="n">
        <x:f aca="0">IFERROR(INDEX('11_Task_Data'!$O$6:$O$605,MATCH($B$6&amp;"O"&amp;3,'11_Task_Data'!$Q$6:$Q$605,0)),"")</x:f>
        <x:v>46274</x:v>
      </x:c>
    </x:row>
    <x:row r="18" ht="15" hidden="0">
      <x:c r="A18" t="str">
        <x:f aca="0">IFERROR(INDEX('11_Task_Data'!$C$6:$C$605,MATCH($B$6&amp;"O"&amp;4,'11_Task_Data'!$Q$6:$Q$605,0)),"")</x:f>
        <x:v>Build / execution</x:v>
      </x:c>
      <x:c r="B18" t="str">
        <x:f aca="0">IFERROR(INDEX('11_Task_Data'!$D$6:$D$605,MATCH($B$6&amp;"O"&amp;4,'11_Task_Data'!$Q$6:$Q$605,0)),"")</x:f>
        <x:v>Vivek</x:v>
      </x:c>
      <x:c r="C18" t="str">
        <x:f aca="0">IFERROR(INDEX('11_Task_Data'!$E$6:$E$605,MATCH($B$6&amp;"O"&amp;4,'11_Task_Data'!$Q$6:$Q$605,0)),"")</x:f>
        <x:v>Anil</x:v>
      </x:c>
      <x:c r="D18" t="str">
        <x:f aca="0">IFERROR(INDEX('11_Task_Data'!$F$6:$F$605,MATCH($B$6&amp;"O"&amp;4,'11_Task_Data'!$Q$6:$Q$605,0)),"")</x:f>
        <x:v>Critical</x:v>
      </x:c>
      <x:c r="E18" s="64" t="n">
        <x:f aca="0">IFERROR(INDEX('11_Task_Data'!$H$6:$H$605,MATCH($B$6&amp;"O"&amp;4,'11_Task_Data'!$Q$6:$Q$605,0)),"")</x:f>
        <x:v>46270</x:v>
      </x:c>
      <x:c r="F18" s="65" t="n">
        <x:f aca="0">IFERROR(INDEX('11_Task_Data'!$I$6:$I$605,MATCH($B$6&amp;"O"&amp;4,'11_Task_Data'!$Q$6:$Q$605,0)),"")</x:f>
        <x:v>69</x:v>
      </x:c>
      <x:c r="G18" t="str">
        <x:f aca="0">IFERROR(INDEX('11_Task_Data'!$K$6:$K$605,MATCH($B$6&amp;"O"&amp;4,'11_Task_Data'!$Q$6:$Q$605,0)),"")</x:f>
      </x:c>
      <x:c r="H18" t="str">
        <x:f aca="0">IFERROR(INDEX('11_Task_Data'!$L$6:$L$605,MATCH($B$6&amp;"O"&amp;4,'11_Task_Data'!$Q$6:$Q$605,0)),"")</x:f>
        <x:v>NO</x:v>
      </x:c>
      <x:c r="I18" t="n">
        <x:f aca="0">IFERROR(INDEX('11_Task_Data'!$M$6:$M$605,MATCH($B$6&amp;"O"&amp;4,'11_Task_Data'!$Q$6:$Q$605,0)),"")</x:f>
        <x:v>25</x:v>
      </x:c>
      <x:c r="J18" t="n">
        <x:f aca="0">IFERROR(INDEX('11_Task_Data'!$N$6:$N$605,MATCH($B$6&amp;"O"&amp;4,'11_Task_Data'!$Q$6:$Q$605,0)),"")</x:f>
        <x:v>105</x:v>
      </x:c>
      <x:c r="K18" t="n">
        <x:f aca="0">IFERROR(J18-I18,"")</x:f>
        <x:v>80</x:v>
      </x:c>
      <x:c r="L18" s="66" t="str">
        <x:f aca="1">IF(H18="YES","ESCALATE",IF(G18&lt;&gt;"","RESOLVE BLOCKER",IF(E18&lt;TODAY(),"RECOVER DATE","CONTINUE")))</x:f>
        <x:v>RECOVER DATE</x:v>
      </x:c>
      <x:c r="M18" t="str">
        <x:f aca="0">IFERROR(INDEX('11_Task_Data'!$J$6:$J$605,MATCH($B$6&amp;"O"&amp;4,'11_Task_Data'!$Q$6:$Q$605,0)),"")</x:f>
        <x:v>In Progress</x:v>
      </x:c>
      <x:c r="N18" s="64" t="n">
        <x:f aca="0">IFERROR(INDEX('11_Task_Data'!$O$6:$O$605,MATCH($B$6&amp;"O"&amp;4,'11_Task_Data'!$Q$6:$Q$605,0)),"")</x:f>
        <x:v>46274</x:v>
      </x:c>
    </x:row>
    <x:row r="19" ht="15" hidden="0">
      <x:c r="A19" t="str">
        <x:f aca="0">IFERROR(INDEX('11_Task_Data'!$C$6:$C$605,MATCH($B$6&amp;"O"&amp;5,'11_Task_Data'!$Q$6:$Q$605,0)),"")</x:f>
        <x:v>Testing / validation</x:v>
      </x:c>
      <x:c r="B19" t="str">
        <x:f aca="0">IFERROR(INDEX('11_Task_Data'!$D$6:$D$605,MATCH($B$6&amp;"O"&amp;5,'11_Task_Data'!$Q$6:$Q$605,0)),"")</x:f>
        <x:v>Ritu</x:v>
      </x:c>
      <x:c r="C19" t="str">
        <x:f aca="0">IFERROR(INDEX('11_Task_Data'!$E$6:$E$605,MATCH($B$6&amp;"O"&amp;5,'11_Task_Data'!$Q$6:$Q$605,0)),"")</x:f>
        <x:v>Kavya</x:v>
      </x:c>
      <x:c r="D19" t="str">
        <x:f aca="0">IFERROR(INDEX('11_Task_Data'!$F$6:$F$605,MATCH($B$6&amp;"O"&amp;5,'11_Task_Data'!$Q$6:$Q$605,0)),"")</x:f>
        <x:v>Critical</x:v>
      </x:c>
      <x:c r="E19" s="64" t="n">
        <x:f aca="0">IFERROR(INDEX('11_Task_Data'!$H$6:$H$605,MATCH($B$6&amp;"O"&amp;5,'11_Task_Data'!$Q$6:$Q$605,0)),"")</x:f>
        <x:v>46271</x:v>
      </x:c>
      <x:c r="F19" s="65" t="n">
        <x:f aca="0">IFERROR(INDEX('11_Task_Data'!$I$6:$I$605,MATCH($B$6&amp;"O"&amp;5,'11_Task_Data'!$Q$6:$Q$605,0)),"")</x:f>
        <x:v>48</x:v>
      </x:c>
      <x:c r="G19" t="str">
        <x:f aca="0">IFERROR(INDEX('11_Task_Data'!$K$6:$K$605,MATCH($B$6&amp;"O"&amp;5,'11_Task_Data'!$Q$6:$Q$605,0)),"")</x:f>
        <x:v>Awaiting clarification</x:v>
      </x:c>
      <x:c r="H19" t="str">
        <x:f aca="0">IFERROR(INDEX('11_Task_Data'!$L$6:$L$605,MATCH($B$6&amp;"O"&amp;5,'11_Task_Data'!$Q$6:$Q$605,0)),"")</x:f>
        <x:v>NO</x:v>
      </x:c>
      <x:c r="I19" t="n">
        <x:f aca="0">IFERROR(INDEX('11_Task_Data'!$M$6:$M$605,MATCH($B$6&amp;"O"&amp;5,'11_Task_Data'!$Q$6:$Q$605,0)),"")</x:f>
        <x:v>42</x:v>
      </x:c>
      <x:c r="J19" t="n">
        <x:f aca="0">IFERROR(INDEX('11_Task_Data'!$N$6:$N$605,MATCH($B$6&amp;"O"&amp;5,'11_Task_Data'!$Q$6:$Q$605,0)),"")</x:f>
        <x:v>31</x:v>
      </x:c>
      <x:c r="K19" t="n">
        <x:f aca="0">IFERROR(J19-I19,"")</x:f>
        <x:v>-11</x:v>
      </x:c>
      <x:c r="L19" s="66" t="str">
        <x:f aca="1">IF(H19="YES","ESCALATE",IF(G19&lt;&gt;"","RESOLVE BLOCKER",IF(E19&lt;TODAY(),"RECOVER DATE","CONTINUE")))</x:f>
        <x:v>RESOLVE BLOCKER</x:v>
      </x:c>
      <x:c r="M19" t="str">
        <x:f aca="0">IFERROR(INDEX('11_Task_Data'!$J$6:$J$605,MATCH($B$6&amp;"O"&amp;5,'11_Task_Data'!$Q$6:$Q$605,0)),"")</x:f>
        <x:v>In Progress</x:v>
      </x:c>
      <x:c r="N19" s="64" t="n">
        <x:f aca="0">IFERROR(INDEX('11_Task_Data'!$O$6:$O$605,MATCH($B$6&amp;"O"&amp;5,'11_Task_Data'!$Q$6:$Q$605,0)),"")</x:f>
        <x:v>46274</x:v>
      </x:c>
    </x:row>
    <x:row r="20" ht="15" hidden="0">
      <x:c r="A20" t="str">
        <x:f aca="0">IFERROR(INDEX('11_Task_Data'!$C$6:$C$605,MATCH($B$6&amp;"O"&amp;6,'11_Task_Data'!$Q$6:$Q$605,0)),"")</x:f>
        <x:v>Customer acceptance</x:v>
      </x:c>
      <x:c r="B20" t="str">
        <x:f aca="0">IFERROR(INDEX('11_Task_Data'!$D$6:$D$605,MATCH($B$6&amp;"O"&amp;6,'11_Task_Data'!$Q$6:$Q$605,0)),"")</x:f>
        <x:v>Sanjay</x:v>
      </x:c>
      <x:c r="C20" t="str">
        <x:f aca="0">IFERROR(INDEX('11_Task_Data'!$E$6:$E$605,MATCH($B$6&amp;"O"&amp;6,'11_Task_Data'!$Q$6:$Q$605,0)),"")</x:f>
        <x:v>Rohan</x:v>
      </x:c>
      <x:c r="D20" t="str">
        <x:f aca="0">IFERROR(INDEX('11_Task_Data'!$F$6:$F$605,MATCH($B$6&amp;"O"&amp;6,'11_Task_Data'!$Q$6:$Q$605,0)),"")</x:f>
        <x:v>Medium</x:v>
      </x:c>
      <x:c r="E20" s="64" t="n">
        <x:f aca="0">IFERROR(INDEX('11_Task_Data'!$H$6:$H$605,MATCH($B$6&amp;"O"&amp;6,'11_Task_Data'!$Q$6:$Q$605,0)),"")</x:f>
        <x:v>46296</x:v>
      </x:c>
      <x:c r="F20" s="65" t="n">
        <x:f aca="0">IFERROR(INDEX('11_Task_Data'!$I$6:$I$605,MATCH($B$6&amp;"O"&amp;6,'11_Task_Data'!$Q$6:$Q$605,0)),"")</x:f>
        <x:v>72</x:v>
      </x:c>
      <x:c r="G20" t="str">
        <x:f aca="0">IFERROR(INDEX('11_Task_Data'!$K$6:$K$605,MATCH($B$6&amp;"O"&amp;6,'11_Task_Data'!$Q$6:$Q$605,0)),"")</x:f>
      </x:c>
      <x:c r="H20" t="str">
        <x:f aca="0">IFERROR(INDEX('11_Task_Data'!$L$6:$L$605,MATCH($B$6&amp;"O"&amp;6,'11_Task_Data'!$Q$6:$Q$605,0)),"")</x:f>
        <x:v>NO</x:v>
      </x:c>
      <x:c r="I20" t="n">
        <x:f aca="0">IFERROR(INDEX('11_Task_Data'!$M$6:$M$605,MATCH($B$6&amp;"O"&amp;6,'11_Task_Data'!$Q$6:$Q$605,0)),"")</x:f>
        <x:v>83</x:v>
      </x:c>
      <x:c r="J20" t="n">
        <x:f aca="0">IFERROR(INDEX('11_Task_Data'!$N$6:$N$605,MATCH($B$6&amp;"O"&amp;6,'11_Task_Data'!$Q$6:$Q$605,0)),"")</x:f>
        <x:v>22</x:v>
      </x:c>
      <x:c r="K20" t="n">
        <x:f aca="0">IFERROR(J20-I20,"")</x:f>
        <x:v>-61</x:v>
      </x:c>
      <x:c r="L20" s="66" t="str">
        <x:f aca="1">IF(H20="YES","ESCALATE",IF(G20&lt;&gt;"","RESOLVE BLOCKER",IF(E20&lt;TODAY(),"RECOVER DATE","CONTINUE")))</x:f>
        <x:v>CONTINUE</x:v>
      </x:c>
      <x:c r="M20" t="str">
        <x:f aca="0">IFERROR(INDEX('11_Task_Data'!$J$6:$J$605,MATCH($B$6&amp;"O"&amp;6,'11_Task_Data'!$Q$6:$Q$605,0)),"")</x:f>
        <x:v>In Progress</x:v>
      </x:c>
      <x:c r="N20" s="64" t="n">
        <x:f aca="0">IFERROR(INDEX('11_Task_Data'!$O$6:$O$605,MATCH($B$6&amp;"O"&amp;6,'11_Task_Data'!$Q$6:$Q$605,0)),"")</x:f>
        <x:v>46274</x:v>
      </x:c>
    </x:row>
    <x:row r="21" ht="15" hidden="0">
      <x:c r="A21" t="str">
        <x:f aca="0">IFERROR(INDEX('11_Task_Data'!$C$6:$C$605,MATCH($B$6&amp;"O"&amp;7,'11_Task_Data'!$Q$6:$Q$605,0)),"")</x:f>
      </x:c>
      <x:c r="B21" t="str">
        <x:f aca="0">IFERROR(INDEX('11_Task_Data'!$D$6:$D$605,MATCH($B$6&amp;"O"&amp;7,'11_Task_Data'!$Q$6:$Q$605,0)),"")</x:f>
      </x:c>
      <x:c r="C21" t="str">
        <x:f aca="0">IFERROR(INDEX('11_Task_Data'!$E$6:$E$605,MATCH($B$6&amp;"O"&amp;7,'11_Task_Data'!$Q$6:$Q$605,0)),"")</x:f>
      </x:c>
      <x:c r="D21" t="str">
        <x:f aca="0">IFERROR(INDEX('11_Task_Data'!$F$6:$F$605,MATCH($B$6&amp;"O"&amp;7,'11_Task_Data'!$Q$6:$Q$605,0)),"")</x:f>
      </x:c>
      <x:c r="E21" s="64" t="str">
        <x:f aca="0">IFERROR(INDEX('11_Task_Data'!$H$6:$H$605,MATCH($B$6&amp;"O"&amp;7,'11_Task_Data'!$Q$6:$Q$605,0)),"")</x:f>
      </x:c>
      <x:c r="F21" t="str">
        <x:f aca="0">IFERROR(INDEX('11_Task_Data'!$I$6:$I$605,MATCH($B$6&amp;"O"&amp;7,'11_Task_Data'!$Q$6:$Q$605,0)),"")</x:f>
      </x:c>
      <x:c r="G21" t="str">
        <x:f aca="0">IFERROR(INDEX('11_Task_Data'!$K$6:$K$605,MATCH($B$6&amp;"O"&amp;7,'11_Task_Data'!$Q$6:$Q$605,0)),"")</x:f>
      </x:c>
      <x:c r="H21" t="str">
        <x:f aca="0">IFERROR(INDEX('11_Task_Data'!$L$6:$L$605,MATCH($B$6&amp;"O"&amp;7,'11_Task_Data'!$Q$6:$Q$605,0)),"")</x:f>
      </x:c>
      <x:c r="I21" t="str">
        <x:f aca="0">IFERROR(INDEX('11_Task_Data'!$M$6:$M$605,MATCH($B$6&amp;"O"&amp;7,'11_Task_Data'!$Q$6:$Q$605,0)),"")</x:f>
      </x:c>
      <x:c r="J21" t="str">
        <x:f aca="0">IFERROR(INDEX('11_Task_Data'!$N$6:$N$605,MATCH($B$6&amp;"O"&amp;7,'11_Task_Data'!$Q$6:$Q$605,0)),"")</x:f>
      </x:c>
      <x:c r="K21" t="n">
        <x:f aca="0">IFERROR(J21-I21,"")</x:f>
        <x:v>0</x:v>
      </x:c>
      <x:c r="L21" s="66" t="str">
        <x:f aca="1">IF(H21="YES","ESCALATE",IF(G21&lt;&gt;"","RESOLVE BLOCKER",IF(E21&lt;TODAY(),"RECOVER DATE","CONTINUE")))</x:f>
        <x:v>RECOVER DATE</x:v>
      </x:c>
      <x:c r="M21" t="str">
        <x:f aca="0">IFERROR(INDEX('11_Task_Data'!$J$6:$J$605,MATCH($B$6&amp;"O"&amp;7,'11_Task_Data'!$Q$6:$Q$605,0)),"")</x:f>
      </x:c>
      <x:c r="N21" s="64" t="str">
        <x:f aca="0">IFERROR(INDEX('11_Task_Data'!$O$6:$O$605,MATCH($B$6&amp;"O"&amp;7,'11_Task_Data'!$Q$6:$Q$605,0)),"")</x:f>
      </x:c>
    </x:row>
    <x:row r="22" ht="15" hidden="0">
      <x:c r="A22" t="str">
        <x:f aca="0">IFERROR(INDEX('11_Task_Data'!$C$6:$C$605,MATCH($B$6&amp;"O"&amp;8,'11_Task_Data'!$Q$6:$Q$605,0)),"")</x:f>
      </x:c>
      <x:c r="B22" t="str">
        <x:f aca="0">IFERROR(INDEX('11_Task_Data'!$D$6:$D$605,MATCH($B$6&amp;"O"&amp;8,'11_Task_Data'!$Q$6:$Q$605,0)),"")</x:f>
      </x:c>
      <x:c r="C22" t="str">
        <x:f aca="0">IFERROR(INDEX('11_Task_Data'!$E$6:$E$605,MATCH($B$6&amp;"O"&amp;8,'11_Task_Data'!$Q$6:$Q$605,0)),"")</x:f>
      </x:c>
      <x:c r="D22" t="str">
        <x:f aca="0">IFERROR(INDEX('11_Task_Data'!$F$6:$F$605,MATCH($B$6&amp;"O"&amp;8,'11_Task_Data'!$Q$6:$Q$605,0)),"")</x:f>
      </x:c>
      <x:c r="E22" s="64" t="str">
        <x:f aca="0">IFERROR(INDEX('11_Task_Data'!$H$6:$H$605,MATCH($B$6&amp;"O"&amp;8,'11_Task_Data'!$Q$6:$Q$605,0)),"")</x:f>
      </x:c>
      <x:c r="F22" t="str">
        <x:f aca="0">IFERROR(INDEX('11_Task_Data'!$I$6:$I$605,MATCH($B$6&amp;"O"&amp;8,'11_Task_Data'!$Q$6:$Q$605,0)),"")</x:f>
      </x:c>
      <x:c r="G22" t="str">
        <x:f aca="0">IFERROR(INDEX('11_Task_Data'!$K$6:$K$605,MATCH($B$6&amp;"O"&amp;8,'11_Task_Data'!$Q$6:$Q$605,0)),"")</x:f>
      </x:c>
      <x:c r="H22" t="str">
        <x:f aca="0">IFERROR(INDEX('11_Task_Data'!$L$6:$L$605,MATCH($B$6&amp;"O"&amp;8,'11_Task_Data'!$Q$6:$Q$605,0)),"")</x:f>
      </x:c>
      <x:c r="I22" t="str">
        <x:f aca="0">IFERROR(INDEX('11_Task_Data'!$M$6:$M$605,MATCH($B$6&amp;"O"&amp;8,'11_Task_Data'!$Q$6:$Q$605,0)),"")</x:f>
      </x:c>
      <x:c r="J22" t="str">
        <x:f aca="0">IFERROR(INDEX('11_Task_Data'!$N$6:$N$605,MATCH($B$6&amp;"O"&amp;8,'11_Task_Data'!$Q$6:$Q$605,0)),"")</x:f>
      </x:c>
      <x:c r="K22" t="n">
        <x:f aca="0">IFERROR(J22-I22,"")</x:f>
        <x:v>0</x:v>
      </x:c>
      <x:c r="L22" s="66" t="str">
        <x:f aca="1">IF(H22="YES","ESCALATE",IF(G22&lt;&gt;"","RESOLVE BLOCKER",IF(E22&lt;TODAY(),"RECOVER DATE","CONTINUE")))</x:f>
        <x:v>RECOVER DATE</x:v>
      </x:c>
      <x:c r="M22" t="str">
        <x:f aca="0">IFERROR(INDEX('11_Task_Data'!$J$6:$J$605,MATCH($B$6&amp;"O"&amp;8,'11_Task_Data'!$Q$6:$Q$605,0)),"")</x:f>
      </x:c>
      <x:c r="N22" s="64" t="str">
        <x:f aca="0">IFERROR(INDEX('11_Task_Data'!$O$6:$O$605,MATCH($B$6&amp;"O"&amp;8,'11_Task_Data'!$Q$6:$Q$605,0)),"")</x:f>
      </x:c>
    </x:row>
    <x:row r="23" ht="15" hidden="0">
      <x:c r="A23" t="str">
        <x:f aca="0">IFERROR(INDEX('11_Task_Data'!$C$6:$C$605,MATCH($B$6&amp;"O"&amp;9,'11_Task_Data'!$Q$6:$Q$605,0)),"")</x:f>
      </x:c>
      <x:c r="B23" t="str">
        <x:f aca="0">IFERROR(INDEX('11_Task_Data'!$D$6:$D$605,MATCH($B$6&amp;"O"&amp;9,'11_Task_Data'!$Q$6:$Q$605,0)),"")</x:f>
      </x:c>
      <x:c r="C23" t="str">
        <x:f aca="0">IFERROR(INDEX('11_Task_Data'!$E$6:$E$605,MATCH($B$6&amp;"O"&amp;9,'11_Task_Data'!$Q$6:$Q$605,0)),"")</x:f>
      </x:c>
      <x:c r="D23" t="str">
        <x:f aca="0">IFERROR(INDEX('11_Task_Data'!$F$6:$F$605,MATCH($B$6&amp;"O"&amp;9,'11_Task_Data'!$Q$6:$Q$605,0)),"")</x:f>
      </x:c>
      <x:c r="E23" s="64" t="str">
        <x:f aca="0">IFERROR(INDEX('11_Task_Data'!$H$6:$H$605,MATCH($B$6&amp;"O"&amp;9,'11_Task_Data'!$Q$6:$Q$605,0)),"")</x:f>
      </x:c>
      <x:c r="F23" t="str">
        <x:f aca="0">IFERROR(INDEX('11_Task_Data'!$I$6:$I$605,MATCH($B$6&amp;"O"&amp;9,'11_Task_Data'!$Q$6:$Q$605,0)),"")</x:f>
      </x:c>
      <x:c r="G23" t="str">
        <x:f aca="0">IFERROR(INDEX('11_Task_Data'!$K$6:$K$605,MATCH($B$6&amp;"O"&amp;9,'11_Task_Data'!$Q$6:$Q$605,0)),"")</x:f>
      </x:c>
      <x:c r="H23" t="str">
        <x:f aca="0">IFERROR(INDEX('11_Task_Data'!$L$6:$L$605,MATCH($B$6&amp;"O"&amp;9,'11_Task_Data'!$Q$6:$Q$605,0)),"")</x:f>
      </x:c>
      <x:c r="I23" t="str">
        <x:f aca="0">IFERROR(INDEX('11_Task_Data'!$M$6:$M$605,MATCH($B$6&amp;"O"&amp;9,'11_Task_Data'!$Q$6:$Q$605,0)),"")</x:f>
      </x:c>
      <x:c r="J23" t="str">
        <x:f aca="0">IFERROR(INDEX('11_Task_Data'!$N$6:$N$605,MATCH($B$6&amp;"O"&amp;9,'11_Task_Data'!$Q$6:$Q$605,0)),"")</x:f>
      </x:c>
      <x:c r="K23" t="n">
        <x:f aca="0">IFERROR(J23-I23,"")</x:f>
        <x:v>0</x:v>
      </x:c>
      <x:c r="L23" s="66" t="str">
        <x:f aca="1">IF(H23="YES","ESCALATE",IF(G23&lt;&gt;"","RESOLVE BLOCKER",IF(E23&lt;TODAY(),"RECOVER DATE","CONTINUE")))</x:f>
        <x:v>RECOVER DATE</x:v>
      </x:c>
      <x:c r="M23" t="str">
        <x:f aca="0">IFERROR(INDEX('11_Task_Data'!$J$6:$J$605,MATCH($B$6&amp;"O"&amp;9,'11_Task_Data'!$Q$6:$Q$605,0)),"")</x:f>
      </x:c>
      <x:c r="N23" s="64" t="str">
        <x:f aca="0">IFERROR(INDEX('11_Task_Data'!$O$6:$O$605,MATCH($B$6&amp;"O"&amp;9,'11_Task_Data'!$Q$6:$Q$605,0)),"")</x:f>
      </x:c>
    </x:row>
    <x:row r="24" ht="15" hidden="0">
      <x:c r="A24" s="56" t="str">
        <x:f aca="0">IFERROR(INDEX('11_Task_Data'!$C$6:$C$605,MATCH($B$6&amp;"O"&amp;10,'11_Task_Data'!$Q$6:$Q$605,0)),"")</x:f>
      </x:c>
      <x:c r="B24" s="56" t="str">
        <x:f aca="0">IFERROR(INDEX('11_Task_Data'!$D$6:$D$605,MATCH($B$6&amp;"O"&amp;10,'11_Task_Data'!$Q$6:$Q$605,0)),"")</x:f>
      </x:c>
      <x:c r="C24" s="56" t="str">
        <x:f aca="0">IFERROR(INDEX('11_Task_Data'!$E$6:$E$605,MATCH($B$6&amp;"O"&amp;10,'11_Task_Data'!$Q$6:$Q$605,0)),"")</x:f>
      </x:c>
      <x:c r="D24" s="56" t="str">
        <x:f aca="0">IFERROR(INDEX('11_Task_Data'!$F$6:$F$605,MATCH($B$6&amp;"O"&amp;10,'11_Task_Data'!$Q$6:$Q$605,0)),"")</x:f>
      </x:c>
      <x:c r="E24" s="60" t="str">
        <x:f aca="0">IFERROR(INDEX('11_Task_Data'!$H$6:$H$605,MATCH($B$6&amp;"O"&amp;10,'11_Task_Data'!$Q$6:$Q$605,0)),"")</x:f>
      </x:c>
      <x:c r="F24" s="56" t="str">
        <x:f aca="0">IFERROR(INDEX('11_Task_Data'!$I$6:$I$605,MATCH($B$6&amp;"O"&amp;10,'11_Task_Data'!$Q$6:$Q$605,0)),"")</x:f>
      </x:c>
      <x:c r="G24" s="56" t="str">
        <x:f aca="0">IFERROR(INDEX('11_Task_Data'!$K$6:$K$605,MATCH($B$6&amp;"O"&amp;10,'11_Task_Data'!$Q$6:$Q$605,0)),"")</x:f>
      </x:c>
      <x:c r="H24" s="56" t="str">
        <x:f aca="0">IFERROR(INDEX('11_Task_Data'!$L$6:$L$605,MATCH($B$6&amp;"O"&amp;10,'11_Task_Data'!$Q$6:$Q$605,0)),"")</x:f>
      </x:c>
      <x:c r="I24" s="56" t="str">
        <x:f aca="0">IFERROR(INDEX('11_Task_Data'!$M$6:$M$605,MATCH($B$6&amp;"O"&amp;10,'11_Task_Data'!$Q$6:$Q$605,0)),"")</x:f>
      </x:c>
      <x:c r="J24" s="56" t="str">
        <x:f aca="0">IFERROR(INDEX('11_Task_Data'!$N$6:$N$605,MATCH($B$6&amp;"O"&amp;10,'11_Task_Data'!$Q$6:$Q$605,0)),"")</x:f>
      </x:c>
      <x:c r="K24" s="56" t="n">
        <x:f aca="0">IFERROR(J24-I24,"")</x:f>
        <x:v>0</x:v>
      </x:c>
      <x:c r="L24" s="67" t="str">
        <x:f aca="1">IF(H24="YES","ESCALATE",IF(G24&lt;&gt;"","RESOLVE BLOCKER",IF(E24&lt;TODAY(),"RECOVER DATE","CONTINUE")))</x:f>
        <x:v>RECOVER DATE</x:v>
      </x:c>
      <x:c r="M24" s="56" t="str">
        <x:f aca="0">IFERROR(INDEX('11_Task_Data'!$J$6:$J$605,MATCH($B$6&amp;"O"&amp;10,'11_Task_Data'!$Q$6:$Q$605,0)),"")</x:f>
      </x:c>
      <x:c r="N24" s="60" t="str">
        <x:f aca="0">IFERROR(INDEX('11_Task_Data'!$O$6:$O$605,MATCH($B$6&amp;"O"&amp;10,'11_Task_Data'!$Q$6:$Q$605,0)),"")</x:f>
      </x:c>
    </x:row>
  </x:sheetData>
  <x:mergeCells>
    <x:mergeCell ref="A1:N1"/>
    <x:mergeCell ref="A2:N2"/>
    <x:mergeCell ref="A8:C8"/>
    <x:mergeCell ref="D8:F8"/>
    <x:mergeCell ref="G8:I8"/>
    <x:mergeCell ref="J8:L8"/>
    <x:mergeCell ref="A9:C10"/>
    <x:mergeCell ref="D9:F10"/>
    <x:mergeCell ref="G9:I10"/>
    <x:mergeCell ref="J9:L10"/>
    <x:mergeCell ref="A13:N13"/>
  </x:mergeCells>
  <x:dataValidations count="1">
    <x:dataValidation type="list" errorStyle="stop" operator="between" allowBlank="0" showDropDown="0" showInputMessage="0" showErrorMessage="0" sqref="B6">
      <x:formula1>10_Project_Data!$A$6:$A$105</x:formula1>
      <x:formula2>0</x:formula2>
    </x:dataValidation>
  </x:dataValidations>
  <x:hyperlinks>
    <x:hyperlink xmlns:r="http://schemas.openxmlformats.org/officeDocument/2006/relationships" ref="A4" r:id="R0dcec0b2bc2b4236"/>
    <x:hyperlink xmlns:r="http://schemas.openxmlformats.org/officeDocument/2006/relationships" ref="B4" r:id="Rc9a8aead855c471c"/>
    <x:hyperlink xmlns:r="http://schemas.openxmlformats.org/officeDocument/2006/relationships" ref="C4" r:id="Ra716c53d1b1d4917"/>
    <x:hyperlink xmlns:r="http://schemas.openxmlformats.org/officeDocument/2006/relationships" ref="D4" r:id="R6342851895954c51"/>
    <x:hyperlink xmlns:r="http://schemas.openxmlformats.org/officeDocument/2006/relationships" ref="E4" r:id="R6df669f6d69442fc"/>
    <x:hyperlink xmlns:r="http://schemas.openxmlformats.org/officeDocument/2006/relationships" ref="F4" r:id="R751db345395944f7"/>
    <x:hyperlink xmlns:r="http://schemas.openxmlformats.org/officeDocument/2006/relationships" ref="G4" r:id="R834a677736a142aa"/>
    <x:hyperlink xmlns:r="http://schemas.openxmlformats.org/officeDocument/2006/relationships" ref="H4" r:id="Rb221586bb6854780"/>
    <x:hyperlink xmlns:r="http://schemas.openxmlformats.org/officeDocument/2006/relationships" ref="I4" r:id="Rc552d02a77d342b0"/>
    <x:hyperlink xmlns:r="http://schemas.openxmlformats.org/officeDocument/2006/relationships" ref="J4" r:id="R7c313026b4a34195"/>
    <x:hyperlink xmlns:r="http://schemas.openxmlformats.org/officeDocument/2006/relationships" ref="K4" r:id="R22c756503a9746f9"/>
    <x:hyperlink xmlns:r="http://schemas.openxmlformats.org/officeDocument/2006/relationships" ref="L4" r:id="R08459bcb77964892"/>
    <x:hyperlink xmlns:r="http://schemas.openxmlformats.org/officeDocument/2006/relationships" ref="M4" r:id="R6d8d9a13cc3248d0"/>
  </x:hyperlinks>
  <x:pageMargins left="0.7" right="0.7" top="0.75" bottom="0.75" header="0.3" footer="0.3"/>
  <x:drawing xmlns:r="http://schemas.openxmlformats.org/officeDocument/2006/relationships" r:id="R8ef01319a5d342e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4" hidden="0" customWidth="1"/>
    <x:col min="3" max="3" width="16" hidden="0" customWidth="1"/>
    <x:col min="4" max="5" width="15" hidden="0" customWidth="1"/>
    <x:col min="6" max="6" width="14" hidden="0" customWidth="1"/>
    <x:col min="7" max="14" width="16" hidden="0" customWidth="1"/>
  </x:cols>
  <x:sheetData>
    <x:row r="1" ht="32" hidden="0" customHeight="1">
      <x:c r="A1" s="309" t="s">
        <x:v>357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09"/>
      <x:c r="N1" s="309"/>
    </x:row>
    <x:row r="2" ht="22" hidden="0" customHeight="1">
      <x:c r="A2" s="209" t="s">
        <x:v>358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09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6" ht="15" hidden="0">
      <x:c r="A6" s="23" t="s">
        <x:v>359</x:v>
      </x:c>
      <x:c r="B6" s="62" t="s">
        <x:v>360</x:v>
      </x:c>
    </x:row>
    <x:row r="8" ht="15" hidden="0">
      <x:c r="A8" s="7" t="s">
        <x:v>361</x:v>
      </x:c>
      <x:c r="B8" s="7"/>
      <x:c r="C8" s="7"/>
      <x:c r="D8" s="7" t="s">
        <x:v>362</x:v>
      </x:c>
      <x:c r="E8" s="7"/>
      <x:c r="F8" s="7"/>
      <x:c r="G8" s="7" t="s">
        <x:v>363</x:v>
      </x:c>
      <x:c r="H8" s="7"/>
      <x:c r="I8" s="7"/>
      <x:c r="J8" s="7" t="s">
        <x:v>348</x:v>
      </x:c>
      <x:c r="K8" s="7"/>
      <x:c r="L8" s="7"/>
    </x:row>
    <x:row r="9" ht="27.75" hidden="0" customHeight="1">
      <x:c r="A9" s="68" t="n">
        <x:f aca="0">COUNTIFS('11_Task_Data'!$D$6:$D$605,$B$6,'11_Task_Data'!$I$6:$I$605,"&lt;100")</x:f>
        <x:v>46</x:v>
      </x:c>
      <x:c r="B9" s="68"/>
      <x:c r="C9" s="68"/>
      <x:c r="D9" s="52" t="n">
        <x:f aca="0">COUNTIFS('11_Task_Data'!$D$6:$D$605,$B$6,'11_Task_Data'!$F$6:$F$605,"Critical")+COUNTIFS('11_Task_Data'!$D$6:$D$605,$B$6,'11_Task_Data'!$F$6:$F$605,"High")</x:f>
        <x:v>18</x:v>
      </x:c>
      <x:c r="E9" s="52"/>
      <x:c r="F9" s="52"/>
      <x:c r="G9" s="52" t="n">
        <x:f aca="0">COUNTIFS('11_Task_Data'!$D$6:$D$605,$B$6,'11_Task_Data'!$K$6:$K$605,"&lt;&gt;"&amp;"")</x:f>
        <x:v>12</x:v>
      </x:c>
      <x:c r="H9" s="52"/>
      <x:c r="I9" s="52"/>
      <x:c r="J9" s="63" t="n">
        <x:f aca="0">COUNTIFS('11_Task_Data'!$D$6:$D$605,$B$6,'11_Task_Data'!$L$6:$L$605,"YES")</x:f>
        <x:v>6</x:v>
      </x:c>
      <x:c r="K9" s="63"/>
      <x:c r="L9" s="63"/>
    </x:row>
    <x:row r="10" ht="15" hidden="0">
      <x:c r="A10" s="68"/>
      <x:c r="B10" s="68"/>
      <x:c r="C10" s="68"/>
      <x:c r="D10" s="52"/>
      <x:c r="E10" s="52"/>
      <x:c r="F10" s="52"/>
      <x:c r="G10" s="52"/>
      <x:c r="H10" s="52"/>
      <x:c r="I10" s="52"/>
      <x:c r="J10" s="63"/>
      <x:c r="K10" s="63"/>
      <x:c r="L10" s="63"/>
    </x:row>
    <x:row r="13" ht="21" hidden="0" customHeight="1">
      <x:c r="A13" s="15" t="s">
        <x:v>364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</x:row>
    <x:row r="14" ht="15" hidden="0">
      <x:c r="A14" s="30" t="s">
        <x:v>73</x:v>
      </x:c>
      <x:c r="B14" s="30" t="s">
        <x:v>336</x:v>
      </x:c>
      <x:c r="C14" s="30" t="s">
        <x:v>338</x:v>
      </x:c>
      <x:c r="D14" s="30" t="s">
        <x:v>342</x:v>
      </x:c>
      <x:c r="E14" s="30" t="s">
        <x:v>76</x:v>
      </x:c>
      <x:c r="F14" s="30" t="s">
        <x:v>352</x:v>
      </x:c>
      <x:c r="G14" s="30" t="s">
        <x:v>340</x:v>
      </x:c>
      <x:c r="H14" s="30" t="s">
        <x:v>341</x:v>
      </x:c>
      <x:c r="I14" s="30" t="s">
        <x:v>339</x:v>
      </x:c>
      <x:c r="J14" s="30" t="s">
        <x:v>343</x:v>
      </x:c>
      <x:c r="K14" s="30" t="s">
        <x:v>365</x:v>
      </x:c>
      <x:c r="L14" s="30" t="s">
        <x:v>78</x:v>
      </x:c>
      <x:c r="M14" s="30" t="s">
        <x:v>366</x:v>
      </x:c>
      <x:c r="N14" s="30" t="s">
        <x:v>75</x:v>
      </x:c>
    </x:row>
    <x:row r="15" ht="15" hidden="0">
      <x:c r="A15" t="str">
        <x:f aca="0">IFERROR(INDEX('11_Task_Data'!$A$6:$A$605,MATCH($B$6&amp;"O"&amp;1,'11_Task_Data'!$R$6:$R$605,0)),"")</x:f>
        <x:v>P006</x:v>
      </x:c>
      <x:c r="B15" t="str">
        <x:f aca="0">IFERROR(INDEX('11_Task_Data'!$C$6:$C$605,MATCH($B$6&amp;"O"&amp;1,'11_Task_Data'!$R$6:$R$605,0)),"")</x:f>
        <x:v>Customer acceptance</x:v>
      </x:c>
      <x:c r="C15" t="str">
        <x:f aca="0">IFERROR(INDEX('11_Task_Data'!$F$6:$F$605,MATCH($B$6&amp;"O"&amp;1,'11_Task_Data'!$R$6:$R$605,0)),"")</x:f>
        <x:v>Medium</x:v>
      </x:c>
      <x:c r="D15" s="64" t="n">
        <x:f aca="0">IFERROR(INDEX('11_Task_Data'!$H$6:$H$605,MATCH($B$6&amp;"O"&amp;1,'11_Task_Data'!$R$6:$R$605,0)),"")</x:f>
        <x:v>46300</x:v>
      </x:c>
      <x:c r="E15" s="65" t="n">
        <x:f aca="0">IFERROR(INDEX('11_Task_Data'!$I$6:$I$605,MATCH($B$6&amp;"O"&amp;1,'11_Task_Data'!$R$6:$R$605,0)),"")</x:f>
        <x:v>79</x:v>
      </x:c>
      <x:c r="F15" t="str">
        <x:f aca="0">IFERROR(INDEX('11_Task_Data'!$E$6:$E$605,MATCH($B$6&amp;"O"&amp;1,'11_Task_Data'!$R$6:$R$605,0)),"")</x:f>
        <x:v>Karan</x:v>
      </x:c>
      <x:c r="G15" t="str">
        <x:f aca="0">IFERROR(INDEX('11_Task_Data'!$K$6:$K$605,MATCH($B$6&amp;"O"&amp;1,'11_Task_Data'!$R$6:$R$605,0)),"")</x:f>
      </x:c>
      <x:c r="H15" t="str">
        <x:f aca="0">IFERROR(INDEX('11_Task_Data'!$L$6:$L$605,MATCH($B$6&amp;"O"&amp;1,'11_Task_Data'!$R$6:$R$605,0)),"")</x:f>
        <x:v>NO</x:v>
      </x:c>
      <x:c r="I15" t="str">
        <x:f aca="0">IFERROR(INDEX('11_Task_Data'!$J$6:$J$605,MATCH($B$6&amp;"O"&amp;1,'11_Task_Data'!$R$6:$R$605,0)),"")</x:f>
        <x:v>In Progress</x:v>
      </x:c>
      <x:c r="J15" t="n">
        <x:f aca="0">IFERROR(INDEX('11_Task_Data'!$N$6:$N$605,MATCH($B$6&amp;"O"&amp;1,'11_Task_Data'!$R$6:$R$605,0)),"")</x:f>
        <x:v>77</x:v>
      </x:c>
      <x:c r="K15" s="64" t="n">
        <x:f aca="0">IFERROR(INDEX('11_Task_Data'!$O$6:$O$605,MATCH($B$6&amp;"O"&amp;1,'11_Task_Data'!$R$6:$R$605,0)),"")</x:f>
        <x:v>46274</x:v>
      </x:c>
      <x:c r="L15" s="66" t="str">
        <x:f aca="1">IF(G15&lt;&gt;"","GET SUPPORT",IF(H15="YES","ESCALATE",IF(D15&lt;TODAY(),"RECOVER","EXECUTE")))</x:f>
        <x:v>EXECUTE</x:v>
      </x:c>
      <x:c r="M15" t="str">
        <x:f aca="0">IFERROR(INDEX('10_Project_Data'!$X$6:$X$105,MATCH(A15,'10_Project_Data'!$A$6:$A$105,0)),"")</x:f>
        <x:v>RED</x:v>
      </x:c>
      <x:c r="N15" t="n">
        <x:f aca="0">IFERROR(INDEX('10_Project_Data'!$W$6:$W$105,MATCH(A15,'10_Project_Data'!$A$6:$A$105,0)),"")</x:f>
        <x:v>8</x:v>
      </x:c>
    </x:row>
    <x:row r="16" ht="15" hidden="0">
      <x:c r="A16" t="str">
        <x:f aca="0">IFERROR(INDEX('11_Task_Data'!$A$6:$A$605,MATCH($B$6&amp;"O"&amp;2,'11_Task_Data'!$R$6:$R$605,0)),"")</x:f>
        <x:v>P007</x:v>
      </x:c>
      <x:c r="B16" t="str">
        <x:f aca="0">IFERROR(INDEX('11_Task_Data'!$C$6:$C$605,MATCH($B$6&amp;"O"&amp;2,'11_Task_Data'!$R$6:$R$605,0)),"")</x:f>
        <x:v>Testing / validation</x:v>
      </x:c>
      <x:c r="C16" t="str">
        <x:f aca="0">IFERROR(INDEX('11_Task_Data'!$F$6:$F$605,MATCH($B$6&amp;"O"&amp;2,'11_Task_Data'!$R$6:$R$605,0)),"")</x:f>
        <x:v>Low</x:v>
      </x:c>
      <x:c r="D16" s="64" t="n">
        <x:f aca="0">IFERROR(INDEX('11_Task_Data'!$H$6:$H$605,MATCH($B$6&amp;"O"&amp;2,'11_Task_Data'!$R$6:$R$605,0)),"")</x:f>
        <x:v>46289</x:v>
      </x:c>
      <x:c r="E16" s="65" t="n">
        <x:f aca="0">IFERROR(INDEX('11_Task_Data'!$I$6:$I$605,MATCH($B$6&amp;"O"&amp;2,'11_Task_Data'!$R$6:$R$605,0)),"")</x:f>
        <x:v>47</x:v>
      </x:c>
      <x:c r="F16" t="str">
        <x:f aca="0">IFERROR(INDEX('11_Task_Data'!$E$6:$E$605,MATCH($B$6&amp;"O"&amp;2,'11_Task_Data'!$R$6:$R$605,0)),"")</x:f>
        <x:v>Karan</x:v>
      </x:c>
      <x:c r="G16" t="str">
        <x:f aca="0">IFERROR(INDEX('11_Task_Data'!$K$6:$K$605,MATCH($B$6&amp;"O"&amp;2,'11_Task_Data'!$R$6:$R$605,0)),"")</x:f>
        <x:v>Supplier / cross-functional dependency</x:v>
      </x:c>
      <x:c r="H16" t="str">
        <x:f aca="0">IFERROR(INDEX('11_Task_Data'!$L$6:$L$605,MATCH($B$6&amp;"O"&amp;2,'11_Task_Data'!$R$6:$R$605,0)),"")</x:f>
        <x:v>YES</x:v>
      </x:c>
      <x:c r="I16" t="str">
        <x:f aca="0">IFERROR(INDEX('11_Task_Data'!$J$6:$J$605,MATCH($B$6&amp;"O"&amp;2,'11_Task_Data'!$R$6:$R$605,0)),"")</x:f>
        <x:v>Blocked</x:v>
      </x:c>
      <x:c r="J16" t="n">
        <x:f aca="0">IFERROR(INDEX('11_Task_Data'!$N$6:$N$605,MATCH($B$6&amp;"O"&amp;2,'11_Task_Data'!$R$6:$R$605,0)),"")</x:f>
        <x:v>62</x:v>
      </x:c>
      <x:c r="K16" s="64" t="n">
        <x:f aca="0">IFERROR(INDEX('11_Task_Data'!$O$6:$O$605,MATCH($B$6&amp;"O"&amp;2,'11_Task_Data'!$R$6:$R$605,0)),"")</x:f>
        <x:v>46274</x:v>
      </x:c>
      <x:c r="L16" s="66" t="str">
        <x:f aca="1">IF(G16&lt;&gt;"","GET SUPPORT",IF(H16="YES","ESCALATE",IF(D16&lt;TODAY(),"RECOVER","EXECUTE")))</x:f>
        <x:v>GET SUPPORT</x:v>
      </x:c>
      <x:c r="M16" t="str">
        <x:f aca="0">IFERROR(INDEX('10_Project_Data'!$X$6:$X$105,MATCH(A16,'10_Project_Data'!$A$6:$A$105,0)),"")</x:f>
        <x:v>RED</x:v>
      </x:c>
      <x:c r="N16" t="n">
        <x:f aca="0">IFERROR(INDEX('10_Project_Data'!$W$6:$W$105,MATCH(A16,'10_Project_Data'!$A$6:$A$105,0)),"")</x:f>
        <x:v>17</x:v>
      </x:c>
    </x:row>
    <x:row r="17" ht="15" hidden="0">
      <x:c r="A17" t="str">
        <x:f aca="0">IFERROR(INDEX('11_Task_Data'!$A$6:$A$605,MATCH($B$6&amp;"O"&amp;3,'11_Task_Data'!$R$6:$R$605,0)),"")</x:f>
        <x:v>P008</x:v>
      </x:c>
      <x:c r="B17" t="str">
        <x:f aca="0">IFERROR(INDEX('11_Task_Data'!$C$6:$C$605,MATCH($B$6&amp;"O"&amp;3,'11_Task_Data'!$R$6:$R$605,0)),"")</x:f>
        <x:v>Build / execution</x:v>
      </x:c>
      <x:c r="C17" t="str">
        <x:f aca="0">IFERROR(INDEX('11_Task_Data'!$F$6:$F$605,MATCH($B$6&amp;"O"&amp;3,'11_Task_Data'!$R$6:$R$605,0)),"")</x:f>
        <x:v>Medium</x:v>
      </x:c>
      <x:c r="D17" s="64" t="n">
        <x:f aca="0">IFERROR(INDEX('11_Task_Data'!$H$6:$H$605,MATCH($B$6&amp;"O"&amp;3,'11_Task_Data'!$R$6:$R$605,0)),"")</x:f>
        <x:v>46274</x:v>
      </x:c>
      <x:c r="E17" s="65" t="n">
        <x:f aca="0">IFERROR(INDEX('11_Task_Data'!$I$6:$I$605,MATCH($B$6&amp;"O"&amp;3,'11_Task_Data'!$R$6:$R$605,0)),"")</x:f>
        <x:v>68</x:v>
      </x:c>
      <x:c r="F17" t="str">
        <x:f aca="0">IFERROR(INDEX('11_Task_Data'!$E$6:$E$605,MATCH($B$6&amp;"O"&amp;3,'11_Task_Data'!$R$6:$R$605,0)),"")</x:f>
        <x:v>Karan</x:v>
      </x:c>
      <x:c r="G17" t="str">
        <x:f aca="0">IFERROR(INDEX('11_Task_Data'!$K$6:$K$605,MATCH($B$6&amp;"O"&amp;3,'11_Task_Data'!$R$6:$R$605,0)),"")</x:f>
      </x:c>
      <x:c r="H17" t="str">
        <x:f aca="0">IFERROR(INDEX('11_Task_Data'!$L$6:$L$605,MATCH($B$6&amp;"O"&amp;3,'11_Task_Data'!$R$6:$R$605,0)),"")</x:f>
        <x:v>NO</x:v>
      </x:c>
      <x:c r="I17" t="str">
        <x:f aca="0">IFERROR(INDEX('11_Task_Data'!$J$6:$J$605,MATCH($B$6&amp;"O"&amp;3,'11_Task_Data'!$R$6:$R$605,0)),"")</x:f>
        <x:v>In Progress</x:v>
      </x:c>
      <x:c r="J17" t="n">
        <x:f aca="0">IFERROR(INDEX('11_Task_Data'!$N$6:$N$605,MATCH($B$6&amp;"O"&amp;3,'11_Task_Data'!$R$6:$R$605,0)),"")</x:f>
        <x:v>69</x:v>
      </x:c>
      <x:c r="K17" s="64" t="n">
        <x:f aca="0">IFERROR(INDEX('11_Task_Data'!$O$6:$O$605,MATCH($B$6&amp;"O"&amp;3,'11_Task_Data'!$R$6:$R$605,0)),"")</x:f>
        <x:v>46274</x:v>
      </x:c>
      <x:c r="L17" s="66" t="str">
        <x:f aca="1">IF(G17&lt;&gt;"","GET SUPPORT",IF(H17="YES","ESCALATE",IF(D17&lt;TODAY(),"RECOVER","EXECUTE")))</x:f>
        <x:v>EXECUTE</x:v>
      </x:c>
      <x:c r="M17" t="str">
        <x:f aca="0">IFERROR(INDEX('10_Project_Data'!$X$6:$X$105,MATCH(A17,'10_Project_Data'!$A$6:$A$105,0)),"")</x:f>
        <x:v>AMBER</x:v>
      </x:c>
      <x:c r="N17" t="n">
        <x:f aca="0">IFERROR(INDEX('10_Project_Data'!$W$6:$W$105,MATCH(A17,'10_Project_Data'!$A$6:$A$105,0)),"")</x:f>
        <x:v>3</x:v>
      </x:c>
    </x:row>
    <x:row r="18" ht="15" hidden="0">
      <x:c r="A18" t="str">
        <x:f aca="0">IFERROR(INDEX('11_Task_Data'!$A$6:$A$605,MATCH($B$6&amp;"O"&amp;4,'11_Task_Data'!$R$6:$R$605,0)),"")</x:f>
        <x:v>P009</x:v>
      </x:c>
      <x:c r="B18" t="str">
        <x:f aca="0">IFERROR(INDEX('11_Task_Data'!$C$6:$C$605,MATCH($B$6&amp;"O"&amp;4,'11_Task_Data'!$R$6:$R$605,0)),"")</x:f>
        <x:v>BOM / commercial approval</x:v>
      </x:c>
      <x:c r="C18" t="str">
        <x:f aca="0">IFERROR(INDEX('11_Task_Data'!$F$6:$F$605,MATCH($B$6&amp;"O"&amp;4,'11_Task_Data'!$R$6:$R$605,0)),"")</x:f>
        <x:v>Low</x:v>
      </x:c>
      <x:c r="D18" s="64" t="n">
        <x:f aca="0">IFERROR(INDEX('11_Task_Data'!$H$6:$H$605,MATCH($B$6&amp;"O"&amp;4,'11_Task_Data'!$R$6:$R$605,0)),"")</x:f>
        <x:v>46251</x:v>
      </x:c>
      <x:c r="E18" s="65" t="n">
        <x:f aca="0">IFERROR(INDEX('11_Task_Data'!$I$6:$I$605,MATCH($B$6&amp;"O"&amp;4,'11_Task_Data'!$R$6:$R$605,0)),"")</x:f>
        <x:v>33</x:v>
      </x:c>
      <x:c r="F18" t="str">
        <x:f aca="0">IFERROR(INDEX('11_Task_Data'!$E$6:$E$605,MATCH($B$6&amp;"O"&amp;4,'11_Task_Data'!$R$6:$R$605,0)),"")</x:f>
        <x:v>Karan</x:v>
      </x:c>
      <x:c r="G18" t="str">
        <x:f aca="0">IFERROR(INDEX('11_Task_Data'!$K$6:$K$605,MATCH($B$6&amp;"O"&amp;4,'11_Task_Data'!$R$6:$R$605,0)),"")</x:f>
      </x:c>
      <x:c r="H18" t="str">
        <x:f aca="0">IFERROR(INDEX('11_Task_Data'!$L$6:$L$605,MATCH($B$6&amp;"O"&amp;4,'11_Task_Data'!$R$6:$R$605,0)),"")</x:f>
        <x:v>NO</x:v>
      </x:c>
      <x:c r="I18" t="str">
        <x:f aca="0">IFERROR(INDEX('11_Task_Data'!$J$6:$J$605,MATCH($B$6&amp;"O"&amp;4,'11_Task_Data'!$R$6:$R$605,0)),"")</x:f>
        <x:v>In Progress</x:v>
      </x:c>
      <x:c r="J18" t="n">
        <x:f aca="0">IFERROR(INDEX('11_Task_Data'!$N$6:$N$605,MATCH($B$6&amp;"O"&amp;4,'11_Task_Data'!$R$6:$R$605,0)),"")</x:f>
        <x:v>65</x:v>
      </x:c>
      <x:c r="K18" s="64" t="n">
        <x:f aca="0">IFERROR(INDEX('11_Task_Data'!$O$6:$O$605,MATCH($B$6&amp;"O"&amp;4,'11_Task_Data'!$R$6:$R$605,0)),"")</x:f>
        <x:v>46274</x:v>
      </x:c>
      <x:c r="L18" s="66" t="str">
        <x:f aca="1">IF(G18&lt;&gt;"","GET SUPPORT",IF(H18="YES","ESCALATE",IF(D18&lt;TODAY(),"RECOVER","EXECUTE")))</x:f>
        <x:v>RECOVER</x:v>
      </x:c>
      <x:c r="M18" t="str">
        <x:f aca="0">IFERROR(INDEX('10_Project_Data'!$X$6:$X$105,MATCH(A18,'10_Project_Data'!$A$6:$A$105,0)),"")</x:f>
        <x:v>RED</x:v>
      </x:c>
      <x:c r="N18" t="n">
        <x:f aca="0">IFERROR(INDEX('10_Project_Data'!$W$6:$W$105,MATCH(A18,'10_Project_Data'!$A$6:$A$105,0)),"")</x:f>
        <x:v>16</x:v>
      </x:c>
    </x:row>
    <x:row r="19" ht="15" hidden="0">
      <x:c r="A19" t="str">
        <x:f aca="0">IFERROR(INDEX('11_Task_Data'!$A$6:$A$605,MATCH($B$6&amp;"O"&amp;5,'11_Task_Data'!$R$6:$R$605,0)),"")</x:f>
        <x:v>P010</x:v>
      </x:c>
      <x:c r="B19" t="str">
        <x:f aca="0">IFERROR(INDEX('11_Task_Data'!$C$6:$C$605,MATCH($B$6&amp;"O"&amp;5,'11_Task_Data'!$R$6:$R$605,0)),"")</x:f>
        <x:v>Design / solution</x:v>
      </x:c>
      <x:c r="C19" t="str">
        <x:f aca="0">IFERROR(INDEX('11_Task_Data'!$F$6:$F$605,MATCH($B$6&amp;"O"&amp;5,'11_Task_Data'!$R$6:$R$605,0)),"")</x:f>
        <x:v>Low</x:v>
      </x:c>
      <x:c r="D19" s="64" t="n">
        <x:f aca="0">IFERROR(INDEX('11_Task_Data'!$H$6:$H$605,MATCH($B$6&amp;"O"&amp;5,'11_Task_Data'!$R$6:$R$605,0)),"")</x:f>
        <x:v>46246</x:v>
      </x:c>
      <x:c r="E19" s="65" t="n">
        <x:f aca="0">IFERROR(INDEX('11_Task_Data'!$I$6:$I$605,MATCH($B$6&amp;"O"&amp;5,'11_Task_Data'!$R$6:$R$605,0)),"")</x:f>
        <x:v>96</x:v>
      </x:c>
      <x:c r="F19" t="str">
        <x:f aca="0">IFERROR(INDEX('11_Task_Data'!$E$6:$E$605,MATCH($B$6&amp;"O"&amp;5,'11_Task_Data'!$R$6:$R$605,0)),"")</x:f>
        <x:v>Karan</x:v>
      </x:c>
      <x:c r="G19" t="str">
        <x:f aca="0">IFERROR(INDEX('11_Task_Data'!$K$6:$K$605,MATCH($B$6&amp;"O"&amp;5,'11_Task_Data'!$R$6:$R$605,0)),"")</x:f>
      </x:c>
      <x:c r="H19" t="str">
        <x:f aca="0">IFERROR(INDEX('11_Task_Data'!$L$6:$L$605,MATCH($B$6&amp;"O"&amp;5,'11_Task_Data'!$R$6:$R$605,0)),"")</x:f>
        <x:v>NO</x:v>
      </x:c>
      <x:c r="I19" t="str">
        <x:f aca="0">IFERROR(INDEX('11_Task_Data'!$J$6:$J$605,MATCH($B$6&amp;"O"&amp;5,'11_Task_Data'!$R$6:$R$605,0)),"")</x:f>
        <x:v>In Progress</x:v>
      </x:c>
      <x:c r="J19" t="n">
        <x:f aca="0">IFERROR(INDEX('11_Task_Data'!$N$6:$N$605,MATCH($B$6&amp;"O"&amp;5,'11_Task_Data'!$R$6:$R$605,0)),"")</x:f>
        <x:v>27</x:v>
      </x:c>
      <x:c r="K19" s="64" t="n">
        <x:f aca="0">IFERROR(INDEX('11_Task_Data'!$O$6:$O$605,MATCH($B$6&amp;"O"&amp;5,'11_Task_Data'!$R$6:$R$605,0)),"")</x:f>
        <x:v>46274</x:v>
      </x:c>
      <x:c r="L19" s="66" t="str">
        <x:f aca="1">IF(G19&lt;&gt;"","GET SUPPORT",IF(H19="YES","ESCALATE",IF(D19&lt;TODAY(),"RECOVER","EXECUTE")))</x:f>
        <x:v>RECOVER</x:v>
      </x:c>
      <x:c r="M19" t="str">
        <x:f aca="0">IFERROR(INDEX('10_Project_Data'!$X$6:$X$105,MATCH(A19,'10_Project_Data'!$A$6:$A$105,0)),"")</x:f>
        <x:v>RED</x:v>
      </x:c>
      <x:c r="N19" t="n">
        <x:f aca="0">IFERROR(INDEX('10_Project_Data'!$W$6:$W$105,MATCH(A19,'10_Project_Data'!$A$6:$A$105,0)),"")</x:f>
        <x:v>4</x:v>
      </x:c>
    </x:row>
    <x:row r="20" ht="15" hidden="0">
      <x:c r="A20" t="str">
        <x:f aca="0">IFERROR(INDEX('11_Task_Data'!$A$6:$A$605,MATCH($B$6&amp;"O"&amp;6,'11_Task_Data'!$R$6:$R$605,0)),"")</x:f>
        <x:v>P011</x:v>
      </x:c>
      <x:c r="B20" t="str">
        <x:f aca="0">IFERROR(INDEX('11_Task_Data'!$C$6:$C$605,MATCH($B$6&amp;"O"&amp;6,'11_Task_Data'!$R$6:$R$605,0)),"")</x:f>
        <x:v>Requirements &amp; scope freeze</x:v>
      </x:c>
      <x:c r="C20" t="str">
        <x:f aca="0">IFERROR(INDEX('11_Task_Data'!$F$6:$F$605,MATCH($B$6&amp;"O"&amp;6,'11_Task_Data'!$R$6:$R$605,0)),"")</x:f>
        <x:v>Low</x:v>
      </x:c>
      <x:c r="D20" s="64" t="n">
        <x:f aca="0">IFERROR(INDEX('11_Task_Data'!$H$6:$H$605,MATCH($B$6&amp;"O"&amp;6,'11_Task_Data'!$R$6:$R$605,0)),"")</x:f>
        <x:v>46236</x:v>
      </x:c>
      <x:c r="E20" s="65" t="n">
        <x:f aca="0">IFERROR(INDEX('11_Task_Data'!$I$6:$I$605,MATCH($B$6&amp;"O"&amp;6,'11_Task_Data'!$R$6:$R$605,0)),"")</x:f>
        <x:v>91</x:v>
      </x:c>
      <x:c r="F20" t="str">
        <x:f aca="0">IFERROR(INDEX('11_Task_Data'!$E$6:$E$605,MATCH($B$6&amp;"O"&amp;6,'11_Task_Data'!$R$6:$R$605,0)),"")</x:f>
        <x:v>Karan</x:v>
      </x:c>
      <x:c r="G20" t="str">
        <x:f aca="0">IFERROR(INDEX('11_Task_Data'!$K$6:$K$605,MATCH($B$6&amp;"O"&amp;6,'11_Task_Data'!$R$6:$R$605,0)),"")</x:f>
      </x:c>
      <x:c r="H20" t="str">
        <x:f aca="0">IFERROR(INDEX('11_Task_Data'!$L$6:$L$605,MATCH($B$6&amp;"O"&amp;6,'11_Task_Data'!$R$6:$R$605,0)),"")</x:f>
        <x:v>NO</x:v>
      </x:c>
      <x:c r="I20" t="str">
        <x:f aca="0">IFERROR(INDEX('11_Task_Data'!$J$6:$J$605,MATCH($B$6&amp;"O"&amp;6,'11_Task_Data'!$R$6:$R$605,0)),"")</x:f>
        <x:v>In Progress</x:v>
      </x:c>
      <x:c r="J20" t="n">
        <x:f aca="0">IFERROR(INDEX('11_Task_Data'!$N$6:$N$605,MATCH($B$6&amp;"O"&amp;6,'11_Task_Data'!$R$6:$R$605,0)),"")</x:f>
        <x:v>91</x:v>
      </x:c>
      <x:c r="K20" s="64" t="n">
        <x:f aca="0">IFERROR(INDEX('11_Task_Data'!$O$6:$O$605,MATCH($B$6&amp;"O"&amp;6,'11_Task_Data'!$R$6:$R$605,0)),"")</x:f>
        <x:v>46274</x:v>
      </x:c>
      <x:c r="L20" s="66" t="str">
        <x:f aca="1">IF(G20&lt;&gt;"","GET SUPPORT",IF(H20="YES","ESCALATE",IF(D20&lt;TODAY(),"RECOVER","EXECUTE")))</x:f>
        <x:v>RECOVER</x:v>
      </x:c>
      <x:c r="M20" t="str">
        <x:f aca="0">IFERROR(INDEX('10_Project_Data'!$X$6:$X$105,MATCH(A20,'10_Project_Data'!$A$6:$A$105,0)),"")</x:f>
        <x:v>RED</x:v>
      </x:c>
      <x:c r="N20" t="n">
        <x:f aca="0">IFERROR(INDEX('10_Project_Data'!$W$6:$W$105,MATCH(A20,'10_Project_Data'!$A$6:$A$105,0)),"")</x:f>
        <x:v>2</x:v>
      </x:c>
    </x:row>
    <x:row r="21" ht="15" hidden="0">
      <x:c r="A21" t="str">
        <x:f aca="0">IFERROR(INDEX('11_Task_Data'!$A$6:$A$605,MATCH($B$6&amp;"O"&amp;7,'11_Task_Data'!$R$6:$R$605,0)),"")</x:f>
        <x:v>P018</x:v>
      </x:c>
      <x:c r="B21" t="str">
        <x:f aca="0">IFERROR(INDEX('11_Task_Data'!$C$6:$C$605,MATCH($B$6&amp;"O"&amp;7,'11_Task_Data'!$R$6:$R$605,0)),"")</x:f>
        <x:v>Customer acceptance</x:v>
      </x:c>
      <x:c r="C21" t="str">
        <x:f aca="0">IFERROR(INDEX('11_Task_Data'!$F$6:$F$605,MATCH($B$6&amp;"O"&amp;7,'11_Task_Data'!$R$6:$R$605,0)),"")</x:f>
        <x:v>Low</x:v>
      </x:c>
      <x:c r="D21" s="64" t="n">
        <x:f aca="0">IFERROR(INDEX('11_Task_Data'!$H$6:$H$605,MATCH($B$6&amp;"O"&amp;7,'11_Task_Data'!$R$6:$R$605,0)),"")</x:f>
        <x:v>46303</x:v>
      </x:c>
      <x:c r="E21" s="65" t="n">
        <x:f aca="0">IFERROR(INDEX('11_Task_Data'!$I$6:$I$605,MATCH($B$6&amp;"O"&amp;7,'11_Task_Data'!$R$6:$R$605,0)),"")</x:f>
        <x:v>74</x:v>
      </x:c>
      <x:c r="F21" t="str">
        <x:f aca="0">IFERROR(INDEX('11_Task_Data'!$E$6:$E$605,MATCH($B$6&amp;"O"&amp;7,'11_Task_Data'!$R$6:$R$605,0)),"")</x:f>
        <x:v>Karan</x:v>
      </x:c>
      <x:c r="G21" t="str">
        <x:f aca="0">IFERROR(INDEX('11_Task_Data'!$K$6:$K$605,MATCH($B$6&amp;"O"&amp;7,'11_Task_Data'!$R$6:$R$605,0)),"")</x:f>
      </x:c>
      <x:c r="H21" t="str">
        <x:f aca="0">IFERROR(INDEX('11_Task_Data'!$L$6:$L$605,MATCH($B$6&amp;"O"&amp;7,'11_Task_Data'!$R$6:$R$605,0)),"")</x:f>
        <x:v>NO</x:v>
      </x:c>
      <x:c r="I21" t="str">
        <x:f aca="0">IFERROR(INDEX('11_Task_Data'!$J$6:$J$605,MATCH($B$6&amp;"O"&amp;7,'11_Task_Data'!$R$6:$R$605,0)),"")</x:f>
        <x:v>In Progress</x:v>
      </x:c>
      <x:c r="J21" t="n">
        <x:f aca="0">IFERROR(INDEX('11_Task_Data'!$N$6:$N$605,MATCH($B$6&amp;"O"&amp;7,'11_Task_Data'!$R$6:$R$605,0)),"")</x:f>
        <x:v>68</x:v>
      </x:c>
      <x:c r="K21" s="64" t="n">
        <x:f aca="0">IFERROR(INDEX('11_Task_Data'!$O$6:$O$605,MATCH($B$6&amp;"O"&amp;7,'11_Task_Data'!$R$6:$R$605,0)),"")</x:f>
        <x:v>46274</x:v>
      </x:c>
      <x:c r="L21" s="66" t="str">
        <x:f aca="1">IF(G21&lt;&gt;"","GET SUPPORT",IF(H21="YES","ESCALATE",IF(D21&lt;TODAY(),"RECOVER","EXECUTE")))</x:f>
        <x:v>EXECUTE</x:v>
      </x:c>
      <x:c r="M21" t="str">
        <x:f aca="0">IFERROR(INDEX('10_Project_Data'!$X$6:$X$105,MATCH(A21,'10_Project_Data'!$A$6:$A$105,0)),"")</x:f>
        <x:v>AMBER</x:v>
      </x:c>
      <x:c r="N21" t="n">
        <x:f aca="0">IFERROR(INDEX('10_Project_Data'!$W$6:$W$105,MATCH(A21,'10_Project_Data'!$A$6:$A$105,0)),"")</x:f>
        <x:v>7</x:v>
      </x:c>
    </x:row>
    <x:row r="22" ht="15" hidden="0">
      <x:c r="A22" t="str">
        <x:f aca="0">IFERROR(INDEX('11_Task_Data'!$A$6:$A$605,MATCH($B$6&amp;"O"&amp;8,'11_Task_Data'!$R$6:$R$605,0)),"")</x:f>
        <x:v>P019</x:v>
      </x:c>
      <x:c r="B22" t="str">
        <x:f aca="0">IFERROR(INDEX('11_Task_Data'!$C$6:$C$605,MATCH($B$6&amp;"O"&amp;8,'11_Task_Data'!$R$6:$R$605,0)),"")</x:f>
        <x:v>Testing / validation</x:v>
      </x:c>
      <x:c r="C22" t="str">
        <x:f aca="0">IFERROR(INDEX('11_Task_Data'!$F$6:$F$605,MATCH($B$6&amp;"O"&amp;8,'11_Task_Data'!$R$6:$R$605,0)),"")</x:f>
        <x:v>High</x:v>
      </x:c>
      <x:c r="D22" s="64" t="n">
        <x:f aca="0">IFERROR(INDEX('11_Task_Data'!$H$6:$H$605,MATCH($B$6&amp;"O"&amp;8,'11_Task_Data'!$R$6:$R$605,0)),"")</x:f>
        <x:v>46302</x:v>
      </x:c>
      <x:c r="E22" s="65" t="n">
        <x:f aca="0">IFERROR(INDEX('11_Task_Data'!$I$6:$I$605,MATCH($B$6&amp;"O"&amp;8,'11_Task_Data'!$R$6:$R$605,0)),"")</x:f>
        <x:v>83</x:v>
      </x:c>
      <x:c r="F22" t="str">
        <x:f aca="0">IFERROR(INDEX('11_Task_Data'!$E$6:$E$605,MATCH($B$6&amp;"O"&amp;8,'11_Task_Data'!$R$6:$R$605,0)),"")</x:f>
        <x:v>Karan</x:v>
      </x:c>
      <x:c r="G22" t="str">
        <x:f aca="0">IFERROR(INDEX('11_Task_Data'!$K$6:$K$605,MATCH($B$6&amp;"O"&amp;8,'11_Task_Data'!$R$6:$R$605,0)),"")</x:f>
      </x:c>
      <x:c r="H22" t="str">
        <x:f aca="0">IFERROR(INDEX('11_Task_Data'!$L$6:$L$605,MATCH($B$6&amp;"O"&amp;8,'11_Task_Data'!$R$6:$R$605,0)),"")</x:f>
        <x:v>YES</x:v>
      </x:c>
      <x:c r="I22" t="str">
        <x:f aca="0">IFERROR(INDEX('11_Task_Data'!$J$6:$J$605,MATCH($B$6&amp;"O"&amp;8,'11_Task_Data'!$R$6:$R$605,0)),"")</x:f>
        <x:v>In Progress</x:v>
      </x:c>
      <x:c r="J22" t="n">
        <x:f aca="0">IFERROR(INDEX('11_Task_Data'!$N$6:$N$605,MATCH($B$6&amp;"O"&amp;8,'11_Task_Data'!$R$6:$R$605,0)),"")</x:f>
        <x:v>42</x:v>
      </x:c>
      <x:c r="K22" s="64" t="n">
        <x:f aca="0">IFERROR(INDEX('11_Task_Data'!$O$6:$O$605,MATCH($B$6&amp;"O"&amp;8,'11_Task_Data'!$R$6:$R$605,0)),"")</x:f>
        <x:v>46274</x:v>
      </x:c>
      <x:c r="L22" s="66" t="str">
        <x:f aca="1">IF(G22&lt;&gt;"","GET SUPPORT",IF(H22="YES","ESCALATE",IF(D22&lt;TODAY(),"RECOVER","EXECUTE")))</x:f>
        <x:v>ESCALATE</x:v>
      </x:c>
      <x:c r="M22" t="str">
        <x:f aca="0">IFERROR(INDEX('10_Project_Data'!$X$6:$X$105,MATCH(A22,'10_Project_Data'!$A$6:$A$105,0)),"")</x:f>
        <x:v>RED</x:v>
      </x:c>
      <x:c r="N22" t="n">
        <x:f aca="0">IFERROR(INDEX('10_Project_Data'!$W$6:$W$105,MATCH(A22,'10_Project_Data'!$A$6:$A$105,0)),"")</x:f>
        <x:v>6</x:v>
      </x:c>
    </x:row>
    <x:row r="23" ht="15" hidden="0">
      <x:c r="A23" t="str">
        <x:f aca="0">IFERROR(INDEX('11_Task_Data'!$A$6:$A$605,MATCH($B$6&amp;"O"&amp;9,'11_Task_Data'!$R$6:$R$605,0)),"")</x:f>
        <x:v>P020</x:v>
      </x:c>
      <x:c r="B23" t="str">
        <x:f aca="0">IFERROR(INDEX('11_Task_Data'!$C$6:$C$605,MATCH($B$6&amp;"O"&amp;9,'11_Task_Data'!$R$6:$R$605,0)),"")</x:f>
        <x:v>Build / execution</x:v>
      </x:c>
      <x:c r="C23" t="str">
        <x:f aca="0">IFERROR(INDEX('11_Task_Data'!$F$6:$F$605,MATCH($B$6&amp;"O"&amp;9,'11_Task_Data'!$R$6:$R$605,0)),"")</x:f>
        <x:v>High</x:v>
      </x:c>
      <x:c r="D23" s="64" t="n">
        <x:f aca="0">IFERROR(INDEX('11_Task_Data'!$H$6:$H$605,MATCH($B$6&amp;"O"&amp;9,'11_Task_Data'!$R$6:$R$605,0)),"")</x:f>
        <x:v>46289</x:v>
      </x:c>
      <x:c r="E23" s="65" t="n">
        <x:f aca="0">IFERROR(INDEX('11_Task_Data'!$I$6:$I$605,MATCH($B$6&amp;"O"&amp;9,'11_Task_Data'!$R$6:$R$605,0)),"")</x:f>
        <x:v>71</x:v>
      </x:c>
      <x:c r="F23" t="str">
        <x:f aca="0">IFERROR(INDEX('11_Task_Data'!$E$6:$E$605,MATCH($B$6&amp;"O"&amp;9,'11_Task_Data'!$R$6:$R$605,0)),"")</x:f>
        <x:v>Karan</x:v>
      </x:c>
      <x:c r="G23" t="str">
        <x:f aca="0">IFERROR(INDEX('11_Task_Data'!$K$6:$K$605,MATCH($B$6&amp;"O"&amp;9,'11_Task_Data'!$R$6:$R$605,0)),"")</x:f>
        <x:v>Awaiting clarification</x:v>
      </x:c>
      <x:c r="H23" t="str">
        <x:f aca="0">IFERROR(INDEX('11_Task_Data'!$L$6:$L$605,MATCH($B$6&amp;"O"&amp;9,'11_Task_Data'!$R$6:$R$605,0)),"")</x:f>
        <x:v>NO</x:v>
      </x:c>
      <x:c r="I23" t="str">
        <x:f aca="0">IFERROR(INDEX('11_Task_Data'!$J$6:$J$605,MATCH($B$6&amp;"O"&amp;9,'11_Task_Data'!$R$6:$R$605,0)),"")</x:f>
        <x:v>In Progress</x:v>
      </x:c>
      <x:c r="J23" t="n">
        <x:f aca="0">IFERROR(INDEX('11_Task_Data'!$N$6:$N$605,MATCH($B$6&amp;"O"&amp;9,'11_Task_Data'!$R$6:$R$605,0)),"")</x:f>
        <x:v>101</x:v>
      </x:c>
      <x:c r="K23" s="64" t="n">
        <x:f aca="0">IFERROR(INDEX('11_Task_Data'!$O$6:$O$605,MATCH($B$6&amp;"O"&amp;9,'11_Task_Data'!$R$6:$R$605,0)),"")</x:f>
        <x:v>46274</x:v>
      </x:c>
      <x:c r="L23" s="66" t="str">
        <x:f aca="1">IF(G23&lt;&gt;"","GET SUPPORT",IF(H23="YES","ESCALATE",IF(D23&lt;TODAY(),"RECOVER","EXECUTE")))</x:f>
        <x:v>GET SUPPORT</x:v>
      </x:c>
      <x:c r="M23" t="str">
        <x:f aca="0">IFERROR(INDEX('10_Project_Data'!$X$6:$X$105,MATCH(A23,'10_Project_Data'!$A$6:$A$105,0)),"")</x:f>
        <x:v>AMBER</x:v>
      </x:c>
      <x:c r="N23" t="n">
        <x:f aca="0">IFERROR(INDEX('10_Project_Data'!$W$6:$W$105,MATCH(A23,'10_Project_Data'!$A$6:$A$105,0)),"")</x:f>
        <x:v>7</x:v>
      </x:c>
    </x:row>
    <x:row r="24" ht="15" hidden="0">
      <x:c r="A24" t="str">
        <x:f aca="0">IFERROR(INDEX('11_Task_Data'!$A$6:$A$605,MATCH($B$6&amp;"O"&amp;10,'11_Task_Data'!$R$6:$R$605,0)),"")</x:f>
        <x:v>P021</x:v>
      </x:c>
      <x:c r="B24" t="str">
        <x:f aca="0">IFERROR(INDEX('11_Task_Data'!$C$6:$C$605,MATCH($B$6&amp;"O"&amp;10,'11_Task_Data'!$R$6:$R$605,0)),"")</x:f>
        <x:v>BOM / commercial approval</x:v>
      </x:c>
      <x:c r="C24" t="str">
        <x:f aca="0">IFERROR(INDEX('11_Task_Data'!$F$6:$F$605,MATCH($B$6&amp;"O"&amp;10,'11_Task_Data'!$R$6:$R$605,0)),"")</x:f>
        <x:v>Critical</x:v>
      </x:c>
      <x:c r="D24" s="64" t="n">
        <x:f aca="0">IFERROR(INDEX('11_Task_Data'!$H$6:$H$605,MATCH($B$6&amp;"O"&amp;10,'11_Task_Data'!$R$6:$R$605,0)),"")</x:f>
        <x:v>46264</x:v>
      </x:c>
      <x:c r="E24" s="65" t="n">
        <x:f aca="0">IFERROR(INDEX('11_Task_Data'!$I$6:$I$605,MATCH($B$6&amp;"O"&amp;10,'11_Task_Data'!$R$6:$R$605,0)),"")</x:f>
        <x:v>25</x:v>
      </x:c>
      <x:c r="F24" t="str">
        <x:f aca="0">IFERROR(INDEX('11_Task_Data'!$E$6:$E$605,MATCH($B$6&amp;"O"&amp;10,'11_Task_Data'!$R$6:$R$605,0)),"")</x:f>
        <x:v>Karan</x:v>
      </x:c>
      <x:c r="G24" t="str">
        <x:f aca="0">IFERROR(INDEX('11_Task_Data'!$K$6:$K$605,MATCH($B$6&amp;"O"&amp;10,'11_Task_Data'!$R$6:$R$605,0)),"")</x:f>
      </x:c>
      <x:c r="H24" t="str">
        <x:f aca="0">IFERROR(INDEX('11_Task_Data'!$L$6:$L$605,MATCH($B$6&amp;"O"&amp;10,'11_Task_Data'!$R$6:$R$605,0)),"")</x:f>
        <x:v>NO</x:v>
      </x:c>
      <x:c r="I24" t="str">
        <x:f aca="0">IFERROR(INDEX('11_Task_Data'!$J$6:$J$605,MATCH($B$6&amp;"O"&amp;10,'11_Task_Data'!$R$6:$R$605,0)),"")</x:f>
        <x:v>In Progress</x:v>
      </x:c>
      <x:c r="J24" t="n">
        <x:f aca="0">IFERROR(INDEX('11_Task_Data'!$N$6:$N$605,MATCH($B$6&amp;"O"&amp;10,'11_Task_Data'!$R$6:$R$605,0)),"")</x:f>
        <x:v>72</x:v>
      </x:c>
      <x:c r="K24" s="64" t="n">
        <x:f aca="0">IFERROR(INDEX('11_Task_Data'!$O$6:$O$605,MATCH($B$6&amp;"O"&amp;10,'11_Task_Data'!$R$6:$R$605,0)),"")</x:f>
        <x:v>46274</x:v>
      </x:c>
      <x:c r="L24" s="66" t="str">
        <x:f aca="1">IF(G24&lt;&gt;"","GET SUPPORT",IF(H24="YES","ESCALATE",IF(D24&lt;TODAY(),"RECOVER","EXECUTE")))</x:f>
        <x:v>RECOVER</x:v>
      </x:c>
      <x:c r="M24" t="str">
        <x:f aca="0">IFERROR(INDEX('10_Project_Data'!$X$6:$X$105,MATCH(A24,'10_Project_Data'!$A$6:$A$105,0)),"")</x:f>
        <x:v>RED</x:v>
      </x:c>
      <x:c r="N24" t="n">
        <x:f aca="0">IFERROR(INDEX('10_Project_Data'!$W$6:$W$105,MATCH(A24,'10_Project_Data'!$A$6:$A$105,0)),"")</x:f>
        <x:v>11</x:v>
      </x:c>
    </x:row>
  </x:sheetData>
  <x:mergeCells>
    <x:mergeCell ref="A1:N1"/>
    <x:mergeCell ref="A2:N2"/>
    <x:mergeCell ref="A8:C8"/>
    <x:mergeCell ref="D8:F8"/>
    <x:mergeCell ref="G8:I8"/>
    <x:mergeCell ref="J8:L8"/>
    <x:mergeCell ref="A9:C10"/>
    <x:mergeCell ref="D9:F10"/>
    <x:mergeCell ref="G9:I10"/>
    <x:mergeCell ref="J9:L10"/>
    <x:mergeCell ref="A13:N13"/>
  </x:mergeCells>
  <x:dataValidations count="1">
    <x:dataValidation type="list" errorStyle="stop" operator="between" allowBlank="0" showDropDown="0" showInputMessage="0" showErrorMessage="0" sqref="B6">
      <x:formula1>14_Config!$J$2:$J$100</x:formula1>
      <x:formula2>0</x:formula2>
    </x:dataValidation>
  </x:dataValidations>
  <x:hyperlinks>
    <x:hyperlink xmlns:r="http://schemas.openxmlformats.org/officeDocument/2006/relationships" ref="A4" r:id="R5a8a739e673e46de"/>
    <x:hyperlink xmlns:r="http://schemas.openxmlformats.org/officeDocument/2006/relationships" ref="B4" r:id="R43ea029928694963"/>
    <x:hyperlink xmlns:r="http://schemas.openxmlformats.org/officeDocument/2006/relationships" ref="C4" r:id="R1e108930cdc94541"/>
    <x:hyperlink xmlns:r="http://schemas.openxmlformats.org/officeDocument/2006/relationships" ref="D4" r:id="R89ac53f1a6404767"/>
    <x:hyperlink xmlns:r="http://schemas.openxmlformats.org/officeDocument/2006/relationships" ref="E4" r:id="R01587d81dc434093"/>
    <x:hyperlink xmlns:r="http://schemas.openxmlformats.org/officeDocument/2006/relationships" ref="F4" r:id="Ra120e44ba0ae4ed8"/>
    <x:hyperlink xmlns:r="http://schemas.openxmlformats.org/officeDocument/2006/relationships" ref="G4" r:id="R6ca14cfafe8242d9"/>
    <x:hyperlink xmlns:r="http://schemas.openxmlformats.org/officeDocument/2006/relationships" ref="H4" r:id="R41f73c206bd5446e"/>
    <x:hyperlink xmlns:r="http://schemas.openxmlformats.org/officeDocument/2006/relationships" ref="I4" r:id="R99b917445649440e"/>
    <x:hyperlink xmlns:r="http://schemas.openxmlformats.org/officeDocument/2006/relationships" ref="J4" r:id="R0ecf9fa5965a4d60"/>
    <x:hyperlink xmlns:r="http://schemas.openxmlformats.org/officeDocument/2006/relationships" ref="K4" r:id="Raa8fa652dc0f4120"/>
    <x:hyperlink xmlns:r="http://schemas.openxmlformats.org/officeDocument/2006/relationships" ref="L4" r:id="R231b8a31b77f4226"/>
    <x:hyperlink xmlns:r="http://schemas.openxmlformats.org/officeDocument/2006/relationships" ref="M4" r:id="R4c7dcf37ee4240b9"/>
  </x:hyperlinks>
  <x:pageMargins left="0.7" right="0.7" top="0.75" bottom="0.75" header="0.3" footer="0.3"/>
  <x:drawing xmlns:r="http://schemas.openxmlformats.org/officeDocument/2006/relationships" r:id="R1fac90b15aba46f8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8" hidden="0" customWidth="1"/>
    <x:col min="2" max="2" width="26" hidden="0" customWidth="1"/>
    <x:col min="3" max="5" width="16" hidden="0" customWidth="1"/>
    <x:col min="6" max="7" width="12" hidden="0" customWidth="1"/>
    <x:col min="8" max="36" width="4.199999809265137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8" max="8" width="12" hidden="0" customWidth="1"/>
    <x:col min="9" max="9" width="12" hidden="0" customWidth="1"/>
    <x:col min="3" max="3" width="17" hidden="0" customWidth="1"/>
    <x:col min="4" max="4" width="16" hidden="0" customWidth="1"/>
    <x:col min="5" max="5" width="9" hidden="0" customWidth="1"/>
    <x:col min="6" max="6" width="10" hidden="0" customWidth="1"/>
    <x:col min="7" max="7" width="10" hidden="0" customWidth="1"/>
  </x:cols>
  <x:sheetData>
    <x:row r="1" ht="32" hidden="0" customHeight="1">
      <x:c r="A1" s="309" t="s">
        <x:v>367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09"/>
      <x:c r="N1" s="309"/>
      <x:c r="O1" s="309"/>
      <x:c r="P1" s="309"/>
      <x:c r="Q1" s="309"/>
      <x:c r="R1" s="309"/>
      <x:c r="S1" s="309"/>
      <x:c r="T1" s="309"/>
      <x:c r="U1" s="309"/>
      <x:c r="V1" s="309"/>
      <x:c r="W1" s="309"/>
      <x:c r="X1" s="309"/>
      <x:c r="Y1" s="309"/>
      <x:c r="Z1" s="309"/>
      <x:c r="AA1" s="309"/>
      <x:c r="AB1" s="309"/>
      <x:c r="AC1" s="309"/>
      <x:c r="AD1" s="309"/>
      <x:c r="AE1" s="309"/>
      <x:c r="AF1" s="309"/>
      <x:c r="AG1" s="309"/>
      <x:c r="AH1" s="309"/>
      <x:c r="AI1" s="309"/>
      <x:c r="AJ1" s="309"/>
      <x:c r="AK1" s="1"/>
      <x:c r="AL1" s="1"/>
      <x:c r="AM1" s="1"/>
      <x:c r="AN1" s="1"/>
    </x:row>
    <x:row r="2" ht="22" hidden="0" customHeight="1">
      <x:c r="A2" s="209" t="s">
        <x:v>368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09"/>
      <x:c r="O2" s="209"/>
      <x:c r="P2" s="209"/>
      <x:c r="Q2" s="209"/>
      <x:c r="R2" s="209"/>
      <x:c r="S2" s="209"/>
      <x:c r="T2" s="209"/>
      <x:c r="U2" s="209"/>
      <x:c r="V2" s="209"/>
      <x:c r="W2" s="209"/>
      <x:c r="X2" s="209"/>
      <x:c r="Y2" s="209"/>
      <x:c r="Z2" s="209"/>
      <x:c r="AA2" s="209"/>
      <x:c r="AB2" s="209"/>
      <x:c r="AC2" s="209"/>
      <x:c r="AD2" s="209"/>
      <x:c r="AE2" s="209"/>
      <x:c r="AF2" s="209"/>
      <x:c r="AG2" s="209"/>
      <x:c r="AH2" s="209"/>
      <x:c r="AI2" s="209"/>
      <x:c r="AJ2" s="209"/>
      <x:c r="AK2" s="2"/>
      <x:c r="AL2" s="2"/>
      <x:c r="AM2" s="2"/>
      <x:c r="AN2" s="2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5" ht="15" hidden="0">
      <x:c r="A5" s="69" t="s">
        <x:v>369</x:v>
      </x:c>
    </x:row>
    <x:row r="7" ht="34" hidden="0" customHeight="1">
      <x:c r="A7" s="265" t="s">
        <x:v>99</x:v>
      </x:c>
      <x:c r="B7" s="265" t="s">
        <x:v>73</x:v>
      </x:c>
      <x:c r="C7" s="265" t="s">
        <x:v>54</x:v>
      </x:c>
      <x:c r="D7" s="265" t="s">
        <x:v>77</x:v>
      </x:c>
      <x:c r="E7" s="265" t="s">
        <x:v>58</x:v>
      </x:c>
      <x:c r="F7" s="265" t="s">
        <x:v>100</x:v>
      </x:c>
      <x:c r="G7" s="265" t="s">
        <x:v>74</x:v>
      </x:c>
      <x:c r="H7" s="265" t="s">
        <x:v>370</x:v>
      </x:c>
      <x:c r="I7" s="265" t="s">
        <x:v>371</x:v>
      </x:c>
      <x:c r="J7" s="276" t="n">
        <x:v>46204</x:v>
      </x:c>
      <x:c r="K7" s="276" t="n">
        <x:v>46211</x:v>
      </x:c>
      <x:c r="L7" s="276" t="n">
        <x:v>46218</x:v>
      </x:c>
      <x:c r="M7" s="276" t="n">
        <x:v>46225</x:v>
      </x:c>
      <x:c r="N7" s="276" t="n">
        <x:v>46232</x:v>
      </x:c>
      <x:c r="O7" s="276" t="n">
        <x:v>46239</x:v>
      </x:c>
      <x:c r="P7" s="276" t="n">
        <x:v>46246</x:v>
      </x:c>
      <x:c r="Q7" s="276" t="n">
        <x:v>46253</x:v>
      </x:c>
      <x:c r="R7" s="276" t="n">
        <x:v>46260</x:v>
      </x:c>
      <x:c r="S7" s="276" t="n">
        <x:v>46267</x:v>
      </x:c>
      <x:c r="T7" s="276" t="n">
        <x:v>46274</x:v>
      </x:c>
      <x:c r="U7" s="276" t="n">
        <x:v>46281</x:v>
      </x:c>
      <x:c r="V7" s="276" t="n">
        <x:v>46288</x:v>
      </x:c>
      <x:c r="W7" s="276" t="n">
        <x:v>46295</x:v>
      </x:c>
      <x:c r="X7" s="276" t="n">
        <x:v>46302</x:v>
      </x:c>
      <x:c r="Y7" s="276" t="n">
        <x:v>46309</x:v>
      </x:c>
      <x:c r="Z7" s="276" t="n">
        <x:v>46316</x:v>
      </x:c>
      <x:c r="AA7" s="276" t="n">
        <x:v>46323</x:v>
      </x:c>
      <x:c r="AB7" s="276" t="n">
        <x:v>46330</x:v>
      </x:c>
      <x:c r="AC7" s="276" t="n">
        <x:v>46337</x:v>
      </x:c>
      <x:c r="AD7" s="276" t="n">
        <x:v>46344</x:v>
      </x:c>
      <x:c r="AE7" s="276" t="n">
        <x:v>46351</x:v>
      </x:c>
      <x:c r="AF7" s="276" t="n">
        <x:v>46358</x:v>
      </x:c>
      <x:c r="AG7" s="276" t="n">
        <x:v>46365</x:v>
      </x:c>
      <x:c r="AH7" s="276" t="n">
        <x:v>46372</x:v>
      </x:c>
      <x:c r="AI7" s="276" t="n">
        <x:v>46379</x:v>
      </x:c>
      <x:c r="AJ7" s="276" t="n">
        <x:v>46386</x:v>
      </x:c>
    </x:row>
    <x:row r="8" ht="15" hidden="0">
      <x:c r="A8" t="s">
        <x:v>264</x:v>
      </x:c>
      <x:c r="B8" t="s">
        <x:v>265</x:v>
      </x:c>
      <x:c r="C8" t="s">
        <x:v>67</x:v>
      </x:c>
      <x:c r="D8" t="s">
        <x:v>97</x:v>
      </x:c>
      <x:c r="E8" s="37" t="s">
        <x:v>63</x:v>
      </x:c>
      <x:c r="F8" s="34" t="n">
        <x:v>65.2</x:v>
      </x:c>
      <x:c r="G8" t="n">
        <x:v>69</x:v>
      </x:c>
      <x:c r="H8" s="274" t="n">
        <x:v>46204</x:v>
      </x:c>
      <x:c r="I8" s="274" t="n">
        <x:v>46295</x:v>
      </x:c>
      <x:c r="J8" s="71" t="s">
        <x:v>372</x:v>
      </x:c>
      <x:c r="K8" s="71" t="s">
        <x:v>372</x:v>
      </x:c>
      <x:c r="L8" s="71" t="s">
        <x:v>372</x:v>
      </x:c>
      <x:c r="M8" s="71" t="s">
        <x:v>372</x:v>
      </x:c>
      <x:c r="N8" s="71" t="s">
        <x:v>372</x:v>
      </x:c>
      <x:c r="O8" s="71" t="s">
        <x:v>372</x:v>
      </x:c>
      <x:c r="P8" s="71" t="s">
        <x:v>372</x:v>
      </x:c>
      <x:c r="Q8" s="71" t="s">
        <x:v>372</x:v>
      </x:c>
      <x:c r="R8" s="71" t="s">
        <x:v>372</x:v>
      </x:c>
      <x:c r="S8" s="71" t="s">
        <x:v>372</x:v>
      </x:c>
      <x:c r="T8" s="71" t="s">
        <x:v>372</x:v>
      </x:c>
      <x:c r="U8" s="71" t="s">
        <x:v>372</x:v>
      </x:c>
      <x:c r="V8" s="71" t="s">
        <x:v>372</x:v>
      </x:c>
      <x:c r="W8" s="71" t="s">
        <x:v>372</x:v>
      </x:c>
      <x:c r="X8" s="72"/>
      <x:c r="Y8" s="72"/>
      <x:c r="Z8" s="72"/>
      <x:c r="AA8" s="72"/>
      <x:c r="AB8" s="72"/>
      <x:c r="AC8" s="72"/>
      <x:c r="AD8" s="72"/>
      <x:c r="AE8" s="72"/>
      <x:c r="AF8" s="72"/>
      <x:c r="AG8" s="72"/>
      <x:c r="AH8" s="72"/>
      <x:c r="AI8" s="72"/>
      <x:c r="AJ8" s="72"/>
    </x:row>
    <x:row r="9" ht="15" hidden="0">
      <x:c r="A9" t="s">
        <x:v>206</x:v>
      </x:c>
      <x:c r="B9" t="s">
        <x:v>207</x:v>
      </x:c>
      <x:c r="C9" t="s">
        <x:v>67</x:v>
      </x:c>
      <x:c r="D9" t="s">
        <x:v>160</x:v>
      </x:c>
      <x:c r="E9" s="26" t="s">
        <x:v>65</x:v>
      </x:c>
      <x:c r="F9" s="34" t="n">
        <x:v>45.3</x:v>
      </x:c>
      <x:c r="G9" t="n">
        <x:v>42</x:v>
      </x:c>
      <x:c r="H9" s="274" t="n">
        <x:v>46205</x:v>
      </x:c>
      <x:c r="I9" s="274" t="n">
        <x:v>46288</x:v>
      </x:c>
      <x:c r="J9" s="73" t="s">
        <x:v>372</x:v>
      </x:c>
      <x:c r="K9" s="73" t="s">
        <x:v>372</x:v>
      </x:c>
      <x:c r="L9" s="73" t="s">
        <x:v>372</x:v>
      </x:c>
      <x:c r="M9" s="73" t="s">
        <x:v>372</x:v>
      </x:c>
      <x:c r="N9" s="73" t="s">
        <x:v>372</x:v>
      </x:c>
      <x:c r="O9" s="73" t="s">
        <x:v>372</x:v>
      </x:c>
      <x:c r="P9" s="73" t="s">
        <x:v>372</x:v>
      </x:c>
      <x:c r="Q9" s="73" t="s">
        <x:v>372</x:v>
      </x:c>
      <x:c r="R9" s="73" t="s">
        <x:v>372</x:v>
      </x:c>
      <x:c r="S9" s="73" t="s">
        <x:v>372</x:v>
      </x:c>
      <x:c r="T9" s="73" t="s">
        <x:v>372</x:v>
      </x:c>
      <x:c r="U9" s="73" t="s">
        <x:v>372</x:v>
      </x:c>
      <x:c r="V9" s="73" t="s">
        <x:v>372</x:v>
      </x:c>
      <x:c r="W9" s="72"/>
      <x:c r="X9" s="72"/>
      <x:c r="Y9" s="72"/>
      <x:c r="Z9" s="72"/>
      <x:c r="AA9" s="72"/>
      <x:c r="AB9" s="72"/>
      <x:c r="AC9" s="72"/>
      <x:c r="AD9" s="72"/>
      <x:c r="AE9" s="72"/>
      <x:c r="AF9" s="72"/>
      <x:c r="AG9" s="72"/>
      <x:c r="AH9" s="72"/>
      <x:c r="AI9" s="72"/>
      <x:c r="AJ9" s="72"/>
    </x:row>
    <x:row r="10" ht="15" hidden="0">
      <x:c r="A10" t="s">
        <x:v>236</x:v>
      </x:c>
      <x:c r="B10" t="s">
        <x:v>237</x:v>
      </x:c>
      <x:c r="C10" t="s">
        <x:v>69</x:v>
      </x:c>
      <x:c r="D10" t="s">
        <x:v>80</x:v>
      </x:c>
      <x:c r="E10" s="26" t="s">
        <x:v>65</x:v>
      </x:c>
      <x:c r="F10" s="34" t="n">
        <x:v>64</x:v>
      </x:c>
      <x:c r="G10" t="n">
        <x:v>22</x:v>
      </x:c>
      <x:c r="H10" s="274" t="n">
        <x:v>46206</x:v>
      </x:c>
      <x:c r="I10" s="274" t="n">
        <x:v>46320</x:v>
      </x:c>
      <x:c r="J10" s="73" t="s">
        <x:v>372</x:v>
      </x:c>
      <x:c r="K10" s="73" t="s">
        <x:v>372</x:v>
      </x:c>
      <x:c r="L10" s="73" t="s">
        <x:v>372</x:v>
      </x:c>
      <x:c r="M10" s="73" t="s">
        <x:v>372</x:v>
      </x:c>
      <x:c r="N10" s="73" t="s">
        <x:v>372</x:v>
      </x:c>
      <x:c r="O10" s="73" t="s">
        <x:v>372</x:v>
      </x:c>
      <x:c r="P10" s="73" t="s">
        <x:v>372</x:v>
      </x:c>
      <x:c r="Q10" s="73" t="s">
        <x:v>372</x:v>
      </x:c>
      <x:c r="R10" s="73" t="s">
        <x:v>372</x:v>
      </x:c>
      <x:c r="S10" s="73" t="s">
        <x:v>372</x:v>
      </x:c>
      <x:c r="T10" s="73" t="s">
        <x:v>372</x:v>
      </x:c>
      <x:c r="U10" s="73" t="s">
        <x:v>372</x:v>
      </x:c>
      <x:c r="V10" s="73" t="s">
        <x:v>372</x:v>
      </x:c>
      <x:c r="W10" s="73" t="s">
        <x:v>372</x:v>
      </x:c>
      <x:c r="X10" s="73" t="s">
        <x:v>372</x:v>
      </x:c>
      <x:c r="Y10" s="73" t="s">
        <x:v>372</x:v>
      </x:c>
      <x:c r="Z10" s="73" t="s">
        <x:v>372</x:v>
      </x:c>
      <x:c r="AA10" s="72"/>
      <x:c r="AB10" s="72"/>
      <x:c r="AC10" s="72"/>
      <x:c r="AD10" s="72"/>
      <x:c r="AE10" s="72"/>
      <x:c r="AF10" s="72"/>
      <x:c r="AG10" s="72"/>
      <x:c r="AH10" s="72"/>
      <x:c r="AI10" s="72"/>
      <x:c r="AJ10" s="72"/>
    </x:row>
    <x:row r="11" ht="15" hidden="0">
      <x:c r="A11" t="s">
        <x:v>200</x:v>
      </x:c>
      <x:c r="B11" t="s">
        <x:v>201</x:v>
      </x:c>
      <x:c r="C11" t="s">
        <x:v>70</x:v>
      </x:c>
      <x:c r="D11" t="s">
        <x:v>132</x:v>
      </x:c>
      <x:c r="E11" s="26" t="s">
        <x:v>65</x:v>
      </x:c>
      <x:c r="F11" s="34" t="n">
        <x:v>19.8</x:v>
      </x:c>
      <x:c r="G11" t="n">
        <x:v>43</x:v>
      </x:c>
      <x:c r="H11" s="274" t="n">
        <x:v>46207</x:v>
      </x:c>
      <x:c r="I11" s="274" t="n">
        <x:v>46310</x:v>
      </x:c>
      <x:c r="J11" s="73" t="s">
        <x:v>372</x:v>
      </x:c>
      <x:c r="K11" s="73" t="s">
        <x:v>372</x:v>
      </x:c>
      <x:c r="L11" s="73" t="s">
        <x:v>372</x:v>
      </x:c>
      <x:c r="M11" s="73" t="s">
        <x:v>372</x:v>
      </x:c>
      <x:c r="N11" s="73" t="s">
        <x:v>372</x:v>
      </x:c>
      <x:c r="O11" s="73" t="s">
        <x:v>372</x:v>
      </x:c>
      <x:c r="P11" s="73" t="s">
        <x:v>372</x:v>
      </x:c>
      <x:c r="Q11" s="73" t="s">
        <x:v>372</x:v>
      </x:c>
      <x:c r="R11" s="73" t="s">
        <x:v>372</x:v>
      </x:c>
      <x:c r="S11" s="73" t="s">
        <x:v>372</x:v>
      </x:c>
      <x:c r="T11" s="73" t="s">
        <x:v>372</x:v>
      </x:c>
      <x:c r="U11" s="73" t="s">
        <x:v>372</x:v>
      </x:c>
      <x:c r="V11" s="73" t="s">
        <x:v>372</x:v>
      </x:c>
      <x:c r="W11" s="73" t="s">
        <x:v>372</x:v>
      </x:c>
      <x:c r="X11" s="73" t="s">
        <x:v>372</x:v>
      </x:c>
      <x:c r="Y11" s="73" t="s">
        <x:v>372</x:v>
      </x:c>
      <x:c r="Z11" s="72"/>
      <x:c r="AA11" s="72"/>
      <x:c r="AB11" s="72"/>
      <x:c r="AC11" s="72"/>
      <x:c r="AD11" s="72"/>
      <x:c r="AE11" s="72"/>
      <x:c r="AF11" s="72"/>
      <x:c r="AG11" s="72"/>
      <x:c r="AH11" s="72"/>
      <x:c r="AI11" s="72"/>
      <x:c r="AJ11" s="72"/>
    </x:row>
    <x:row r="12" ht="15" hidden="0">
      <x:c r="A12" t="s">
        <x:v>296</x:v>
      </x:c>
      <x:c r="B12" t="s">
        <x:v>297</x:v>
      </x:c>
      <x:c r="C12" t="s">
        <x:v>68</x:v>
      </x:c>
      <x:c r="D12" t="s">
        <x:v>86</x:v>
      </x:c>
      <x:c r="E12" s="37" t="s">
        <x:v>63</x:v>
      </x:c>
      <x:c r="F12" s="34" t="n">
        <x:v>85.3</x:v>
      </x:c>
      <x:c r="G12" t="n">
        <x:v>33</x:v>
      </x:c>
      <x:c r="H12" s="274" t="n">
        <x:v>46208</x:v>
      </x:c>
      <x:c r="I12" s="274" t="n">
        <x:v>46335</x:v>
      </x:c>
      <x:c r="J12" s="71" t="s">
        <x:v>372</x:v>
      </x:c>
      <x:c r="K12" s="71" t="s">
        <x:v>372</x:v>
      </x:c>
      <x:c r="L12" s="71" t="s">
        <x:v>372</x:v>
      </x:c>
      <x:c r="M12" s="71" t="s">
        <x:v>372</x:v>
      </x:c>
      <x:c r="N12" s="71" t="s">
        <x:v>372</x:v>
      </x:c>
      <x:c r="O12" s="71" t="s">
        <x:v>372</x:v>
      </x:c>
      <x:c r="P12" s="71" t="s">
        <x:v>372</x:v>
      </x:c>
      <x:c r="Q12" s="71" t="s">
        <x:v>372</x:v>
      </x:c>
      <x:c r="R12" s="71" t="s">
        <x:v>372</x:v>
      </x:c>
      <x:c r="S12" s="71" t="s">
        <x:v>372</x:v>
      </x:c>
      <x:c r="T12" s="71" t="s">
        <x:v>372</x:v>
      </x:c>
      <x:c r="U12" s="71" t="s">
        <x:v>372</x:v>
      </x:c>
      <x:c r="V12" s="71" t="s">
        <x:v>372</x:v>
      </x:c>
      <x:c r="W12" s="71" t="s">
        <x:v>372</x:v>
      </x:c>
      <x:c r="X12" s="71" t="s">
        <x:v>372</x:v>
      </x:c>
      <x:c r="Y12" s="71" t="s">
        <x:v>372</x:v>
      </x:c>
      <x:c r="Z12" s="71" t="s">
        <x:v>372</x:v>
      </x:c>
      <x:c r="AA12" s="71" t="s">
        <x:v>372</x:v>
      </x:c>
      <x:c r="AB12" s="71" t="s">
        <x:v>372</x:v>
      </x:c>
      <x:c r="AC12" s="72"/>
      <x:c r="AD12" s="72"/>
      <x:c r="AE12" s="72"/>
      <x:c r="AF12" s="72"/>
      <x:c r="AG12" s="72"/>
      <x:c r="AH12" s="72"/>
      <x:c r="AI12" s="72"/>
      <x:c r="AJ12" s="72"/>
    </x:row>
    <x:row r="13" ht="15" hidden="0">
      <x:c r="A13" t="s">
        <x:v>185</x:v>
      </x:c>
      <x:c r="B13" t="s">
        <x:v>186</x:v>
      </x:c>
      <x:c r="C13" t="s">
        <x:v>67</x:v>
      </x:c>
      <x:c r="D13" t="s">
        <x:v>97</x:v>
      </x:c>
      <x:c r="E13" s="26" t="s">
        <x:v>65</x:v>
      </x:c>
      <x:c r="F13" s="34" t="n">
        <x:v>60</x:v>
      </x:c>
      <x:c r="G13" t="n">
        <x:v>53</x:v>
      </x:c>
      <x:c r="H13" s="274" t="n">
        <x:v>46209</x:v>
      </x:c>
      <x:c r="I13" s="274" t="n">
        <x:v>46293</x:v>
      </x:c>
      <x:c r="J13" s="73" t="s">
        <x:v>372</x:v>
      </x:c>
      <x:c r="K13" s="73" t="s">
        <x:v>372</x:v>
      </x:c>
      <x:c r="L13" s="73" t="s">
        <x:v>372</x:v>
      </x:c>
      <x:c r="M13" s="73" t="s">
        <x:v>372</x:v>
      </x:c>
      <x:c r="N13" s="73" t="s">
        <x:v>372</x:v>
      </x:c>
      <x:c r="O13" s="73" t="s">
        <x:v>372</x:v>
      </x:c>
      <x:c r="P13" s="73" t="s">
        <x:v>372</x:v>
      </x:c>
      <x:c r="Q13" s="73" t="s">
        <x:v>372</x:v>
      </x:c>
      <x:c r="R13" s="73" t="s">
        <x:v>372</x:v>
      </x:c>
      <x:c r="S13" s="73" t="s">
        <x:v>372</x:v>
      </x:c>
      <x:c r="T13" s="73" t="s">
        <x:v>372</x:v>
      </x:c>
      <x:c r="U13" s="73" t="s">
        <x:v>372</x:v>
      </x:c>
      <x:c r="V13" s="73" t="s">
        <x:v>372</x:v>
      </x:c>
      <x:c r="W13" s="72"/>
      <x:c r="X13" s="72"/>
      <x:c r="Y13" s="72"/>
      <x:c r="Z13" s="72"/>
      <x:c r="AA13" s="72"/>
      <x:c r="AB13" s="72"/>
      <x:c r="AC13" s="72"/>
      <x:c r="AD13" s="72"/>
      <x:c r="AE13" s="72"/>
      <x:c r="AF13" s="72"/>
      <x:c r="AG13" s="72"/>
      <x:c r="AH13" s="72"/>
      <x:c r="AI13" s="72"/>
      <x:c r="AJ13" s="72"/>
    </x:row>
    <x:row r="14" ht="15" hidden="0">
      <x:c r="A14" t="s">
        <x:v>152</x:v>
      </x:c>
      <x:c r="B14" t="s">
        <x:v>153</x:v>
      </x:c>
      <x:c r="C14" t="s">
        <x:v>123</x:v>
      </x:c>
      <x:c r="D14" t="s">
        <x:v>97</x:v>
      </x:c>
      <x:c r="E14" s="26" t="s">
        <x:v>65</x:v>
      </x:c>
      <x:c r="F14" s="34" t="n">
        <x:v>35.7</x:v>
      </x:c>
      <x:c r="G14" t="n">
        <x:v>74</x:v>
      </x:c>
      <x:c r="H14" s="274" t="n">
        <x:v>46210</x:v>
      </x:c>
      <x:c r="I14" s="274" t="n">
        <x:v>46298</x:v>
      </x:c>
      <x:c r="J14" s="73" t="s">
        <x:v>372</x:v>
      </x:c>
      <x:c r="K14" s="73" t="s">
        <x:v>372</x:v>
      </x:c>
      <x:c r="L14" s="73" t="s">
        <x:v>372</x:v>
      </x:c>
      <x:c r="M14" s="73" t="s">
        <x:v>372</x:v>
      </x:c>
      <x:c r="N14" s="73" t="s">
        <x:v>372</x:v>
      </x:c>
      <x:c r="O14" s="73" t="s">
        <x:v>372</x:v>
      </x:c>
      <x:c r="P14" s="73" t="s">
        <x:v>372</x:v>
      </x:c>
      <x:c r="Q14" s="73" t="s">
        <x:v>372</x:v>
      </x:c>
      <x:c r="R14" s="73" t="s">
        <x:v>372</x:v>
      </x:c>
      <x:c r="S14" s="73" t="s">
        <x:v>372</x:v>
      </x:c>
      <x:c r="T14" s="73" t="s">
        <x:v>372</x:v>
      </x:c>
      <x:c r="U14" s="73" t="s">
        <x:v>372</x:v>
      </x:c>
      <x:c r="V14" s="73" t="s">
        <x:v>372</x:v>
      </x:c>
      <x:c r="W14" s="73" t="s">
        <x:v>372</x:v>
      </x:c>
      <x:c r="X14" s="72"/>
      <x:c r="Y14" s="72"/>
      <x:c r="Z14" s="72"/>
      <x:c r="AA14" s="72"/>
      <x:c r="AB14" s="72"/>
      <x:c r="AC14" s="72"/>
      <x:c r="AD14" s="72"/>
      <x:c r="AE14" s="72"/>
      <x:c r="AF14" s="72"/>
      <x:c r="AG14" s="72"/>
      <x:c r="AH14" s="72"/>
      <x:c r="AI14" s="72"/>
      <x:c r="AJ14" s="72"/>
    </x:row>
    <x:row r="15" ht="15" hidden="0">
      <x:c r="A15" t="s">
        <x:v>304</x:v>
      </x:c>
      <x:c r="B15" t="s">
        <x:v>305</x:v>
      </x:c>
      <x:c r="C15" t="s">
        <x:v>69</x:v>
      </x:c>
      <x:c r="D15" t="s">
        <x:v>80</x:v>
      </x:c>
      <x:c r="E15" s="37" t="s">
        <x:v>63</x:v>
      </x:c>
      <x:c r="F15" s="34" t="n">
        <x:v>83.2</x:v>
      </x:c>
      <x:c r="G15" t="n">
        <x:v>15</x:v>
      </x:c>
      <x:c r="H15" s="274" t="n">
        <x:v>46211</x:v>
      </x:c>
      <x:c r="I15" s="274" t="n">
        <x:v>46351</x:v>
      </x:c>
      <x:c r="J15" s="72"/>
      <x:c r="K15" s="71" t="s">
        <x:v>372</x:v>
      </x:c>
      <x:c r="L15" s="71" t="s">
        <x:v>372</x:v>
      </x:c>
      <x:c r="M15" s="71" t="s">
        <x:v>372</x:v>
      </x:c>
      <x:c r="N15" s="71" t="s">
        <x:v>372</x:v>
      </x:c>
      <x:c r="O15" s="71" t="s">
        <x:v>372</x:v>
      </x:c>
      <x:c r="P15" s="71" t="s">
        <x:v>372</x:v>
      </x:c>
      <x:c r="Q15" s="71" t="s">
        <x:v>372</x:v>
      </x:c>
      <x:c r="R15" s="71" t="s">
        <x:v>372</x:v>
      </x:c>
      <x:c r="S15" s="71" t="s">
        <x:v>372</x:v>
      </x:c>
      <x:c r="T15" s="71" t="s">
        <x:v>372</x:v>
      </x:c>
      <x:c r="U15" s="71" t="s">
        <x:v>372</x:v>
      </x:c>
      <x:c r="V15" s="71" t="s">
        <x:v>372</x:v>
      </x:c>
      <x:c r="W15" s="71" t="s">
        <x:v>372</x:v>
      </x:c>
      <x:c r="X15" s="71" t="s">
        <x:v>372</x:v>
      </x:c>
      <x:c r="Y15" s="71" t="s">
        <x:v>372</x:v>
      </x:c>
      <x:c r="Z15" s="71" t="s">
        <x:v>372</x:v>
      </x:c>
      <x:c r="AA15" s="71" t="s">
        <x:v>372</x:v>
      </x:c>
      <x:c r="AB15" s="71" t="s">
        <x:v>372</x:v>
      </x:c>
      <x:c r="AC15" s="71" t="s">
        <x:v>372</x:v>
      </x:c>
      <x:c r="AD15" s="71" t="s">
        <x:v>372</x:v>
      </x:c>
      <x:c r="AE15" s="71" t="s">
        <x:v>372</x:v>
      </x:c>
      <x:c r="AF15" s="72"/>
      <x:c r="AG15" s="72"/>
      <x:c r="AH15" s="72"/>
      <x:c r="AI15" s="72"/>
      <x:c r="AJ15" s="72"/>
    </x:row>
    <x:row r="16" ht="15" hidden="0">
      <x:c r="A16" t="s">
        <x:v>179</x:v>
      </x:c>
      <x:c r="B16" t="s">
        <x:v>180</x:v>
      </x:c>
      <x:c r="C16" t="s">
        <x:v>69</x:v>
      </x:c>
      <x:c r="D16" t="s">
        <x:v>160</x:v>
      </x:c>
      <x:c r="E16" s="26" t="s">
        <x:v>65</x:v>
      </x:c>
      <x:c r="F16" s="34" t="n">
        <x:v>22.2</x:v>
      </x:c>
      <x:c r="G16" t="n">
        <x:v>56</x:v>
      </x:c>
      <x:c r="H16" s="274" t="n">
        <x:v>46212</x:v>
      </x:c>
      <x:c r="I16" s="274" t="n">
        <x:v>46300</x:v>
      </x:c>
      <x:c r="J16" s="72"/>
      <x:c r="K16" s="73" t="s">
        <x:v>372</x:v>
      </x:c>
      <x:c r="L16" s="73" t="s">
        <x:v>372</x:v>
      </x:c>
      <x:c r="M16" s="73" t="s">
        <x:v>372</x:v>
      </x:c>
      <x:c r="N16" s="73" t="s">
        <x:v>372</x:v>
      </x:c>
      <x:c r="O16" s="73" t="s">
        <x:v>372</x:v>
      </x:c>
      <x:c r="P16" s="73" t="s">
        <x:v>372</x:v>
      </x:c>
      <x:c r="Q16" s="73" t="s">
        <x:v>372</x:v>
      </x:c>
      <x:c r="R16" s="73" t="s">
        <x:v>372</x:v>
      </x:c>
      <x:c r="S16" s="73" t="s">
        <x:v>372</x:v>
      </x:c>
      <x:c r="T16" s="73" t="s">
        <x:v>372</x:v>
      </x:c>
      <x:c r="U16" s="73" t="s">
        <x:v>372</x:v>
      </x:c>
      <x:c r="V16" s="73" t="s">
        <x:v>372</x:v>
      </x:c>
      <x:c r="W16" s="73" t="s">
        <x:v>372</x:v>
      </x:c>
      <x:c r="X16" s="72"/>
      <x:c r="Y16" s="72"/>
      <x:c r="Z16" s="72"/>
      <x:c r="AA16" s="72"/>
      <x:c r="AB16" s="72"/>
      <x:c r="AC16" s="72"/>
      <x:c r="AD16" s="72"/>
      <x:c r="AE16" s="72"/>
      <x:c r="AF16" s="72"/>
      <x:c r="AG16" s="72"/>
      <x:c r="AH16" s="72"/>
      <x:c r="AI16" s="72"/>
      <x:c r="AJ16" s="72"/>
    </x:row>
    <x:row r="17" ht="15" hidden="0">
      <x:c r="A17" t="s">
        <x:v>169</x:v>
      </x:c>
      <x:c r="B17" t="s">
        <x:v>170</x:v>
      </x:c>
      <x:c r="C17" t="s">
        <x:v>68</x:v>
      </x:c>
      <x:c r="D17" t="s">
        <x:v>86</x:v>
      </x:c>
      <x:c r="E17" s="26" t="s">
        <x:v>65</x:v>
      </x:c>
      <x:c r="F17" s="34" t="n">
        <x:v>77.7</x:v>
      </x:c>
      <x:c r="G17" t="n">
        <x:v>61</x:v>
      </x:c>
      <x:c r="H17" s="274" t="n">
        <x:v>46213</x:v>
      </x:c>
      <x:c r="I17" s="274" t="n">
        <x:v>46324</x:v>
      </x:c>
      <x:c r="J17" s="72"/>
      <x:c r="K17" s="73" t="s">
        <x:v>372</x:v>
      </x:c>
      <x:c r="L17" s="73" t="s">
        <x:v>372</x:v>
      </x:c>
      <x:c r="M17" s="73" t="s">
        <x:v>372</x:v>
      </x:c>
      <x:c r="N17" s="73" t="s">
        <x:v>372</x:v>
      </x:c>
      <x:c r="O17" s="73" t="s">
        <x:v>372</x:v>
      </x:c>
      <x:c r="P17" s="73" t="s">
        <x:v>372</x:v>
      </x:c>
      <x:c r="Q17" s="73" t="s">
        <x:v>372</x:v>
      </x:c>
      <x:c r="R17" s="73" t="s">
        <x:v>372</x:v>
      </x:c>
      <x:c r="S17" s="73" t="s">
        <x:v>372</x:v>
      </x:c>
      <x:c r="T17" s="73" t="s">
        <x:v>372</x:v>
      </x:c>
      <x:c r="U17" s="73" t="s">
        <x:v>372</x:v>
      </x:c>
      <x:c r="V17" s="73" t="s">
        <x:v>372</x:v>
      </x:c>
      <x:c r="W17" s="73" t="s">
        <x:v>372</x:v>
      </x:c>
      <x:c r="X17" s="73" t="s">
        <x:v>372</x:v>
      </x:c>
      <x:c r="Y17" s="73" t="s">
        <x:v>372</x:v>
      </x:c>
      <x:c r="Z17" s="73" t="s">
        <x:v>372</x:v>
      </x:c>
      <x:c r="AA17" s="73" t="s">
        <x:v>372</x:v>
      </x:c>
      <x:c r="AB17" s="72"/>
      <x:c r="AC17" s="72"/>
      <x:c r="AD17" s="72"/>
      <x:c r="AE17" s="72"/>
      <x:c r="AF17" s="72"/>
      <x:c r="AG17" s="72"/>
      <x:c r="AH17" s="72"/>
      <x:c r="AI17" s="72"/>
      <x:c r="AJ17" s="72"/>
    </x:row>
    <x:row r="18" ht="15" hidden="0">
      <x:c r="A18" t="s">
        <x:v>130</x:v>
      </x:c>
      <x:c r="B18" t="s">
        <x:v>131</x:v>
      </x:c>
      <x:c r="C18" t="s">
        <x:v>64</x:v>
      </x:c>
      <x:c r="D18" t="s">
        <x:v>132</x:v>
      </x:c>
      <x:c r="E18" s="26" t="s">
        <x:v>65</x:v>
      </x:c>
      <x:c r="F18" s="34" t="n">
        <x:v>88</x:v>
      </x:c>
      <x:c r="G18" t="n">
        <x:v>80</x:v>
      </x:c>
      <x:c r="H18" s="274" t="n">
        <x:v>46214</x:v>
      </x:c>
      <x:c r="I18" s="274" t="n">
        <x:v>46363</x:v>
      </x:c>
      <x:c r="J18" s="72"/>
      <x:c r="K18" s="73" t="s">
        <x:v>372</x:v>
      </x:c>
      <x:c r="L18" s="73" t="s">
        <x:v>372</x:v>
      </x:c>
      <x:c r="M18" s="73" t="s">
        <x:v>372</x:v>
      </x:c>
      <x:c r="N18" s="73" t="s">
        <x:v>372</x:v>
      </x:c>
      <x:c r="O18" s="73" t="s">
        <x:v>372</x:v>
      </x:c>
      <x:c r="P18" s="73" t="s">
        <x:v>372</x:v>
      </x:c>
      <x:c r="Q18" s="73" t="s">
        <x:v>372</x:v>
      </x:c>
      <x:c r="R18" s="73" t="s">
        <x:v>372</x:v>
      </x:c>
      <x:c r="S18" s="73" t="s">
        <x:v>372</x:v>
      </x:c>
      <x:c r="T18" s="73" t="s">
        <x:v>372</x:v>
      </x:c>
      <x:c r="U18" s="73" t="s">
        <x:v>372</x:v>
      </x:c>
      <x:c r="V18" s="73" t="s">
        <x:v>372</x:v>
      </x:c>
      <x:c r="W18" s="73" t="s">
        <x:v>372</x:v>
      </x:c>
      <x:c r="X18" s="73" t="s">
        <x:v>372</x:v>
      </x:c>
      <x:c r="Y18" s="73" t="s">
        <x:v>372</x:v>
      </x:c>
      <x:c r="Z18" s="73" t="s">
        <x:v>372</x:v>
      </x:c>
      <x:c r="AA18" s="73" t="s">
        <x:v>372</x:v>
      </x:c>
      <x:c r="AB18" s="73" t="s">
        <x:v>372</x:v>
      </x:c>
      <x:c r="AC18" s="73" t="s">
        <x:v>372</x:v>
      </x:c>
      <x:c r="AD18" s="73" t="s">
        <x:v>372</x:v>
      </x:c>
      <x:c r="AE18" s="73" t="s">
        <x:v>372</x:v>
      </x:c>
      <x:c r="AF18" s="73" t="s">
        <x:v>372</x:v>
      </x:c>
      <x:c r="AG18" s="72"/>
      <x:c r="AH18" s="72"/>
      <x:c r="AI18" s="72"/>
      <x:c r="AJ18" s="72"/>
    </x:row>
    <x:row r="19" ht="15" hidden="0">
      <x:c r="A19" t="s">
        <x:v>163</x:v>
      </x:c>
      <x:c r="B19" t="s">
        <x:v>164</x:v>
      </x:c>
      <x:c r="C19" t="s">
        <x:v>67</x:v>
      </x:c>
      <x:c r="D19" t="s">
        <x:v>97</x:v>
      </x:c>
      <x:c r="E19" s="26" t="s">
        <x:v>65</x:v>
      </x:c>
      <x:c r="F19" s="34" t="n">
        <x:v>36.2</x:v>
      </x:c>
      <x:c r="G19" t="n">
        <x:v>68</x:v>
      </x:c>
      <x:c r="H19" s="274" t="n">
        <x:v>46215</x:v>
      </x:c>
      <x:c r="I19" s="274" t="n">
        <x:v>46287</x:v>
      </x:c>
      <x:c r="J19" s="72"/>
      <x:c r="K19" s="73" t="s">
        <x:v>372</x:v>
      </x:c>
      <x:c r="L19" s="73" t="s">
        <x:v>372</x:v>
      </x:c>
      <x:c r="M19" s="73" t="s">
        <x:v>372</x:v>
      </x:c>
      <x:c r="N19" s="73" t="s">
        <x:v>372</x:v>
      </x:c>
      <x:c r="O19" s="73" t="s">
        <x:v>372</x:v>
      </x:c>
      <x:c r="P19" s="73" t="s">
        <x:v>372</x:v>
      </x:c>
      <x:c r="Q19" s="73" t="s">
        <x:v>372</x:v>
      </x:c>
      <x:c r="R19" s="73" t="s">
        <x:v>372</x:v>
      </x:c>
      <x:c r="S19" s="73" t="s">
        <x:v>372</x:v>
      </x:c>
      <x:c r="T19" s="73" t="s">
        <x:v>372</x:v>
      </x:c>
      <x:c r="U19" s="73" t="s">
        <x:v>372</x:v>
      </x:c>
      <x:c r="V19" s="72"/>
      <x:c r="W19" s="72"/>
      <x:c r="X19" s="72"/>
      <x:c r="Y19" s="72"/>
      <x:c r="Z19" s="72"/>
      <x:c r="AA19" s="72"/>
      <x:c r="AB19" s="72"/>
      <x:c r="AC19" s="72"/>
      <x:c r="AD19" s="72"/>
      <x:c r="AE19" s="72"/>
      <x:c r="AF19" s="72"/>
      <x:c r="AG19" s="72"/>
      <x:c r="AH19" s="72"/>
      <x:c r="AI19" s="72"/>
      <x:c r="AJ19" s="72"/>
    </x:row>
    <x:row r="20" ht="15" hidden="0">
      <x:c r="A20" t="s">
        <x:v>302</x:v>
      </x:c>
      <x:c r="B20" t="s">
        <x:v>303</x:v>
      </x:c>
      <x:c r="C20" t="s">
        <x:v>69</x:v>
      </x:c>
      <x:c r="D20" t="s">
        <x:v>88</x:v>
      </x:c>
      <x:c r="E20" s="37" t="s">
        <x:v>63</x:v>
      </x:c>
      <x:c r="F20" s="34" t="n">
        <x:v>64.3</x:v>
      </x:c>
      <x:c r="G20" t="n">
        <x:v>24</x:v>
      </x:c>
      <x:c r="H20" s="274" t="n">
        <x:v>46216</x:v>
      </x:c>
      <x:c r="I20" s="274" t="n">
        <x:v>46308</x:v>
      </x:c>
      <x:c r="J20" s="72"/>
      <x:c r="K20" s="71" t="s">
        <x:v>372</x:v>
      </x:c>
      <x:c r="L20" s="71" t="s">
        <x:v>372</x:v>
      </x:c>
      <x:c r="M20" s="71" t="s">
        <x:v>372</x:v>
      </x:c>
      <x:c r="N20" s="71" t="s">
        <x:v>372</x:v>
      </x:c>
      <x:c r="O20" s="71" t="s">
        <x:v>372</x:v>
      </x:c>
      <x:c r="P20" s="71" t="s">
        <x:v>372</x:v>
      </x:c>
      <x:c r="Q20" s="71" t="s">
        <x:v>372</x:v>
      </x:c>
      <x:c r="R20" s="71" t="s">
        <x:v>372</x:v>
      </x:c>
      <x:c r="S20" s="71" t="s">
        <x:v>372</x:v>
      </x:c>
      <x:c r="T20" s="71" t="s">
        <x:v>372</x:v>
      </x:c>
      <x:c r="U20" s="71" t="s">
        <x:v>372</x:v>
      </x:c>
      <x:c r="V20" s="71" t="s">
        <x:v>372</x:v>
      </x:c>
      <x:c r="W20" s="71" t="s">
        <x:v>372</x:v>
      </x:c>
      <x:c r="X20" s="71" t="s">
        <x:v>372</x:v>
      </x:c>
      <x:c r="Y20" s="72"/>
      <x:c r="Z20" s="72"/>
      <x:c r="AA20" s="72"/>
      <x:c r="AB20" s="72"/>
      <x:c r="AC20" s="72"/>
      <x:c r="AD20" s="72"/>
      <x:c r="AE20" s="72"/>
      <x:c r="AF20" s="72"/>
      <x:c r="AG20" s="72"/>
      <x:c r="AH20" s="72"/>
      <x:c r="AI20" s="72"/>
      <x:c r="AJ20" s="72"/>
    </x:row>
    <x:row r="21" ht="15" hidden="0">
      <x:c r="A21" t="s">
        <x:v>216</x:v>
      </x:c>
      <x:c r="B21" t="s">
        <x:v>217</x:v>
      </x:c>
      <x:c r="C21" t="s">
        <x:v>68</x:v>
      </x:c>
      <x:c r="D21" t="s">
        <x:v>160</x:v>
      </x:c>
      <x:c r="E21" s="26" t="s">
        <x:v>65</x:v>
      </x:c>
      <x:c r="F21" s="34" t="n">
        <x:v>31</x:v>
      </x:c>
      <x:c r="G21" t="n">
        <x:v>38</x:v>
      </x:c>
      <x:c r="H21" s="274" t="n">
        <x:v>46217</x:v>
      </x:c>
      <x:c r="I21" s="274" t="n">
        <x:v>46297</x:v>
      </x:c>
      <x:c r="J21" s="72"/>
      <x:c r="K21" s="73" t="s">
        <x:v>372</x:v>
      </x:c>
      <x:c r="L21" s="73" t="s">
        <x:v>372</x:v>
      </x:c>
      <x:c r="M21" s="73" t="s">
        <x:v>372</x:v>
      </x:c>
      <x:c r="N21" s="73" t="s">
        <x:v>372</x:v>
      </x:c>
      <x:c r="O21" s="73" t="s">
        <x:v>372</x:v>
      </x:c>
      <x:c r="P21" s="73" t="s">
        <x:v>372</x:v>
      </x:c>
      <x:c r="Q21" s="73" t="s">
        <x:v>372</x:v>
      </x:c>
      <x:c r="R21" s="73" t="s">
        <x:v>372</x:v>
      </x:c>
      <x:c r="S21" s="73" t="s">
        <x:v>372</x:v>
      </x:c>
      <x:c r="T21" s="73" t="s">
        <x:v>372</x:v>
      </x:c>
      <x:c r="U21" s="73" t="s">
        <x:v>372</x:v>
      </x:c>
      <x:c r="V21" s="73" t="s">
        <x:v>372</x:v>
      </x:c>
      <x:c r="W21" s="73" t="s">
        <x:v>372</x:v>
      </x:c>
      <x:c r="X21" s="72"/>
      <x:c r="Y21" s="72"/>
      <x:c r="Z21" s="72"/>
      <x:c r="AA21" s="72"/>
      <x:c r="AB21" s="72"/>
      <x:c r="AC21" s="72"/>
      <x:c r="AD21" s="72"/>
      <x:c r="AE21" s="72"/>
      <x:c r="AF21" s="72"/>
      <x:c r="AG21" s="72"/>
      <x:c r="AH21" s="72"/>
      <x:c r="AI21" s="72"/>
      <x:c r="AJ21" s="72"/>
    </x:row>
    <x:row r="22" ht="15" hidden="0">
      <x:c r="A22" t="s">
        <x:v>125</x:v>
      </x:c>
      <x:c r="B22" t="s">
        <x:v>126</x:v>
      </x:c>
      <x:c r="C22" t="s">
        <x:v>62</x:v>
      </x:c>
      <x:c r="D22" t="s">
        <x:v>80</x:v>
      </x:c>
      <x:c r="E22" s="26" t="s">
        <x:v>65</x:v>
      </x:c>
      <x:c r="F22" s="34" t="n">
        <x:v>81.2</x:v>
      </x:c>
      <x:c r="G22" t="n">
        <x:v>81</x:v>
      </x:c>
      <x:c r="H22" s="274" t="n">
        <x:v>46218</x:v>
      </x:c>
      <x:c r="I22" s="274" t="n">
        <x:v>46278</x:v>
      </x:c>
      <x:c r="J22" s="72"/>
      <x:c r="K22" s="72"/>
      <x:c r="L22" s="73" t="s">
        <x:v>372</x:v>
      </x:c>
      <x:c r="M22" s="73" t="s">
        <x:v>372</x:v>
      </x:c>
      <x:c r="N22" s="73" t="s">
        <x:v>372</x:v>
      </x:c>
      <x:c r="O22" s="73" t="s">
        <x:v>372</x:v>
      </x:c>
      <x:c r="P22" s="73" t="s">
        <x:v>372</x:v>
      </x:c>
      <x:c r="Q22" s="73" t="s">
        <x:v>372</x:v>
      </x:c>
      <x:c r="R22" s="73" t="s">
        <x:v>372</x:v>
      </x:c>
      <x:c r="S22" s="73" t="s">
        <x:v>372</x:v>
      </x:c>
      <x:c r="T22" s="73" t="s">
        <x:v>372</x:v>
      </x:c>
      <x:c r="U22" s="72"/>
      <x:c r="V22" s="72"/>
      <x:c r="W22" s="72"/>
      <x:c r="X22" s="72"/>
      <x:c r="Y22" s="72"/>
      <x:c r="Z22" s="72"/>
      <x:c r="AA22" s="72"/>
      <x:c r="AB22" s="72"/>
      <x:c r="AC22" s="72"/>
      <x:c r="AD22" s="72"/>
      <x:c r="AE22" s="72"/>
      <x:c r="AF22" s="72"/>
      <x:c r="AG22" s="72"/>
      <x:c r="AH22" s="72"/>
      <x:c r="AI22" s="72"/>
      <x:c r="AJ22" s="72"/>
    </x:row>
    <x:row r="23" ht="15" hidden="0">
      <x:c r="A23" t="s">
        <x:v>286</x:v>
      </x:c>
      <x:c r="B23" t="s">
        <x:v>287</x:v>
      </x:c>
      <x:c r="C23" t="s">
        <x:v>71</x:v>
      </x:c>
      <x:c r="D23" t="s">
        <x:v>80</x:v>
      </x:c>
      <x:c r="E23" s="37" t="s">
        <x:v>63</x:v>
      </x:c>
      <x:c r="F23" s="34" t="n">
        <x:v>88.8</x:v>
      </x:c>
      <x:c r="G23" t="n">
        <x:v>48</x:v>
      </x:c>
      <x:c r="H23" s="274" t="n">
        <x:v>46219</x:v>
      </x:c>
      <x:c r="I23" s="274" t="n">
        <x:v>46371</x:v>
      </x:c>
      <x:c r="J23" s="72"/>
      <x:c r="K23" s="72"/>
      <x:c r="L23" s="71" t="s">
        <x:v>372</x:v>
      </x:c>
      <x:c r="M23" s="71" t="s">
        <x:v>372</x:v>
      </x:c>
      <x:c r="N23" s="71" t="s">
        <x:v>372</x:v>
      </x:c>
      <x:c r="O23" s="71" t="s">
        <x:v>372</x:v>
      </x:c>
      <x:c r="P23" s="71" t="s">
        <x:v>372</x:v>
      </x:c>
      <x:c r="Q23" s="71" t="s">
        <x:v>372</x:v>
      </x:c>
      <x:c r="R23" s="71" t="s">
        <x:v>372</x:v>
      </x:c>
      <x:c r="S23" s="71" t="s">
        <x:v>372</x:v>
      </x:c>
      <x:c r="T23" s="71" t="s">
        <x:v>372</x:v>
      </x:c>
      <x:c r="U23" s="71" t="s">
        <x:v>372</x:v>
      </x:c>
      <x:c r="V23" s="71" t="s">
        <x:v>372</x:v>
      </x:c>
      <x:c r="W23" s="71" t="s">
        <x:v>372</x:v>
      </x:c>
      <x:c r="X23" s="71" t="s">
        <x:v>372</x:v>
      </x:c>
      <x:c r="Y23" s="71" t="s">
        <x:v>372</x:v>
      </x:c>
      <x:c r="Z23" s="71" t="s">
        <x:v>372</x:v>
      </x:c>
      <x:c r="AA23" s="71" t="s">
        <x:v>372</x:v>
      </x:c>
      <x:c r="AB23" s="71" t="s">
        <x:v>372</x:v>
      </x:c>
      <x:c r="AC23" s="71" t="s">
        <x:v>372</x:v>
      </x:c>
      <x:c r="AD23" s="71" t="s">
        <x:v>372</x:v>
      </x:c>
      <x:c r="AE23" s="71" t="s">
        <x:v>372</x:v>
      </x:c>
      <x:c r="AF23" s="71" t="s">
        <x:v>372</x:v>
      </x:c>
      <x:c r="AG23" s="71" t="s">
        <x:v>372</x:v>
      </x:c>
      <x:c r="AH23" s="72"/>
      <x:c r="AI23" s="72"/>
      <x:c r="AJ23" s="72"/>
    </x:row>
    <x:row r="24" ht="15" hidden="0">
      <x:c r="A24" t="s">
        <x:v>187</x:v>
      </x:c>
      <x:c r="B24" t="s">
        <x:v>188</x:v>
      </x:c>
      <x:c r="C24" t="s">
        <x:v>123</x:v>
      </x:c>
      <x:c r="D24" t="s">
        <x:v>97</x:v>
      </x:c>
      <x:c r="E24" s="26" t="s">
        <x:v>65</x:v>
      </x:c>
      <x:c r="F24" s="34" t="n">
        <x:v>57</x:v>
      </x:c>
      <x:c r="G24" t="n">
        <x:v>52</x:v>
      </x:c>
      <x:c r="H24" s="274" t="n">
        <x:v>46220</x:v>
      </x:c>
      <x:c r="I24" s="274" t="n">
        <x:v>46317</x:v>
      </x:c>
      <x:c r="J24" s="72"/>
      <x:c r="K24" s="72"/>
      <x:c r="L24" s="73" t="s">
        <x:v>372</x:v>
      </x:c>
      <x:c r="M24" s="73" t="s">
        <x:v>372</x:v>
      </x:c>
      <x:c r="N24" s="73" t="s">
        <x:v>372</x:v>
      </x:c>
      <x:c r="O24" s="73" t="s">
        <x:v>372</x:v>
      </x:c>
      <x:c r="P24" s="73" t="s">
        <x:v>372</x:v>
      </x:c>
      <x:c r="Q24" s="73" t="s">
        <x:v>372</x:v>
      </x:c>
      <x:c r="R24" s="73" t="s">
        <x:v>372</x:v>
      </x:c>
      <x:c r="S24" s="73" t="s">
        <x:v>372</x:v>
      </x:c>
      <x:c r="T24" s="73" t="s">
        <x:v>372</x:v>
      </x:c>
      <x:c r="U24" s="73" t="s">
        <x:v>372</x:v>
      </x:c>
      <x:c r="V24" s="73" t="s">
        <x:v>372</x:v>
      </x:c>
      <x:c r="W24" s="73" t="s">
        <x:v>372</x:v>
      </x:c>
      <x:c r="X24" s="73" t="s">
        <x:v>372</x:v>
      </x:c>
      <x:c r="Y24" s="73" t="s">
        <x:v>372</x:v>
      </x:c>
      <x:c r="Z24" s="73" t="s">
        <x:v>372</x:v>
      </x:c>
      <x:c r="AA24" s="72"/>
      <x:c r="AB24" s="72"/>
      <x:c r="AC24" s="72"/>
      <x:c r="AD24" s="72"/>
      <x:c r="AE24" s="72"/>
      <x:c r="AF24" s="72"/>
      <x:c r="AG24" s="72"/>
      <x:c r="AH24" s="72"/>
      <x:c r="AI24" s="72"/>
      <x:c r="AJ24" s="72"/>
    </x:row>
    <x:row r="25" ht="15" hidden="0">
      <x:c r="A25" t="s">
        <x:v>272</x:v>
      </x:c>
      <x:c r="B25" t="s">
        <x:v>273</x:v>
      </x:c>
      <x:c r="C25" t="s">
        <x:v>70</x:v>
      </x:c>
      <x:c r="D25" t="s">
        <x:v>95</x:v>
      </x:c>
      <x:c r="E25" s="37" t="s">
        <x:v>63</x:v>
      </x:c>
      <x:c r="F25" s="34" t="n">
        <x:v>79.3</x:v>
      </x:c>
      <x:c r="G25" t="n">
        <x:v>59</x:v>
      </x:c>
      <x:c r="H25" s="274" t="n">
        <x:v>46221</x:v>
      </x:c>
      <x:c r="I25" s="274" t="n">
        <x:v>46291</x:v>
      </x:c>
      <x:c r="J25" s="72"/>
      <x:c r="K25" s="72"/>
      <x:c r="L25" s="71" t="s">
        <x:v>372</x:v>
      </x:c>
      <x:c r="M25" s="71" t="s">
        <x:v>372</x:v>
      </x:c>
      <x:c r="N25" s="71" t="s">
        <x:v>372</x:v>
      </x:c>
      <x:c r="O25" s="71" t="s">
        <x:v>372</x:v>
      </x:c>
      <x:c r="P25" s="71" t="s">
        <x:v>372</x:v>
      </x:c>
      <x:c r="Q25" s="71" t="s">
        <x:v>372</x:v>
      </x:c>
      <x:c r="R25" s="71" t="s">
        <x:v>372</x:v>
      </x:c>
      <x:c r="S25" s="71" t="s">
        <x:v>372</x:v>
      </x:c>
      <x:c r="T25" s="71" t="s">
        <x:v>372</x:v>
      </x:c>
      <x:c r="U25" s="71" t="s">
        <x:v>372</x:v>
      </x:c>
      <x:c r="V25" s="71" t="s">
        <x:v>372</x:v>
      </x:c>
      <x:c r="W25" s="72"/>
      <x:c r="X25" s="72"/>
      <x:c r="Y25" s="72"/>
      <x:c r="Z25" s="72"/>
      <x:c r="AA25" s="72"/>
      <x:c r="AB25" s="72"/>
      <x:c r="AC25" s="72"/>
      <x:c r="AD25" s="72"/>
      <x:c r="AE25" s="72"/>
      <x:c r="AF25" s="72"/>
      <x:c r="AG25" s="72"/>
      <x:c r="AH25" s="72"/>
      <x:c r="AI25" s="72"/>
      <x:c r="AJ25" s="72"/>
    </x:row>
    <x:row r="26" ht="15" hidden="0">
      <x:c r="A26" t="s">
        <x:v>106</x:v>
      </x:c>
      <x:c r="B26" t="s">
        <x:v>82</x:v>
      </x:c>
      <x:c r="C26" t="s">
        <x:v>64</x:v>
      </x:c>
      <x:c r="D26" t="s">
        <x:v>80</x:v>
      </x:c>
      <x:c r="E26" s="26" t="s">
        <x:v>65</x:v>
      </x:c>
      <x:c r="F26" s="34" t="n">
        <x:v>84.8</x:v>
      </x:c>
      <x:c r="G26" t="n">
        <x:v>92</x:v>
      </x:c>
      <x:c r="H26" s="274" t="n">
        <x:v>46222</x:v>
      </x:c>
      <x:c r="I26" s="274" t="n">
        <x:v>46345</x:v>
      </x:c>
      <x:c r="J26" s="72"/>
      <x:c r="K26" s="72"/>
      <x:c r="L26" s="73" t="s">
        <x:v>372</x:v>
      </x:c>
      <x:c r="M26" s="73" t="s">
        <x:v>372</x:v>
      </x:c>
      <x:c r="N26" s="73" t="s">
        <x:v>372</x:v>
      </x:c>
      <x:c r="O26" s="73" t="s">
        <x:v>372</x:v>
      </x:c>
      <x:c r="P26" s="73" t="s">
        <x:v>372</x:v>
      </x:c>
      <x:c r="Q26" s="73" t="s">
        <x:v>372</x:v>
      </x:c>
      <x:c r="R26" s="73" t="s">
        <x:v>372</x:v>
      </x:c>
      <x:c r="S26" s="73" t="s">
        <x:v>372</x:v>
      </x:c>
      <x:c r="T26" s="73" t="s">
        <x:v>372</x:v>
      </x:c>
      <x:c r="U26" s="73" t="s">
        <x:v>372</x:v>
      </x:c>
      <x:c r="V26" s="73" t="s">
        <x:v>372</x:v>
      </x:c>
      <x:c r="W26" s="73" t="s">
        <x:v>372</x:v>
      </x:c>
      <x:c r="X26" s="73" t="s">
        <x:v>372</x:v>
      </x:c>
      <x:c r="Y26" s="73" t="s">
        <x:v>372</x:v>
      </x:c>
      <x:c r="Z26" s="73" t="s">
        <x:v>372</x:v>
      </x:c>
      <x:c r="AA26" s="73" t="s">
        <x:v>372</x:v>
      </x:c>
      <x:c r="AB26" s="73" t="s">
        <x:v>372</x:v>
      </x:c>
      <x:c r="AC26" s="73" t="s">
        <x:v>372</x:v>
      </x:c>
      <x:c r="AD26" s="73" t="s">
        <x:v>372</x:v>
      </x:c>
      <x:c r="AE26" s="72"/>
      <x:c r="AF26" s="72"/>
      <x:c r="AG26" s="72"/>
      <x:c r="AH26" s="72"/>
      <x:c r="AI26" s="72"/>
      <x:c r="AJ26" s="72"/>
    </x:row>
    <x:row r="27" ht="15" hidden="0">
      <x:c r="A27" t="s">
        <x:v>260</x:v>
      </x:c>
      <x:c r="B27" t="s">
        <x:v>261</x:v>
      </x:c>
      <x:c r="C27" t="s">
        <x:v>69</x:v>
      </x:c>
      <x:c r="D27" t="s">
        <x:v>193</x:v>
      </x:c>
      <x:c r="E27" s="37" t="s">
        <x:v>63</x:v>
      </x:c>
      <x:c r="F27" s="34" t="n">
        <x:v>73</x:v>
      </x:c>
      <x:c r="G27" t="n">
        <x:v>72</x:v>
      </x:c>
      <x:c r="H27" s="274" t="n">
        <x:v>46223</x:v>
      </x:c>
      <x:c r="I27" s="274" t="n">
        <x:v>46329</x:v>
      </x:c>
      <x:c r="J27" s="72"/>
      <x:c r="K27" s="72"/>
      <x:c r="L27" s="71" t="s">
        <x:v>372</x:v>
      </x:c>
      <x:c r="M27" s="71" t="s">
        <x:v>372</x:v>
      </x:c>
      <x:c r="N27" s="71" t="s">
        <x:v>372</x:v>
      </x:c>
      <x:c r="O27" s="71" t="s">
        <x:v>372</x:v>
      </x:c>
      <x:c r="P27" s="71" t="s">
        <x:v>372</x:v>
      </x:c>
      <x:c r="Q27" s="71" t="s">
        <x:v>372</x:v>
      </x:c>
      <x:c r="R27" s="71" t="s">
        <x:v>372</x:v>
      </x:c>
      <x:c r="S27" s="71" t="s">
        <x:v>372</x:v>
      </x:c>
      <x:c r="T27" s="71" t="s">
        <x:v>372</x:v>
      </x:c>
      <x:c r="U27" s="71" t="s">
        <x:v>372</x:v>
      </x:c>
      <x:c r="V27" s="71" t="s">
        <x:v>372</x:v>
      </x:c>
      <x:c r="W27" s="71" t="s">
        <x:v>372</x:v>
      </x:c>
      <x:c r="X27" s="71" t="s">
        <x:v>372</x:v>
      </x:c>
      <x:c r="Y27" s="71" t="s">
        <x:v>372</x:v>
      </x:c>
      <x:c r="Z27" s="71" t="s">
        <x:v>372</x:v>
      </x:c>
      <x:c r="AA27" s="71" t="s">
        <x:v>372</x:v>
      </x:c>
      <x:c r="AB27" s="72"/>
      <x:c r="AC27" s="72"/>
      <x:c r="AD27" s="72"/>
      <x:c r="AE27" s="72"/>
      <x:c r="AF27" s="72"/>
      <x:c r="AG27" s="72"/>
      <x:c r="AH27" s="72"/>
      <x:c r="AI27" s="72"/>
      <x:c r="AJ27" s="72"/>
    </x:row>
    <x:row r="28" ht="15" hidden="0">
      <x:c r="A28" t="s">
        <x:v>222</x:v>
      </x:c>
      <x:c r="B28" t="s">
        <x:v>223</x:v>
      </x:c>
      <x:c r="C28" t="s">
        <x:v>67</x:v>
      </x:c>
      <x:c r="D28" t="s">
        <x:v>132</x:v>
      </x:c>
      <x:c r="E28" s="26" t="s">
        <x:v>65</x:v>
      </x:c>
      <x:c r="F28" s="34" t="n">
        <x:v>44.2</x:v>
      </x:c>
      <x:c r="G28" t="n">
        <x:v>31</x:v>
      </x:c>
      <x:c r="H28" s="274" t="n">
        <x:v>46224</x:v>
      </x:c>
      <x:c r="I28" s="274" t="n">
        <x:v>46349</x:v>
      </x:c>
      <x:c r="J28" s="72"/>
      <x:c r="K28" s="72"/>
      <x:c r="L28" s="73" t="s">
        <x:v>372</x:v>
      </x:c>
      <x:c r="M28" s="73" t="s">
        <x:v>372</x:v>
      </x:c>
      <x:c r="N28" s="73" t="s">
        <x:v>372</x:v>
      </x:c>
      <x:c r="O28" s="73" t="s">
        <x:v>372</x:v>
      </x:c>
      <x:c r="P28" s="73" t="s">
        <x:v>372</x:v>
      </x:c>
      <x:c r="Q28" s="73" t="s">
        <x:v>372</x:v>
      </x:c>
      <x:c r="R28" s="73" t="s">
        <x:v>372</x:v>
      </x:c>
      <x:c r="S28" s="73" t="s">
        <x:v>372</x:v>
      </x:c>
      <x:c r="T28" s="73" t="s">
        <x:v>372</x:v>
      </x:c>
      <x:c r="U28" s="73" t="s">
        <x:v>372</x:v>
      </x:c>
      <x:c r="V28" s="73" t="s">
        <x:v>372</x:v>
      </x:c>
      <x:c r="W28" s="73" t="s">
        <x:v>372</x:v>
      </x:c>
      <x:c r="X28" s="73" t="s">
        <x:v>372</x:v>
      </x:c>
      <x:c r="Y28" s="73" t="s">
        <x:v>372</x:v>
      </x:c>
      <x:c r="Z28" s="73" t="s">
        <x:v>372</x:v>
      </x:c>
      <x:c r="AA28" s="73" t="s">
        <x:v>372</x:v>
      </x:c>
      <x:c r="AB28" s="73" t="s">
        <x:v>372</x:v>
      </x:c>
      <x:c r="AC28" s="73" t="s">
        <x:v>372</x:v>
      </x:c>
      <x:c r="AD28" s="73" t="s">
        <x:v>372</x:v>
      </x:c>
      <x:c r="AE28" s="72"/>
      <x:c r="AF28" s="72"/>
      <x:c r="AG28" s="72"/>
      <x:c r="AH28" s="72"/>
      <x:c r="AI28" s="72"/>
      <x:c r="AJ28" s="72"/>
    </x:row>
    <x:row r="29" ht="15" hidden="0">
      <x:c r="A29" t="s">
        <x:v>234</x:v>
      </x:c>
      <x:c r="B29" t="s">
        <x:v>235</x:v>
      </x:c>
      <x:c r="C29" t="s">
        <x:v>69</x:v>
      </x:c>
      <x:c r="D29" t="s">
        <x:v>132</x:v>
      </x:c>
      <x:c r="E29" s="26" t="s">
        <x:v>65</x:v>
      </x:c>
      <x:c r="F29" s="34" t="n">
        <x:v>25</x:v>
      </x:c>
      <x:c r="G29" t="n">
        <x:v>23</x:v>
      </x:c>
      <x:c r="H29" s="274" t="n">
        <x:v>46225</x:v>
      </x:c>
      <x:c r="I29" s="274" t="n">
        <x:v>46285</x:v>
      </x:c>
      <x:c r="J29" s="72"/>
      <x:c r="K29" s="72"/>
      <x:c r="L29" s="72"/>
      <x:c r="M29" s="73" t="s">
        <x:v>372</x:v>
      </x:c>
      <x:c r="N29" s="73" t="s">
        <x:v>372</x:v>
      </x:c>
      <x:c r="O29" s="73" t="s">
        <x:v>372</x:v>
      </x:c>
      <x:c r="P29" s="73" t="s">
        <x:v>372</x:v>
      </x:c>
      <x:c r="Q29" s="73" t="s">
        <x:v>372</x:v>
      </x:c>
      <x:c r="R29" s="73" t="s">
        <x:v>372</x:v>
      </x:c>
      <x:c r="S29" s="73" t="s">
        <x:v>372</x:v>
      </x:c>
      <x:c r="T29" s="73" t="s">
        <x:v>372</x:v>
      </x:c>
      <x:c r="U29" s="73" t="s">
        <x:v>372</x:v>
      </x:c>
      <x:c r="V29" s="72"/>
      <x:c r="W29" s="72"/>
      <x:c r="X29" s="72"/>
      <x:c r="Y29" s="72"/>
      <x:c r="Z29" s="72"/>
      <x:c r="AA29" s="72"/>
      <x:c r="AB29" s="72"/>
      <x:c r="AC29" s="72"/>
      <x:c r="AD29" s="72"/>
      <x:c r="AE29" s="72"/>
      <x:c r="AF29" s="72"/>
      <x:c r="AG29" s="72"/>
      <x:c r="AH29" s="72"/>
      <x:c r="AI29" s="72"/>
      <x:c r="AJ29" s="72"/>
    </x:row>
    <x:row r="30" ht="15" hidden="0">
      <x:c r="A30" t="s">
        <x:v>276</x:v>
      </x:c>
      <x:c r="B30" t="s">
        <x:v>277</x:v>
      </x:c>
      <x:c r="C30" t="s">
        <x:v>64</x:v>
      </x:c>
      <x:c r="D30" t="s">
        <x:v>88</x:v>
      </x:c>
      <x:c r="E30" s="37" t="s">
        <x:v>63</x:v>
      </x:c>
      <x:c r="F30" s="34" t="n">
        <x:v>81.2</x:v>
      </x:c>
      <x:c r="G30" t="n">
        <x:v>58</x:v>
      </x:c>
      <x:c r="H30" s="274" t="n">
        <x:v>46226</x:v>
      </x:c>
      <x:c r="I30" s="274" t="n">
        <x:v>46286</x:v>
      </x:c>
      <x:c r="J30" s="72"/>
      <x:c r="K30" s="72"/>
      <x:c r="L30" s="72"/>
      <x:c r="M30" s="71" t="s">
        <x:v>372</x:v>
      </x:c>
      <x:c r="N30" s="71" t="s">
        <x:v>372</x:v>
      </x:c>
      <x:c r="O30" s="71" t="s">
        <x:v>372</x:v>
      </x:c>
      <x:c r="P30" s="71" t="s">
        <x:v>372</x:v>
      </x:c>
      <x:c r="Q30" s="71" t="s">
        <x:v>372</x:v>
      </x:c>
      <x:c r="R30" s="71" t="s">
        <x:v>372</x:v>
      </x:c>
      <x:c r="S30" s="71" t="s">
        <x:v>372</x:v>
      </x:c>
      <x:c r="T30" s="71" t="s">
        <x:v>372</x:v>
      </x:c>
      <x:c r="U30" s="71" t="s">
        <x:v>372</x:v>
      </x:c>
      <x:c r="V30" s="72"/>
      <x:c r="W30" s="72"/>
      <x:c r="X30" s="72"/>
      <x:c r="Y30" s="72"/>
      <x:c r="Z30" s="72"/>
      <x:c r="AA30" s="72"/>
      <x:c r="AB30" s="72"/>
      <x:c r="AC30" s="72"/>
      <x:c r="AD30" s="72"/>
      <x:c r="AE30" s="72"/>
      <x:c r="AF30" s="72"/>
      <x:c r="AG30" s="72"/>
      <x:c r="AH30" s="72"/>
      <x:c r="AI30" s="72"/>
      <x:c r="AJ30" s="72"/>
    </x:row>
    <x:row r="31" ht="15" hidden="0">
      <x:c r="A31" t="s">
        <x:v>133</x:v>
      </x:c>
      <x:c r="B31" t="s">
        <x:v>134</x:v>
      </x:c>
      <x:c r="C31" t="s">
        <x:v>67</x:v>
      </x:c>
      <x:c r="D31" t="s">
        <x:v>132</x:v>
      </x:c>
      <x:c r="E31" s="26" t="s">
        <x:v>65</x:v>
      </x:c>
      <x:c r="F31" s="34" t="n">
        <x:v>40</x:v>
      </x:c>
      <x:c r="G31" t="n">
        <x:v>79</x:v>
      </x:c>
      <x:c r="H31" s="274" t="n">
        <x:v>46227</x:v>
      </x:c>
      <x:c r="I31" s="274" t="n">
        <x:v>46284</x:v>
      </x:c>
      <x:c r="J31" s="72"/>
      <x:c r="K31" s="72"/>
      <x:c r="L31" s="72"/>
      <x:c r="M31" s="73" t="s">
        <x:v>372</x:v>
      </x:c>
      <x:c r="N31" s="73" t="s">
        <x:v>372</x:v>
      </x:c>
      <x:c r="O31" s="73" t="s">
        <x:v>372</x:v>
      </x:c>
      <x:c r="P31" s="73" t="s">
        <x:v>372</x:v>
      </x:c>
      <x:c r="Q31" s="73" t="s">
        <x:v>372</x:v>
      </x:c>
      <x:c r="R31" s="73" t="s">
        <x:v>372</x:v>
      </x:c>
      <x:c r="S31" s="73" t="s">
        <x:v>372</x:v>
      </x:c>
      <x:c r="T31" s="73" t="s">
        <x:v>372</x:v>
      </x:c>
      <x:c r="U31" s="73" t="s">
        <x:v>372</x:v>
      </x:c>
      <x:c r="V31" s="72"/>
      <x:c r="W31" s="72"/>
      <x:c r="X31" s="72"/>
      <x:c r="Y31" s="72"/>
      <x:c r="Z31" s="72"/>
      <x:c r="AA31" s="72"/>
      <x:c r="AB31" s="72"/>
      <x:c r="AC31" s="72"/>
      <x:c r="AD31" s="72"/>
      <x:c r="AE31" s="72"/>
      <x:c r="AF31" s="72"/>
      <x:c r="AG31" s="72"/>
      <x:c r="AH31" s="72"/>
      <x:c r="AI31" s="72"/>
      <x:c r="AJ31" s="72"/>
    </x:row>
    <x:row r="32" ht="15" hidden="0">
      <x:c r="A32" t="s">
        <x:v>238</x:v>
      </x:c>
      <x:c r="B32" t="s">
        <x:v>239</x:v>
      </x:c>
      <x:c r="C32" t="s">
        <x:v>66</x:v>
      </x:c>
      <x:c r="D32" t="s">
        <x:v>80</x:v>
      </x:c>
      <x:c r="E32" s="26" t="s">
        <x:v>65</x:v>
      </x:c>
      <x:c r="F32" s="34" t="n">
        <x:v>66.7</x:v>
      </x:c>
      <x:c r="G32" t="n">
        <x:v>19</x:v>
      </x:c>
      <x:c r="H32" s="274" t="n">
        <x:v>46228</x:v>
      </x:c>
      <x:c r="I32" s="274" t="n">
        <x:v>46314</x:v>
      </x:c>
      <x:c r="J32" s="72"/>
      <x:c r="K32" s="72"/>
      <x:c r="L32" s="72"/>
      <x:c r="M32" s="73" t="s">
        <x:v>372</x:v>
      </x:c>
      <x:c r="N32" s="73" t="s">
        <x:v>372</x:v>
      </x:c>
      <x:c r="O32" s="73" t="s">
        <x:v>372</x:v>
      </x:c>
      <x:c r="P32" s="73" t="s">
        <x:v>372</x:v>
      </x:c>
      <x:c r="Q32" s="73" t="s">
        <x:v>372</x:v>
      </x:c>
      <x:c r="R32" s="73" t="s">
        <x:v>372</x:v>
      </x:c>
      <x:c r="S32" s="73" t="s">
        <x:v>372</x:v>
      </x:c>
      <x:c r="T32" s="73" t="s">
        <x:v>372</x:v>
      </x:c>
      <x:c r="U32" s="73" t="s">
        <x:v>372</x:v>
      </x:c>
      <x:c r="V32" s="73" t="s">
        <x:v>372</x:v>
      </x:c>
      <x:c r="W32" s="73" t="s">
        <x:v>372</x:v>
      </x:c>
      <x:c r="X32" s="73" t="s">
        <x:v>372</x:v>
      </x:c>
      <x:c r="Y32" s="73" t="s">
        <x:v>372</x:v>
      </x:c>
      <x:c r="Z32" s="72"/>
      <x:c r="AA32" s="72"/>
      <x:c r="AB32" s="72"/>
      <x:c r="AC32" s="72"/>
      <x:c r="AD32" s="72"/>
      <x:c r="AE32" s="72"/>
      <x:c r="AF32" s="72"/>
      <x:c r="AG32" s="72"/>
      <x:c r="AH32" s="72"/>
      <x:c r="AI32" s="72"/>
      <x:c r="AJ32" s="72"/>
    </x:row>
    <x:row r="33" ht="15" hidden="0">
      <x:c r="A33" t="s">
        <x:v>298</x:v>
      </x:c>
      <x:c r="B33" t="s">
        <x:v>299</x:v>
      </x:c>
      <x:c r="C33" t="s">
        <x:v>67</x:v>
      </x:c>
      <x:c r="D33" t="s">
        <x:v>86</x:v>
      </x:c>
      <x:c r="E33" s="37" t="s">
        <x:v>63</x:v>
      </x:c>
      <x:c r="F33" s="34" t="n">
        <x:v>86.5</x:v>
      </x:c>
      <x:c r="G33" t="n">
        <x:v>33</x:v>
      </x:c>
      <x:c r="H33" s="274" t="n">
        <x:v>46229</x:v>
      </x:c>
      <x:c r="I33" s="274" t="n">
        <x:v>46366</x:v>
      </x:c>
      <x:c r="J33" s="72"/>
      <x:c r="K33" s="72"/>
      <x:c r="L33" s="72"/>
      <x:c r="M33" s="71" t="s">
        <x:v>372</x:v>
      </x:c>
      <x:c r="N33" s="71" t="s">
        <x:v>372</x:v>
      </x:c>
      <x:c r="O33" s="71" t="s">
        <x:v>372</x:v>
      </x:c>
      <x:c r="P33" s="71" t="s">
        <x:v>372</x:v>
      </x:c>
      <x:c r="Q33" s="71" t="s">
        <x:v>372</x:v>
      </x:c>
      <x:c r="R33" s="71" t="s">
        <x:v>372</x:v>
      </x:c>
      <x:c r="S33" s="71" t="s">
        <x:v>372</x:v>
      </x:c>
      <x:c r="T33" s="71" t="s">
        <x:v>372</x:v>
      </x:c>
      <x:c r="U33" s="71" t="s">
        <x:v>372</x:v>
      </x:c>
      <x:c r="V33" s="71" t="s">
        <x:v>372</x:v>
      </x:c>
      <x:c r="W33" s="71" t="s">
        <x:v>372</x:v>
      </x:c>
      <x:c r="X33" s="71" t="s">
        <x:v>372</x:v>
      </x:c>
      <x:c r="Y33" s="71" t="s">
        <x:v>372</x:v>
      </x:c>
      <x:c r="Z33" s="71" t="s">
        <x:v>372</x:v>
      </x:c>
      <x:c r="AA33" s="71" t="s">
        <x:v>372</x:v>
      </x:c>
      <x:c r="AB33" s="71" t="s">
        <x:v>372</x:v>
      </x:c>
      <x:c r="AC33" s="71" t="s">
        <x:v>372</x:v>
      </x:c>
      <x:c r="AD33" s="71" t="s">
        <x:v>372</x:v>
      </x:c>
      <x:c r="AE33" s="71" t="s">
        <x:v>372</x:v>
      </x:c>
      <x:c r="AF33" s="71" t="s">
        <x:v>372</x:v>
      </x:c>
      <x:c r="AG33" s="71" t="s">
        <x:v>372</x:v>
      </x:c>
      <x:c r="AH33" s="72"/>
      <x:c r="AI33" s="72"/>
      <x:c r="AJ33" s="72"/>
    </x:row>
    <x:row r="34" ht="15" hidden="0">
      <x:c r="A34" t="s">
        <x:v>208</x:v>
      </x:c>
      <x:c r="B34" t="s">
        <x:v>209</x:v>
      </x:c>
      <x:c r="C34" t="s">
        <x:v>67</x:v>
      </x:c>
      <x:c r="D34" t="s">
        <x:v>193</x:v>
      </x:c>
      <x:c r="E34" s="26" t="s">
        <x:v>65</x:v>
      </x:c>
      <x:c r="F34" s="34" t="n">
        <x:v>43</x:v>
      </x:c>
      <x:c r="G34" t="n">
        <x:v>42</x:v>
      </x:c>
      <x:c r="H34" s="274" t="n">
        <x:v>46230</x:v>
      </x:c>
      <x:c r="I34" s="274" t="n">
        <x:v>46378</x:v>
      </x:c>
      <x:c r="J34" s="72"/>
      <x:c r="K34" s="72"/>
      <x:c r="L34" s="72"/>
      <x:c r="M34" s="73" t="s">
        <x:v>372</x:v>
      </x:c>
      <x:c r="N34" s="73" t="s">
        <x:v>372</x:v>
      </x:c>
      <x:c r="O34" s="73" t="s">
        <x:v>372</x:v>
      </x:c>
      <x:c r="P34" s="73" t="s">
        <x:v>372</x:v>
      </x:c>
      <x:c r="Q34" s="73" t="s">
        <x:v>372</x:v>
      </x:c>
      <x:c r="R34" s="73" t="s">
        <x:v>372</x:v>
      </x:c>
      <x:c r="S34" s="73" t="s">
        <x:v>372</x:v>
      </x:c>
      <x:c r="T34" s="73" t="s">
        <x:v>372</x:v>
      </x:c>
      <x:c r="U34" s="73" t="s">
        <x:v>372</x:v>
      </x:c>
      <x:c r="V34" s="73" t="s">
        <x:v>372</x:v>
      </x:c>
      <x:c r="W34" s="73" t="s">
        <x:v>372</x:v>
      </x:c>
      <x:c r="X34" s="73" t="s">
        <x:v>372</x:v>
      </x:c>
      <x:c r="Y34" s="73" t="s">
        <x:v>372</x:v>
      </x:c>
      <x:c r="Z34" s="73" t="s">
        <x:v>372</x:v>
      </x:c>
      <x:c r="AA34" s="73" t="s">
        <x:v>372</x:v>
      </x:c>
      <x:c r="AB34" s="73" t="s">
        <x:v>372</x:v>
      </x:c>
      <x:c r="AC34" s="73" t="s">
        <x:v>372</x:v>
      </x:c>
      <x:c r="AD34" s="73" t="s">
        <x:v>372</x:v>
      </x:c>
      <x:c r="AE34" s="73" t="s">
        <x:v>372</x:v>
      </x:c>
      <x:c r="AF34" s="73" t="s">
        <x:v>372</x:v>
      </x:c>
      <x:c r="AG34" s="73" t="s">
        <x:v>372</x:v>
      </x:c>
      <x:c r="AH34" s="73" t="s">
        <x:v>372</x:v>
      </x:c>
      <x:c r="AI34" s="72"/>
      <x:c r="AJ34" s="72"/>
    </x:row>
    <x:row r="35" ht="15" hidden="0">
      <x:c r="A35" t="s">
        <x:v>244</x:v>
      </x:c>
      <x:c r="B35" t="s">
        <x:v>245</x:v>
      </x:c>
      <x:c r="C35" t="s">
        <x:v>60</x:v>
      </x:c>
      <x:c r="D35" t="s">
        <x:v>132</x:v>
      </x:c>
      <x:c r="E35" s="26" t="s">
        <x:v>65</x:v>
      </x:c>
      <x:c r="F35" s="34" t="n">
        <x:v>67.8</x:v>
      </x:c>
      <x:c r="G35" t="n">
        <x:v>17</x:v>
      </x:c>
      <x:c r="H35" s="274" t="n">
        <x:v>46231</x:v>
      </x:c>
      <x:c r="I35" s="274" t="n">
        <x:v>46293</x:v>
      </x:c>
      <x:c r="J35" s="72"/>
      <x:c r="K35" s="72"/>
      <x:c r="L35" s="72"/>
      <x:c r="M35" s="73" t="s">
        <x:v>372</x:v>
      </x:c>
      <x:c r="N35" s="73" t="s">
        <x:v>372</x:v>
      </x:c>
      <x:c r="O35" s="73" t="s">
        <x:v>372</x:v>
      </x:c>
      <x:c r="P35" s="73" t="s">
        <x:v>372</x:v>
      </x:c>
      <x:c r="Q35" s="73" t="s">
        <x:v>372</x:v>
      </x:c>
      <x:c r="R35" s="73" t="s">
        <x:v>372</x:v>
      </x:c>
      <x:c r="S35" s="73" t="s">
        <x:v>372</x:v>
      </x:c>
      <x:c r="T35" s="73" t="s">
        <x:v>372</x:v>
      </x:c>
      <x:c r="U35" s="73" t="s">
        <x:v>372</x:v>
      </x:c>
      <x:c r="V35" s="73" t="s">
        <x:v>372</x:v>
      </x:c>
      <x:c r="W35" s="72"/>
      <x:c r="X35" s="72"/>
      <x:c r="Y35" s="72"/>
      <x:c r="Z35" s="72"/>
      <x:c r="AA35" s="72"/>
      <x:c r="AB35" s="72"/>
      <x:c r="AC35" s="72"/>
      <x:c r="AD35" s="72"/>
      <x:c r="AE35" s="72"/>
      <x:c r="AF35" s="72"/>
      <x:c r="AG35" s="72"/>
      <x:c r="AH35" s="72"/>
      <x:c r="AI35" s="72"/>
      <x:c r="AJ35" s="72"/>
    </x:row>
    <x:row r="36" ht="15" hidden="0">
      <x:c r="A36" t="s">
        <x:v>230</x:v>
      </x:c>
      <x:c r="B36" t="s">
        <x:v>231</x:v>
      </x:c>
      <x:c r="C36" t="s">
        <x:v>67</x:v>
      </x:c>
      <x:c r="D36" t="s">
        <x:v>86</x:v>
      </x:c>
      <x:c r="E36" s="26" t="s">
        <x:v>65</x:v>
      </x:c>
      <x:c r="F36" s="34" t="n">
        <x:v>45.7</x:v>
      </x:c>
      <x:c r="G36" t="n">
        <x:v>28</x:v>
      </x:c>
      <x:c r="H36" s="274" t="n">
        <x:v>46232</x:v>
      </x:c>
      <x:c r="I36" s="274" t="n">
        <x:v>46326</x:v>
      </x:c>
      <x:c r="J36" s="72"/>
      <x:c r="K36" s="72"/>
      <x:c r="L36" s="72"/>
      <x:c r="M36" s="72"/>
      <x:c r="N36" s="73" t="s">
        <x:v>372</x:v>
      </x:c>
      <x:c r="O36" s="73" t="s">
        <x:v>372</x:v>
      </x:c>
      <x:c r="P36" s="73" t="s">
        <x:v>372</x:v>
      </x:c>
      <x:c r="Q36" s="73" t="s">
        <x:v>372</x:v>
      </x:c>
      <x:c r="R36" s="73" t="s">
        <x:v>372</x:v>
      </x:c>
      <x:c r="S36" s="73" t="s">
        <x:v>372</x:v>
      </x:c>
      <x:c r="T36" s="73" t="s">
        <x:v>372</x:v>
      </x:c>
      <x:c r="U36" s="73" t="s">
        <x:v>372</x:v>
      </x:c>
      <x:c r="V36" s="73" t="s">
        <x:v>372</x:v>
      </x:c>
      <x:c r="W36" s="73" t="s">
        <x:v>372</x:v>
      </x:c>
      <x:c r="X36" s="73" t="s">
        <x:v>372</x:v>
      </x:c>
      <x:c r="Y36" s="73" t="s">
        <x:v>372</x:v>
      </x:c>
      <x:c r="Z36" s="73" t="s">
        <x:v>372</x:v>
      </x:c>
      <x:c r="AA36" s="73" t="s">
        <x:v>372</x:v>
      </x:c>
      <x:c r="AB36" s="72"/>
      <x:c r="AC36" s="72"/>
      <x:c r="AD36" s="72"/>
      <x:c r="AE36" s="72"/>
      <x:c r="AF36" s="72"/>
      <x:c r="AG36" s="72"/>
      <x:c r="AH36" s="72"/>
      <x:c r="AI36" s="72"/>
      <x:c r="AJ36" s="72"/>
    </x:row>
    <x:row r="37" ht="15" hidden="0">
      <x:c r="A37" t="s">
        <x:v>282</x:v>
      </x:c>
      <x:c r="B37" t="s">
        <x:v>283</x:v>
      </x:c>
      <x:c r="C37" t="s">
        <x:v>67</x:v>
      </x:c>
      <x:c r="D37" t="s">
        <x:v>88</x:v>
      </x:c>
      <x:c r="E37" s="37" t="s">
        <x:v>63</x:v>
      </x:c>
      <x:c r="F37" s="34" t="n">
        <x:v>79.7</x:v>
      </x:c>
      <x:c r="G37" t="n">
        <x:v>49</x:v>
      </x:c>
      <x:c r="H37" s="274" t="n">
        <x:v>46233</x:v>
      </x:c>
      <x:c r="I37" s="274" t="n">
        <x:v>46329</x:v>
      </x:c>
      <x:c r="J37" s="72"/>
      <x:c r="K37" s="72"/>
      <x:c r="L37" s="72"/>
      <x:c r="M37" s="72"/>
      <x:c r="N37" s="71" t="s">
        <x:v>372</x:v>
      </x:c>
      <x:c r="O37" s="71" t="s">
        <x:v>372</x:v>
      </x:c>
      <x:c r="P37" s="71" t="s">
        <x:v>372</x:v>
      </x:c>
      <x:c r="Q37" s="71" t="s">
        <x:v>372</x:v>
      </x:c>
      <x:c r="R37" s="71" t="s">
        <x:v>372</x:v>
      </x:c>
      <x:c r="S37" s="71" t="s">
        <x:v>372</x:v>
      </x:c>
      <x:c r="T37" s="71" t="s">
        <x:v>372</x:v>
      </x:c>
      <x:c r="U37" s="71" t="s">
        <x:v>372</x:v>
      </x:c>
      <x:c r="V37" s="71" t="s">
        <x:v>372</x:v>
      </x:c>
      <x:c r="W37" s="71" t="s">
        <x:v>372</x:v>
      </x:c>
      <x:c r="X37" s="71" t="s">
        <x:v>372</x:v>
      </x:c>
      <x:c r="Y37" s="71" t="s">
        <x:v>372</x:v>
      </x:c>
      <x:c r="Z37" s="71" t="s">
        <x:v>372</x:v>
      </x:c>
      <x:c r="AA37" s="71" t="s">
        <x:v>372</x:v>
      </x:c>
      <x:c r="AB37" s="72"/>
      <x:c r="AC37" s="72"/>
      <x:c r="AD37" s="72"/>
      <x:c r="AE37" s="72"/>
      <x:c r="AF37" s="72"/>
      <x:c r="AG37" s="72"/>
      <x:c r="AH37" s="72"/>
      <x:c r="AI37" s="72"/>
      <x:c r="AJ37" s="72"/>
    </x:row>
    <x:row r="38" ht="15" hidden="0">
      <x:c r="A38" t="s">
        <x:v>171</x:v>
      </x:c>
      <x:c r="B38" t="s">
        <x:v>172</x:v>
      </x:c>
      <x:c r="C38" t="s">
        <x:v>62</x:v>
      </x:c>
      <x:c r="D38" t="s">
        <x:v>80</x:v>
      </x:c>
      <x:c r="E38" s="26" t="s">
        <x:v>65</x:v>
      </x:c>
      <x:c r="F38" s="34" t="n">
        <x:v>70.3</x:v>
      </x:c>
      <x:c r="G38" t="n">
        <x:v>59</x:v>
      </x:c>
      <x:c r="H38" s="274" t="n">
        <x:v>46234</x:v>
      </x:c>
      <x:c r="I38" s="274" t="n">
        <x:v>46361</x:v>
      </x:c>
      <x:c r="J38" s="72"/>
      <x:c r="K38" s="72"/>
      <x:c r="L38" s="72"/>
      <x:c r="M38" s="72"/>
      <x:c r="N38" s="73" t="s">
        <x:v>372</x:v>
      </x:c>
      <x:c r="O38" s="73" t="s">
        <x:v>372</x:v>
      </x:c>
      <x:c r="P38" s="73" t="s">
        <x:v>372</x:v>
      </x:c>
      <x:c r="Q38" s="73" t="s">
        <x:v>372</x:v>
      </x:c>
      <x:c r="R38" s="73" t="s">
        <x:v>372</x:v>
      </x:c>
      <x:c r="S38" s="73" t="s">
        <x:v>372</x:v>
      </x:c>
      <x:c r="T38" s="73" t="s">
        <x:v>372</x:v>
      </x:c>
      <x:c r="U38" s="73" t="s">
        <x:v>372</x:v>
      </x:c>
      <x:c r="V38" s="73" t="s">
        <x:v>372</x:v>
      </x:c>
      <x:c r="W38" s="73" t="s">
        <x:v>372</x:v>
      </x:c>
      <x:c r="X38" s="73" t="s">
        <x:v>372</x:v>
      </x:c>
      <x:c r="Y38" s="73" t="s">
        <x:v>372</x:v>
      </x:c>
      <x:c r="Z38" s="73" t="s">
        <x:v>372</x:v>
      </x:c>
      <x:c r="AA38" s="73" t="s">
        <x:v>372</x:v>
      </x:c>
      <x:c r="AB38" s="73" t="s">
        <x:v>372</x:v>
      </x:c>
      <x:c r="AC38" s="73" t="s">
        <x:v>372</x:v>
      </x:c>
      <x:c r="AD38" s="73" t="s">
        <x:v>372</x:v>
      </x:c>
      <x:c r="AE38" s="73" t="s">
        <x:v>372</x:v>
      </x:c>
      <x:c r="AF38" s="73" t="s">
        <x:v>372</x:v>
      </x:c>
      <x:c r="AG38" s="72"/>
      <x:c r="AH38" s="72"/>
      <x:c r="AI38" s="72"/>
      <x:c r="AJ38" s="72"/>
    </x:row>
    <x:row r="39" ht="15" hidden="0">
      <x:c r="A39" t="s">
        <x:v>246</x:v>
      </x:c>
      <x:c r="B39" t="s">
        <x:v>247</x:v>
      </x:c>
      <x:c r="C39" t="s">
        <x:v>62</x:v>
      </x:c>
      <x:c r="D39" t="s">
        <x:v>90</x:v>
      </x:c>
      <x:c r="E39" s="26" t="s">
        <x:v>65</x:v>
      </x:c>
      <x:c r="F39" s="34" t="n">
        <x:v>22</x:v>
      </x:c>
      <x:c r="G39" t="n">
        <x:v>17</x:v>
      </x:c>
      <x:c r="H39" s="274" t="n">
        <x:v>46235</x:v>
      </x:c>
      <x:c r="I39" s="274" t="n">
        <x:v>46354</x:v>
      </x:c>
      <x:c r="J39" s="72"/>
      <x:c r="K39" s="72"/>
      <x:c r="L39" s="72"/>
      <x:c r="M39" s="72"/>
      <x:c r="N39" s="73" t="s">
        <x:v>372</x:v>
      </x:c>
      <x:c r="O39" s="73" t="s">
        <x:v>372</x:v>
      </x:c>
      <x:c r="P39" s="73" t="s">
        <x:v>372</x:v>
      </x:c>
      <x:c r="Q39" s="73" t="s">
        <x:v>372</x:v>
      </x:c>
      <x:c r="R39" s="73" t="s">
        <x:v>372</x:v>
      </x:c>
      <x:c r="S39" s="73" t="s">
        <x:v>372</x:v>
      </x:c>
      <x:c r="T39" s="73" t="s">
        <x:v>372</x:v>
      </x:c>
      <x:c r="U39" s="73" t="s">
        <x:v>372</x:v>
      </x:c>
      <x:c r="V39" s="73" t="s">
        <x:v>372</x:v>
      </x:c>
      <x:c r="W39" s="73" t="s">
        <x:v>372</x:v>
      </x:c>
      <x:c r="X39" s="73" t="s">
        <x:v>372</x:v>
      </x:c>
      <x:c r="Y39" s="73" t="s">
        <x:v>372</x:v>
      </x:c>
      <x:c r="Z39" s="73" t="s">
        <x:v>372</x:v>
      </x:c>
      <x:c r="AA39" s="73" t="s">
        <x:v>372</x:v>
      </x:c>
      <x:c r="AB39" s="73" t="s">
        <x:v>372</x:v>
      </x:c>
      <x:c r="AC39" s="73" t="s">
        <x:v>372</x:v>
      </x:c>
      <x:c r="AD39" s="73" t="s">
        <x:v>372</x:v>
      </x:c>
      <x:c r="AE39" s="73" t="s">
        <x:v>372</x:v>
      </x:c>
      <x:c r="AF39" s="72"/>
      <x:c r="AG39" s="72"/>
      <x:c r="AH39" s="72"/>
      <x:c r="AI39" s="72"/>
      <x:c r="AJ39" s="72"/>
    </x:row>
    <x:row r="40" ht="15" hidden="0">
      <x:c r="A40" t="s">
        <x:v>252</x:v>
      </x:c>
      <x:c r="B40" t="s">
        <x:v>253</x:v>
      </x:c>
      <x:c r="C40" t="s">
        <x:v>68</x:v>
      </x:c>
      <x:c r="D40" t="s">
        <x:v>84</x:v>
      </x:c>
      <x:c r="E40" s="26" t="s">
        <x:v>65</x:v>
      </x:c>
      <x:c r="F40" s="34" t="n">
        <x:v>40.5</x:v>
      </x:c>
      <x:c r="G40" t="n">
        <x:v>15</x:v>
      </x:c>
      <x:c r="H40" s="274" t="n">
        <x:v>46236</x:v>
      </x:c>
      <x:c r="I40" s="274" t="n">
        <x:v>46321</x:v>
      </x:c>
      <x:c r="J40" s="72"/>
      <x:c r="K40" s="72"/>
      <x:c r="L40" s="72"/>
      <x:c r="M40" s="72"/>
      <x:c r="N40" s="73" t="s">
        <x:v>372</x:v>
      </x:c>
      <x:c r="O40" s="73" t="s">
        <x:v>372</x:v>
      </x:c>
      <x:c r="P40" s="73" t="s">
        <x:v>372</x:v>
      </x:c>
      <x:c r="Q40" s="73" t="s">
        <x:v>372</x:v>
      </x:c>
      <x:c r="R40" s="73" t="s">
        <x:v>372</x:v>
      </x:c>
      <x:c r="S40" s="73" t="s">
        <x:v>372</x:v>
      </x:c>
      <x:c r="T40" s="73" t="s">
        <x:v>372</x:v>
      </x:c>
      <x:c r="U40" s="73" t="s">
        <x:v>372</x:v>
      </x:c>
      <x:c r="V40" s="73" t="s">
        <x:v>372</x:v>
      </x:c>
      <x:c r="W40" s="73" t="s">
        <x:v>372</x:v>
      </x:c>
      <x:c r="X40" s="73" t="s">
        <x:v>372</x:v>
      </x:c>
      <x:c r="Y40" s="73" t="s">
        <x:v>372</x:v>
      </x:c>
      <x:c r="Z40" s="73" t="s">
        <x:v>372</x:v>
      </x:c>
      <x:c r="AA40" s="72"/>
      <x:c r="AB40" s="72"/>
      <x:c r="AC40" s="72"/>
      <x:c r="AD40" s="72"/>
      <x:c r="AE40" s="72"/>
      <x:c r="AF40" s="72"/>
      <x:c r="AG40" s="72"/>
      <x:c r="AH40" s="72"/>
      <x:c r="AI40" s="72"/>
      <x:c r="AJ40" s="72"/>
    </x:row>
    <x:row r="41" ht="15" hidden="0">
      <x:c r="A41" t="s">
        <x:v>173</x:v>
      </x:c>
      <x:c r="B41" t="s">
        <x:v>174</x:v>
      </x:c>
      <x:c r="C41" t="s">
        <x:v>123</x:v>
      </x:c>
      <x:c r="D41" t="s">
        <x:v>160</x:v>
      </x:c>
      <x:c r="E41" s="26" t="s">
        <x:v>65</x:v>
      </x:c>
      <x:c r="F41" s="34" t="n">
        <x:v>88.3</x:v>
      </x:c>
      <x:c r="G41" t="n">
        <x:v>58</x:v>
      </x:c>
      <x:c r="H41" s="274" t="n">
        <x:v>46237</x:v>
      </x:c>
      <x:c r="I41" s="274" t="n">
        <x:v>46345</x:v>
      </x:c>
      <x:c r="J41" s="72"/>
      <x:c r="K41" s="72"/>
      <x:c r="L41" s="72"/>
      <x:c r="M41" s="72"/>
      <x:c r="N41" s="73" t="s">
        <x:v>372</x:v>
      </x:c>
      <x:c r="O41" s="73" t="s">
        <x:v>372</x:v>
      </x:c>
      <x:c r="P41" s="73" t="s">
        <x:v>372</x:v>
      </x:c>
      <x:c r="Q41" s="73" t="s">
        <x:v>372</x:v>
      </x:c>
      <x:c r="R41" s="73" t="s">
        <x:v>372</x:v>
      </x:c>
      <x:c r="S41" s="73" t="s">
        <x:v>372</x:v>
      </x:c>
      <x:c r="T41" s="73" t="s">
        <x:v>372</x:v>
      </x:c>
      <x:c r="U41" s="73" t="s">
        <x:v>372</x:v>
      </x:c>
      <x:c r="V41" s="73" t="s">
        <x:v>372</x:v>
      </x:c>
      <x:c r="W41" s="73" t="s">
        <x:v>372</x:v>
      </x:c>
      <x:c r="X41" s="73" t="s">
        <x:v>372</x:v>
      </x:c>
      <x:c r="Y41" s="73" t="s">
        <x:v>372</x:v>
      </x:c>
      <x:c r="Z41" s="73" t="s">
        <x:v>372</x:v>
      </x:c>
      <x:c r="AA41" s="73" t="s">
        <x:v>372</x:v>
      </x:c>
      <x:c r="AB41" s="73" t="s">
        <x:v>372</x:v>
      </x:c>
      <x:c r="AC41" s="73" t="s">
        <x:v>372</x:v>
      </x:c>
      <x:c r="AD41" s="73" t="s">
        <x:v>372</x:v>
      </x:c>
      <x:c r="AE41" s="72"/>
      <x:c r="AF41" s="72"/>
      <x:c r="AG41" s="72"/>
      <x:c r="AH41" s="72"/>
      <x:c r="AI41" s="72"/>
      <x:c r="AJ41" s="72"/>
    </x:row>
    <x:row r="42" ht="15" hidden="0">
      <x:c r="A42" t="s">
        <x:v>120</x:v>
      </x:c>
      <x:c r="B42" t="s">
        <x:v>93</x:v>
      </x:c>
      <x:c r="C42" t="s">
        <x:v>70</x:v>
      </x:c>
      <x:c r="D42" t="s">
        <x:v>88</x:v>
      </x:c>
      <x:c r="E42" s="26" t="s">
        <x:v>65</x:v>
      </x:c>
      <x:c r="F42" s="34" t="n">
        <x:v>47.2</x:v>
      </x:c>
      <x:c r="G42" t="n">
        <x:v>86</x:v>
      </x:c>
      <x:c r="H42" s="274" t="n">
        <x:v>46238</x:v>
      </x:c>
      <x:c r="I42" s="274" t="n">
        <x:v>46371</x:v>
      </x:c>
      <x:c r="J42" s="72"/>
      <x:c r="K42" s="72"/>
      <x:c r="L42" s="72"/>
      <x:c r="M42" s="72"/>
      <x:c r="N42" s="73" t="s">
        <x:v>372</x:v>
      </x:c>
      <x:c r="O42" s="73" t="s">
        <x:v>372</x:v>
      </x:c>
      <x:c r="P42" s="73" t="s">
        <x:v>372</x:v>
      </x:c>
      <x:c r="Q42" s="73" t="s">
        <x:v>372</x:v>
      </x:c>
      <x:c r="R42" s="73" t="s">
        <x:v>372</x:v>
      </x:c>
      <x:c r="S42" s="73" t="s">
        <x:v>372</x:v>
      </x:c>
      <x:c r="T42" s="73" t="s">
        <x:v>372</x:v>
      </x:c>
      <x:c r="U42" s="73" t="s">
        <x:v>372</x:v>
      </x:c>
      <x:c r="V42" s="73" t="s">
        <x:v>372</x:v>
      </x:c>
      <x:c r="W42" s="73" t="s">
        <x:v>372</x:v>
      </x:c>
      <x:c r="X42" s="73" t="s">
        <x:v>372</x:v>
      </x:c>
      <x:c r="Y42" s="73" t="s">
        <x:v>372</x:v>
      </x:c>
      <x:c r="Z42" s="73" t="s">
        <x:v>372</x:v>
      </x:c>
      <x:c r="AA42" s="73" t="s">
        <x:v>372</x:v>
      </x:c>
      <x:c r="AB42" s="73" t="s">
        <x:v>372</x:v>
      </x:c>
      <x:c r="AC42" s="73" t="s">
        <x:v>372</x:v>
      </x:c>
      <x:c r="AD42" s="73" t="s">
        <x:v>372</x:v>
      </x:c>
      <x:c r="AE42" s="73" t="s">
        <x:v>372</x:v>
      </x:c>
      <x:c r="AF42" s="73" t="s">
        <x:v>372</x:v>
      </x:c>
      <x:c r="AG42" s="73" t="s">
        <x:v>372</x:v>
      </x:c>
      <x:c r="AH42" s="72"/>
      <x:c r="AI42" s="72"/>
      <x:c r="AJ42" s="72"/>
    </x:row>
    <x:row r="43" ht="15" hidden="0">
      <x:c r="A43" t="s">
        <x:v>224</x:v>
      </x:c>
      <x:c r="B43" t="s">
        <x:v>225</x:v>
      </x:c>
      <x:c r="C43" t="s">
        <x:v>123</x:v>
      </x:c>
      <x:c r="D43" t="s">
        <x:v>97</x:v>
      </x:c>
      <x:c r="E43" s="26" t="s">
        <x:v>65</x:v>
      </x:c>
      <x:c r="F43" s="34" t="n">
        <x:v>46.8</x:v>
      </x:c>
      <x:c r="G43" t="n">
        <x:v>31</x:v>
      </x:c>
      <x:c r="H43" s="274" t="n">
        <x:v>46239</x:v>
      </x:c>
      <x:c r="I43" s="274" t="n">
        <x:v>46333</x:v>
      </x:c>
      <x:c r="J43" s="72"/>
      <x:c r="K43" s="72"/>
      <x:c r="L43" s="72"/>
      <x:c r="M43" s="72"/>
      <x:c r="N43" s="72"/>
      <x:c r="O43" s="73" t="s">
        <x:v>372</x:v>
      </x:c>
      <x:c r="P43" s="73" t="s">
        <x:v>372</x:v>
      </x:c>
      <x:c r="Q43" s="73" t="s">
        <x:v>372</x:v>
      </x:c>
      <x:c r="R43" s="73" t="s">
        <x:v>372</x:v>
      </x:c>
      <x:c r="S43" s="73" t="s">
        <x:v>372</x:v>
      </x:c>
      <x:c r="T43" s="73" t="s">
        <x:v>372</x:v>
      </x:c>
      <x:c r="U43" s="73" t="s">
        <x:v>372</x:v>
      </x:c>
      <x:c r="V43" s="73" t="s">
        <x:v>372</x:v>
      </x:c>
      <x:c r="W43" s="73" t="s">
        <x:v>372</x:v>
      </x:c>
      <x:c r="X43" s="73" t="s">
        <x:v>372</x:v>
      </x:c>
      <x:c r="Y43" s="73" t="s">
        <x:v>372</x:v>
      </x:c>
      <x:c r="Z43" s="73" t="s">
        <x:v>372</x:v>
      </x:c>
      <x:c r="AA43" s="73" t="s">
        <x:v>372</x:v>
      </x:c>
      <x:c r="AB43" s="73" t="s">
        <x:v>372</x:v>
      </x:c>
      <x:c r="AC43" s="72"/>
      <x:c r="AD43" s="72"/>
      <x:c r="AE43" s="72"/>
      <x:c r="AF43" s="72"/>
      <x:c r="AG43" s="72"/>
      <x:c r="AH43" s="72"/>
      <x:c r="AI43" s="72"/>
      <x:c r="AJ43" s="72"/>
    </x:row>
    <x:row r="44" ht="15" hidden="0">
      <x:c r="A44" t="s">
        <x:v>266</x:v>
      </x:c>
      <x:c r="B44" t="s">
        <x:v>267</x:v>
      </x:c>
      <x:c r="C44" t="s">
        <x:v>68</x:v>
      </x:c>
      <x:c r="D44" t="s">
        <x:v>193</x:v>
      </x:c>
      <x:c r="E44" s="37" t="s">
        <x:v>63</x:v>
      </x:c>
      <x:c r="F44" s="34" t="n">
        <x:v>74.8</x:v>
      </x:c>
      <x:c r="G44" t="n">
        <x:v>66</x:v>
      </x:c>
      <x:c r="H44" s="274" t="n">
        <x:v>46240</x:v>
      </x:c>
      <x:c r="I44" s="274" t="n">
        <x:v>46362</x:v>
      </x:c>
      <x:c r="J44" s="72"/>
      <x:c r="K44" s="72"/>
      <x:c r="L44" s="72"/>
      <x:c r="M44" s="72"/>
      <x:c r="N44" s="72"/>
      <x:c r="O44" s="71" t="s">
        <x:v>372</x:v>
      </x:c>
      <x:c r="P44" s="71" t="s">
        <x:v>372</x:v>
      </x:c>
      <x:c r="Q44" s="71" t="s">
        <x:v>372</x:v>
      </x:c>
      <x:c r="R44" s="71" t="s">
        <x:v>372</x:v>
      </x:c>
      <x:c r="S44" s="71" t="s">
        <x:v>372</x:v>
      </x:c>
      <x:c r="T44" s="71" t="s">
        <x:v>372</x:v>
      </x:c>
      <x:c r="U44" s="71" t="s">
        <x:v>372</x:v>
      </x:c>
      <x:c r="V44" s="71" t="s">
        <x:v>372</x:v>
      </x:c>
      <x:c r="W44" s="71" t="s">
        <x:v>372</x:v>
      </x:c>
      <x:c r="X44" s="71" t="s">
        <x:v>372</x:v>
      </x:c>
      <x:c r="Y44" s="71" t="s">
        <x:v>372</x:v>
      </x:c>
      <x:c r="Z44" s="71" t="s">
        <x:v>372</x:v>
      </x:c>
      <x:c r="AA44" s="71" t="s">
        <x:v>372</x:v>
      </x:c>
      <x:c r="AB44" s="71" t="s">
        <x:v>372</x:v>
      </x:c>
      <x:c r="AC44" s="71" t="s">
        <x:v>372</x:v>
      </x:c>
      <x:c r="AD44" s="71" t="s">
        <x:v>372</x:v>
      </x:c>
      <x:c r="AE44" s="71" t="s">
        <x:v>372</x:v>
      </x:c>
      <x:c r="AF44" s="71" t="s">
        <x:v>372</x:v>
      </x:c>
      <x:c r="AG44" s="72"/>
      <x:c r="AH44" s="72"/>
      <x:c r="AI44" s="72"/>
      <x:c r="AJ44" s="72"/>
    </x:row>
    <x:row r="45" ht="15" hidden="0">
      <x:c r="A45" t="s">
        <x:v>280</x:v>
      </x:c>
      <x:c r="B45" t="s">
        <x:v>281</x:v>
      </x:c>
      <x:c r="C45" t="s">
        <x:v>123</x:v>
      </x:c>
      <x:c r="D45" t="s">
        <x:v>80</x:v>
      </x:c>
      <x:c r="E45" s="37" t="s">
        <x:v>63</x:v>
      </x:c>
      <x:c r="F45" s="34" t="n">
        <x:v>75.8</x:v>
      </x:c>
      <x:c r="G45" t="n">
        <x:v>51</x:v>
      </x:c>
      <x:c r="H45" s="274" t="n">
        <x:v>46241</x:v>
      </x:c>
      <x:c r="I45" s="274" t="n">
        <x:v>46372</x:v>
      </x:c>
      <x:c r="J45" s="72"/>
      <x:c r="K45" s="72"/>
      <x:c r="L45" s="72"/>
      <x:c r="M45" s="72"/>
      <x:c r="N45" s="72"/>
      <x:c r="O45" s="71" t="s">
        <x:v>372</x:v>
      </x:c>
      <x:c r="P45" s="71" t="s">
        <x:v>372</x:v>
      </x:c>
      <x:c r="Q45" s="71" t="s">
        <x:v>372</x:v>
      </x:c>
      <x:c r="R45" s="71" t="s">
        <x:v>372</x:v>
      </x:c>
      <x:c r="S45" s="71" t="s">
        <x:v>372</x:v>
      </x:c>
      <x:c r="T45" s="71" t="s">
        <x:v>372</x:v>
      </x:c>
      <x:c r="U45" s="71" t="s">
        <x:v>372</x:v>
      </x:c>
      <x:c r="V45" s="71" t="s">
        <x:v>372</x:v>
      </x:c>
      <x:c r="W45" s="71" t="s">
        <x:v>372</x:v>
      </x:c>
      <x:c r="X45" s="71" t="s">
        <x:v>372</x:v>
      </x:c>
      <x:c r="Y45" s="71" t="s">
        <x:v>372</x:v>
      </x:c>
      <x:c r="Z45" s="71" t="s">
        <x:v>372</x:v>
      </x:c>
      <x:c r="AA45" s="71" t="s">
        <x:v>372</x:v>
      </x:c>
      <x:c r="AB45" s="71" t="s">
        <x:v>372</x:v>
      </x:c>
      <x:c r="AC45" s="71" t="s">
        <x:v>372</x:v>
      </x:c>
      <x:c r="AD45" s="71" t="s">
        <x:v>372</x:v>
      </x:c>
      <x:c r="AE45" s="71" t="s">
        <x:v>372</x:v>
      </x:c>
      <x:c r="AF45" s="71" t="s">
        <x:v>372</x:v>
      </x:c>
      <x:c r="AG45" s="71" t="s">
        <x:v>372</x:v>
      </x:c>
      <x:c r="AH45" s="71" t="s">
        <x:v>372</x:v>
      </x:c>
      <x:c r="AI45" s="72"/>
      <x:c r="AJ45" s="72"/>
    </x:row>
    <x:row r="46" ht="15" hidden="0">
      <x:c r="A46" t="s">
        <x:v>278</x:v>
      </x:c>
      <x:c r="B46" t="s">
        <x:v>279</x:v>
      </x:c>
      <x:c r="C46" t="s">
        <x:v>69</x:v>
      </x:c>
      <x:c r="D46" t="s">
        <x:v>84</x:v>
      </x:c>
      <x:c r="E46" s="37" t="s">
        <x:v>63</x:v>
      </x:c>
      <x:c r="F46" s="34" t="n">
        <x:v>75.2</x:v>
      </x:c>
      <x:c r="G46" t="n">
        <x:v>55</x:v>
      </x:c>
      <x:c r="H46" s="274" t="n">
        <x:v>46242</x:v>
      </x:c>
      <x:c r="I46" s="274" t="n">
        <x:v>46311</x:v>
      </x:c>
      <x:c r="J46" s="72"/>
      <x:c r="K46" s="72"/>
      <x:c r="L46" s="72"/>
      <x:c r="M46" s="72"/>
      <x:c r="N46" s="72"/>
      <x:c r="O46" s="71" t="s">
        <x:v>372</x:v>
      </x:c>
      <x:c r="P46" s="71" t="s">
        <x:v>372</x:v>
      </x:c>
      <x:c r="Q46" s="71" t="s">
        <x:v>372</x:v>
      </x:c>
      <x:c r="R46" s="71" t="s">
        <x:v>372</x:v>
      </x:c>
      <x:c r="S46" s="71" t="s">
        <x:v>372</x:v>
      </x:c>
      <x:c r="T46" s="71" t="s">
        <x:v>372</x:v>
      </x:c>
      <x:c r="U46" s="71" t="s">
        <x:v>372</x:v>
      </x:c>
      <x:c r="V46" s="71" t="s">
        <x:v>372</x:v>
      </x:c>
      <x:c r="W46" s="71" t="s">
        <x:v>372</x:v>
      </x:c>
      <x:c r="X46" s="71" t="s">
        <x:v>372</x:v>
      </x:c>
      <x:c r="Y46" s="71" t="s">
        <x:v>372</x:v>
      </x:c>
      <x:c r="Z46" s="72"/>
      <x:c r="AA46" s="72"/>
      <x:c r="AB46" s="72"/>
      <x:c r="AC46" s="72"/>
      <x:c r="AD46" s="72"/>
      <x:c r="AE46" s="72"/>
      <x:c r="AF46" s="72"/>
      <x:c r="AG46" s="72"/>
      <x:c r="AH46" s="72"/>
      <x:c r="AI46" s="72"/>
      <x:c r="AJ46" s="72"/>
    </x:row>
    <x:row r="47" ht="15" hidden="0">
      <x:c r="A47" t="s">
        <x:v>150</x:v>
      </x:c>
      <x:c r="B47" t="s">
        <x:v>151</x:v>
      </x:c>
      <x:c r="C47" t="s">
        <x:v>70</x:v>
      </x:c>
      <x:c r="D47" t="s">
        <x:v>88</x:v>
      </x:c>
      <x:c r="E47" s="26" t="s">
        <x:v>65</x:v>
      </x:c>
      <x:c r="F47" s="34" t="n">
        <x:v>47.2</x:v>
      </x:c>
      <x:c r="G47" t="n">
        <x:v>75</x:v>
      </x:c>
      <x:c r="H47" s="274" t="n">
        <x:v>46243</x:v>
      </x:c>
      <x:c r="I47" s="274" t="n">
        <x:v>46344</x:v>
      </x:c>
      <x:c r="J47" s="72"/>
      <x:c r="K47" s="72"/>
      <x:c r="L47" s="72"/>
      <x:c r="M47" s="72"/>
      <x:c r="N47" s="72"/>
      <x:c r="O47" s="73" t="s">
        <x:v>372</x:v>
      </x:c>
      <x:c r="P47" s="73" t="s">
        <x:v>372</x:v>
      </x:c>
      <x:c r="Q47" s="73" t="s">
        <x:v>372</x:v>
      </x:c>
      <x:c r="R47" s="73" t="s">
        <x:v>372</x:v>
      </x:c>
      <x:c r="S47" s="73" t="s">
        <x:v>372</x:v>
      </x:c>
      <x:c r="T47" s="73" t="s">
        <x:v>372</x:v>
      </x:c>
      <x:c r="U47" s="73" t="s">
        <x:v>372</x:v>
      </x:c>
      <x:c r="V47" s="73" t="s">
        <x:v>372</x:v>
      </x:c>
      <x:c r="W47" s="73" t="s">
        <x:v>372</x:v>
      </x:c>
      <x:c r="X47" s="73" t="s">
        <x:v>372</x:v>
      </x:c>
      <x:c r="Y47" s="73" t="s">
        <x:v>372</x:v>
      </x:c>
      <x:c r="Z47" s="73" t="s">
        <x:v>372</x:v>
      </x:c>
      <x:c r="AA47" s="73" t="s">
        <x:v>372</x:v>
      </x:c>
      <x:c r="AB47" s="73" t="s">
        <x:v>372</x:v>
      </x:c>
      <x:c r="AC47" s="73" t="s">
        <x:v>372</x:v>
      </x:c>
      <x:c r="AD47" s="73" t="s">
        <x:v>372</x:v>
      </x:c>
      <x:c r="AE47" s="72"/>
      <x:c r="AF47" s="72"/>
      <x:c r="AG47" s="72"/>
      <x:c r="AH47" s="72"/>
      <x:c r="AI47" s="72"/>
      <x:c r="AJ47" s="72"/>
    </x:row>
    <x:row r="48" ht="15" hidden="0">
      <x:c r="A48" t="s">
        <x:v>248</x:v>
      </x:c>
      <x:c r="B48" t="s">
        <x:v>249</x:v>
      </x:c>
      <x:c r="C48" t="s">
        <x:v>60</x:v>
      </x:c>
      <x:c r="D48" t="s">
        <x:v>88</x:v>
      </x:c>
      <x:c r="E48" s="26" t="s">
        <x:v>65</x:v>
      </x:c>
      <x:c r="F48" s="34" t="n">
        <x:v>34.8</x:v>
      </x:c>
      <x:c r="G48" t="n">
        <x:v>17</x:v>
      </x:c>
      <x:c r="H48" s="274" t="n">
        <x:v>46244</x:v>
      </x:c>
      <x:c r="I48" s="274" t="n">
        <x:v>46303</x:v>
      </x:c>
      <x:c r="J48" s="72"/>
      <x:c r="K48" s="72"/>
      <x:c r="L48" s="72"/>
      <x:c r="M48" s="72"/>
      <x:c r="N48" s="72"/>
      <x:c r="O48" s="73" t="s">
        <x:v>372</x:v>
      </x:c>
      <x:c r="P48" s="73" t="s">
        <x:v>372</x:v>
      </x:c>
      <x:c r="Q48" s="73" t="s">
        <x:v>372</x:v>
      </x:c>
      <x:c r="R48" s="73" t="s">
        <x:v>372</x:v>
      </x:c>
      <x:c r="S48" s="73" t="s">
        <x:v>372</x:v>
      </x:c>
      <x:c r="T48" s="73" t="s">
        <x:v>372</x:v>
      </x:c>
      <x:c r="U48" s="73" t="s">
        <x:v>372</x:v>
      </x:c>
      <x:c r="V48" s="73" t="s">
        <x:v>372</x:v>
      </x:c>
      <x:c r="W48" s="73" t="s">
        <x:v>372</x:v>
      </x:c>
      <x:c r="X48" s="73" t="s">
        <x:v>372</x:v>
      </x:c>
      <x:c r="Y48" s="72"/>
      <x:c r="Z48" s="72"/>
      <x:c r="AA48" s="72"/>
      <x:c r="AB48" s="72"/>
      <x:c r="AC48" s="72"/>
      <x:c r="AD48" s="72"/>
      <x:c r="AE48" s="72"/>
      <x:c r="AF48" s="72"/>
      <x:c r="AG48" s="72"/>
      <x:c r="AH48" s="72"/>
      <x:c r="AI48" s="72"/>
      <x:c r="AJ48" s="72"/>
    </x:row>
    <x:row r="49" ht="15" hidden="0">
      <x:c r="A49" t="s">
        <x:v>175</x:v>
      </x:c>
      <x:c r="B49" t="s">
        <x:v>176</x:v>
      </x:c>
      <x:c r="C49" t="s">
        <x:v>68</x:v>
      </x:c>
      <x:c r="D49" t="s">
        <x:v>132</x:v>
      </x:c>
      <x:c r="E49" s="26" t="s">
        <x:v>65</x:v>
      </x:c>
      <x:c r="F49" s="34" t="n">
        <x:v>36</x:v>
      </x:c>
      <x:c r="G49" t="n">
        <x:v>58</x:v>
      </x:c>
      <x:c r="H49" s="274" t="n">
        <x:v>46245</x:v>
      </x:c>
      <x:c r="I49" s="274" t="n">
        <x:v>46318</x:v>
      </x:c>
      <x:c r="J49" s="72"/>
      <x:c r="K49" s="72"/>
      <x:c r="L49" s="72"/>
      <x:c r="M49" s="72"/>
      <x:c r="N49" s="72"/>
      <x:c r="O49" s="73" t="s">
        <x:v>372</x:v>
      </x:c>
      <x:c r="P49" s="73" t="s">
        <x:v>372</x:v>
      </x:c>
      <x:c r="Q49" s="73" t="s">
        <x:v>372</x:v>
      </x:c>
      <x:c r="R49" s="73" t="s">
        <x:v>372</x:v>
      </x:c>
      <x:c r="S49" s="73" t="s">
        <x:v>372</x:v>
      </x:c>
      <x:c r="T49" s="73" t="s">
        <x:v>372</x:v>
      </x:c>
      <x:c r="U49" s="73" t="s">
        <x:v>372</x:v>
      </x:c>
      <x:c r="V49" s="73" t="s">
        <x:v>372</x:v>
      </x:c>
      <x:c r="W49" s="73" t="s">
        <x:v>372</x:v>
      </x:c>
      <x:c r="X49" s="73" t="s">
        <x:v>372</x:v>
      </x:c>
      <x:c r="Y49" s="73" t="s">
        <x:v>372</x:v>
      </x:c>
      <x:c r="Z49" s="73" t="s">
        <x:v>372</x:v>
      </x:c>
      <x:c r="AA49" s="72"/>
      <x:c r="AB49" s="72"/>
      <x:c r="AC49" s="72"/>
      <x:c r="AD49" s="72"/>
      <x:c r="AE49" s="72"/>
      <x:c r="AF49" s="72"/>
      <x:c r="AG49" s="72"/>
      <x:c r="AH49" s="72"/>
      <x:c r="AI49" s="72"/>
      <x:c r="AJ49" s="72"/>
    </x:row>
    <x:row r="50" ht="15" hidden="0">
      <x:c r="A50" t="s">
        <x:v>262</x:v>
      </x:c>
      <x:c r="B50" t="s">
        <x:v>263</x:v>
      </x:c>
      <x:c r="C50" t="s">
        <x:v>60</x:v>
      </x:c>
      <x:c r="D50" t="s">
        <x:v>84</x:v>
      </x:c>
      <x:c r="E50" s="37" t="s">
        <x:v>63</x:v>
      </x:c>
      <x:c r="F50" s="34" t="n">
        <x:v>72.8</x:v>
      </x:c>
      <x:c r="G50" t="n">
        <x:v>71</x:v>
      </x:c>
      <x:c r="H50" s="274" t="n">
        <x:v>46246</x:v>
      </x:c>
      <x:c r="I50" s="274" t="n">
        <x:v>46395</x:v>
      </x:c>
      <x:c r="J50" s="72"/>
      <x:c r="K50" s="72"/>
      <x:c r="L50" s="72"/>
      <x:c r="M50" s="72"/>
      <x:c r="N50" s="72"/>
      <x:c r="O50" s="72"/>
      <x:c r="P50" s="71" t="s">
        <x:v>372</x:v>
      </x:c>
      <x:c r="Q50" s="71" t="s">
        <x:v>372</x:v>
      </x:c>
      <x:c r="R50" s="71" t="s">
        <x:v>372</x:v>
      </x:c>
      <x:c r="S50" s="71" t="s">
        <x:v>372</x:v>
      </x:c>
      <x:c r="T50" s="71" t="s">
        <x:v>372</x:v>
      </x:c>
      <x:c r="U50" s="71" t="s">
        <x:v>372</x:v>
      </x:c>
      <x:c r="V50" s="71" t="s">
        <x:v>372</x:v>
      </x:c>
      <x:c r="W50" s="71" t="s">
        <x:v>372</x:v>
      </x:c>
      <x:c r="X50" s="71" t="s">
        <x:v>372</x:v>
      </x:c>
      <x:c r="Y50" s="71" t="s">
        <x:v>372</x:v>
      </x:c>
      <x:c r="Z50" s="71" t="s">
        <x:v>372</x:v>
      </x:c>
      <x:c r="AA50" s="71" t="s">
        <x:v>372</x:v>
      </x:c>
      <x:c r="AB50" s="71" t="s">
        <x:v>372</x:v>
      </x:c>
      <x:c r="AC50" s="71" t="s">
        <x:v>372</x:v>
      </x:c>
      <x:c r="AD50" s="71" t="s">
        <x:v>372</x:v>
      </x:c>
      <x:c r="AE50" s="71" t="s">
        <x:v>372</x:v>
      </x:c>
      <x:c r="AF50" s="71" t="s">
        <x:v>372</x:v>
      </x:c>
      <x:c r="AG50" s="71" t="s">
        <x:v>372</x:v>
      </x:c>
      <x:c r="AH50" s="71" t="s">
        <x:v>372</x:v>
      </x:c>
      <x:c r="AI50" s="71" t="s">
        <x:v>372</x:v>
      </x:c>
      <x:c r="AJ50" s="71" t="s">
        <x:v>372</x:v>
      </x:c>
    </x:row>
    <x:row r="51" ht="15" hidden="0">
      <x:c r="A51" t="s">
        <x:v>154</x:v>
      </x:c>
      <x:c r="B51" t="s">
        <x:v>155</x:v>
      </x:c>
      <x:c r="C51" t="s">
        <x:v>123</x:v>
      </x:c>
      <x:c r="D51" t="s">
        <x:v>80</x:v>
      </x:c>
      <x:c r="E51" s="26" t="s">
        <x:v>65</x:v>
      </x:c>
      <x:c r="F51" s="34" t="n">
        <x:v>47</x:v>
      </x:c>
      <x:c r="G51" t="n">
        <x:v>72</x:v>
      </x:c>
      <x:c r="H51" s="274" t="n">
        <x:v>46247</x:v>
      </x:c>
      <x:c r="I51" s="274" t="n">
        <x:v>46343</x:v>
      </x:c>
      <x:c r="J51" s="72"/>
      <x:c r="K51" s="72"/>
      <x:c r="L51" s="72"/>
      <x:c r="M51" s="72"/>
      <x:c r="N51" s="72"/>
      <x:c r="O51" s="72"/>
      <x:c r="P51" s="73" t="s">
        <x:v>372</x:v>
      </x:c>
      <x:c r="Q51" s="73" t="s">
        <x:v>372</x:v>
      </x:c>
      <x:c r="R51" s="73" t="s">
        <x:v>372</x:v>
      </x:c>
      <x:c r="S51" s="73" t="s">
        <x:v>372</x:v>
      </x:c>
      <x:c r="T51" s="73" t="s">
        <x:v>372</x:v>
      </x:c>
      <x:c r="U51" s="73" t="s">
        <x:v>372</x:v>
      </x:c>
      <x:c r="V51" s="73" t="s">
        <x:v>372</x:v>
      </x:c>
      <x:c r="W51" s="73" t="s">
        <x:v>372</x:v>
      </x:c>
      <x:c r="X51" s="73" t="s">
        <x:v>372</x:v>
      </x:c>
      <x:c r="Y51" s="73" t="s">
        <x:v>372</x:v>
      </x:c>
      <x:c r="Z51" s="73" t="s">
        <x:v>372</x:v>
      </x:c>
      <x:c r="AA51" s="73" t="s">
        <x:v>372</x:v>
      </x:c>
      <x:c r="AB51" s="73" t="s">
        <x:v>372</x:v>
      </x:c>
      <x:c r="AC51" s="73" t="s">
        <x:v>372</x:v>
      </x:c>
      <x:c r="AD51" s="72"/>
      <x:c r="AE51" s="72"/>
      <x:c r="AF51" s="72"/>
      <x:c r="AG51" s="72"/>
      <x:c r="AH51" s="72"/>
      <x:c r="AI51" s="72"/>
      <x:c r="AJ51" s="72"/>
    </x:row>
    <x:row r="52" ht="15" hidden="0">
      <x:c r="A52" t="s">
        <x:v>122</x:v>
      </x:c>
      <x:c r="B52" t="s">
        <x:v>96</x:v>
      </x:c>
      <x:c r="C52" t="s">
        <x:v>123</x:v>
      </x:c>
      <x:c r="D52" t="s">
        <x:v>97</x:v>
      </x:c>
      <x:c r="E52" s="26" t="s">
        <x:v>65</x:v>
      </x:c>
      <x:c r="F52" s="34" t="n">
        <x:v>46.3</x:v>
      </x:c>
      <x:c r="G52" t="n">
        <x:v>83</x:v>
      </x:c>
      <x:c r="H52" s="274" t="n">
        <x:v>46248</x:v>
      </x:c>
      <x:c r="I52" s="274" t="n">
        <x:v>46380</x:v>
      </x:c>
      <x:c r="J52" s="72"/>
      <x:c r="K52" s="72"/>
      <x:c r="L52" s="72"/>
      <x:c r="M52" s="72"/>
      <x:c r="N52" s="72"/>
      <x:c r="O52" s="72"/>
      <x:c r="P52" s="73" t="s">
        <x:v>372</x:v>
      </x:c>
      <x:c r="Q52" s="73" t="s">
        <x:v>372</x:v>
      </x:c>
      <x:c r="R52" s="73" t="s">
        <x:v>372</x:v>
      </x:c>
      <x:c r="S52" s="73" t="s">
        <x:v>372</x:v>
      </x:c>
      <x:c r="T52" s="73" t="s">
        <x:v>372</x:v>
      </x:c>
      <x:c r="U52" s="73" t="s">
        <x:v>372</x:v>
      </x:c>
      <x:c r="V52" s="73" t="s">
        <x:v>372</x:v>
      </x:c>
      <x:c r="W52" s="73" t="s">
        <x:v>372</x:v>
      </x:c>
      <x:c r="X52" s="73" t="s">
        <x:v>372</x:v>
      </x:c>
      <x:c r="Y52" s="73" t="s">
        <x:v>372</x:v>
      </x:c>
      <x:c r="Z52" s="73" t="s">
        <x:v>372</x:v>
      </x:c>
      <x:c r="AA52" s="73" t="s">
        <x:v>372</x:v>
      </x:c>
      <x:c r="AB52" s="73" t="s">
        <x:v>372</x:v>
      </x:c>
      <x:c r="AC52" s="73" t="s">
        <x:v>372</x:v>
      </x:c>
      <x:c r="AD52" s="73" t="s">
        <x:v>372</x:v>
      </x:c>
      <x:c r="AE52" s="73" t="s">
        <x:v>372</x:v>
      </x:c>
      <x:c r="AF52" s="73" t="s">
        <x:v>372</x:v>
      </x:c>
      <x:c r="AG52" s="73" t="s">
        <x:v>372</x:v>
      </x:c>
      <x:c r="AH52" s="73" t="s">
        <x:v>372</x:v>
      </x:c>
      <x:c r="AI52" s="73" t="s">
        <x:v>372</x:v>
      </x:c>
      <x:c r="AJ52" s="72"/>
    </x:row>
    <x:row r="53" ht="15" hidden="0">
      <x:c r="A53" t="s">
        <x:v>292</x:v>
      </x:c>
      <x:c r="B53" t="s">
        <x:v>293</x:v>
      </x:c>
      <x:c r="C53" t="s">
        <x:v>67</x:v>
      </x:c>
      <x:c r="D53" t="s">
        <x:v>80</x:v>
      </x:c>
      <x:c r="E53" s="37" t="s">
        <x:v>63</x:v>
      </x:c>
      <x:c r="F53" s="34" t="n">
        <x:v>82.8</x:v>
      </x:c>
      <x:c r="G53" t="n">
        <x:v>37</x:v>
      </x:c>
      <x:c r="H53" s="274" t="n">
        <x:v>46249</x:v>
      </x:c>
      <x:c r="I53" s="274" t="n">
        <x:v>46404</x:v>
      </x:c>
      <x:c r="J53" s="72"/>
      <x:c r="K53" s="72"/>
      <x:c r="L53" s="72"/>
      <x:c r="M53" s="72"/>
      <x:c r="N53" s="72"/>
      <x:c r="O53" s="72"/>
      <x:c r="P53" s="71" t="s">
        <x:v>372</x:v>
      </x:c>
      <x:c r="Q53" s="71" t="s">
        <x:v>372</x:v>
      </x:c>
      <x:c r="R53" s="71" t="s">
        <x:v>372</x:v>
      </x:c>
      <x:c r="S53" s="71" t="s">
        <x:v>372</x:v>
      </x:c>
      <x:c r="T53" s="71" t="s">
        <x:v>372</x:v>
      </x:c>
      <x:c r="U53" s="71" t="s">
        <x:v>372</x:v>
      </x:c>
      <x:c r="V53" s="71" t="s">
        <x:v>372</x:v>
      </x:c>
      <x:c r="W53" s="71" t="s">
        <x:v>372</x:v>
      </x:c>
      <x:c r="X53" s="71" t="s">
        <x:v>372</x:v>
      </x:c>
      <x:c r="Y53" s="71" t="s">
        <x:v>372</x:v>
      </x:c>
      <x:c r="Z53" s="71" t="s">
        <x:v>372</x:v>
      </x:c>
      <x:c r="AA53" s="71" t="s">
        <x:v>372</x:v>
      </x:c>
      <x:c r="AB53" s="71" t="s">
        <x:v>372</x:v>
      </x:c>
      <x:c r="AC53" s="71" t="s">
        <x:v>372</x:v>
      </x:c>
      <x:c r="AD53" s="71" t="s">
        <x:v>372</x:v>
      </x:c>
      <x:c r="AE53" s="71" t="s">
        <x:v>372</x:v>
      </x:c>
      <x:c r="AF53" s="71" t="s">
        <x:v>372</x:v>
      </x:c>
      <x:c r="AG53" s="71" t="s">
        <x:v>372</x:v>
      </x:c>
      <x:c r="AH53" s="71" t="s">
        <x:v>372</x:v>
      </x:c>
      <x:c r="AI53" s="71" t="s">
        <x:v>372</x:v>
      </x:c>
      <x:c r="AJ53" s="71" t="s">
        <x:v>372</x:v>
      </x:c>
    </x:row>
    <x:row r="54" ht="15" hidden="0">
      <x:c r="A54" t="s">
        <x:v>274</x:v>
      </x:c>
      <x:c r="B54" t="s">
        <x:v>275</x:v>
      </x:c>
      <x:c r="C54" t="s">
        <x:v>64</x:v>
      </x:c>
      <x:c r="D54" t="s">
        <x:v>80</x:v>
      </x:c>
      <x:c r="E54" s="37" t="s">
        <x:v>63</x:v>
      </x:c>
      <x:c r="F54" s="34" t="n">
        <x:v>78.3</x:v>
      </x:c>
      <x:c r="G54" t="n">
        <x:v>59</x:v>
      </x:c>
      <x:c r="H54" s="274" t="n">
        <x:v>46250</x:v>
      </x:c>
      <x:c r="I54" s="274" t="n">
        <x:v>46315</x:v>
      </x:c>
      <x:c r="J54" s="72"/>
      <x:c r="K54" s="72"/>
      <x:c r="L54" s="72"/>
      <x:c r="M54" s="72"/>
      <x:c r="N54" s="72"/>
      <x:c r="O54" s="72"/>
      <x:c r="P54" s="71" t="s">
        <x:v>372</x:v>
      </x:c>
      <x:c r="Q54" s="71" t="s">
        <x:v>372</x:v>
      </x:c>
      <x:c r="R54" s="71" t="s">
        <x:v>372</x:v>
      </x:c>
      <x:c r="S54" s="71" t="s">
        <x:v>372</x:v>
      </x:c>
      <x:c r="T54" s="71" t="s">
        <x:v>372</x:v>
      </x:c>
      <x:c r="U54" s="71" t="s">
        <x:v>372</x:v>
      </x:c>
      <x:c r="V54" s="71" t="s">
        <x:v>372</x:v>
      </x:c>
      <x:c r="W54" s="71" t="s">
        <x:v>372</x:v>
      </x:c>
      <x:c r="X54" s="71" t="s">
        <x:v>372</x:v>
      </x:c>
      <x:c r="Y54" s="71" t="s">
        <x:v>372</x:v>
      </x:c>
      <x:c r="Z54" s="72"/>
      <x:c r="AA54" s="72"/>
      <x:c r="AB54" s="72"/>
      <x:c r="AC54" s="72"/>
      <x:c r="AD54" s="72"/>
      <x:c r="AE54" s="72"/>
      <x:c r="AF54" s="72"/>
      <x:c r="AG54" s="72"/>
      <x:c r="AH54" s="72"/>
      <x:c r="AI54" s="72"/>
      <x:c r="AJ54" s="72"/>
    </x:row>
    <x:row r="55" ht="15" hidden="0">
      <x:c r="A55" t="s">
        <x:v>167</x:v>
      </x:c>
      <x:c r="B55" t="s">
        <x:v>168</x:v>
      </x:c>
      <x:c r="C55" t="s">
        <x:v>67</x:v>
      </x:c>
      <x:c r="D55" t="s">
        <x:v>97</x:v>
      </x:c>
      <x:c r="E55" s="26" t="s">
        <x:v>65</x:v>
      </x:c>
      <x:c r="F55" s="34" t="n">
        <x:v>62.5</x:v>
      </x:c>
      <x:c r="G55" t="n">
        <x:v>64</x:v>
      </x:c>
      <x:c r="H55" s="274" t="n">
        <x:v>46251</x:v>
      </x:c>
      <x:c r="I55" s="274" t="n">
        <x:v>46389</x:v>
      </x:c>
      <x:c r="J55" s="72"/>
      <x:c r="K55" s="72"/>
      <x:c r="L55" s="72"/>
      <x:c r="M55" s="72"/>
      <x:c r="N55" s="72"/>
      <x:c r="O55" s="72"/>
      <x:c r="P55" s="73" t="s">
        <x:v>372</x:v>
      </x:c>
      <x:c r="Q55" s="73" t="s">
        <x:v>372</x:v>
      </x:c>
      <x:c r="R55" s="73" t="s">
        <x:v>372</x:v>
      </x:c>
      <x:c r="S55" s="73" t="s">
        <x:v>372</x:v>
      </x:c>
      <x:c r="T55" s="73" t="s">
        <x:v>372</x:v>
      </x:c>
      <x:c r="U55" s="73" t="s">
        <x:v>372</x:v>
      </x:c>
      <x:c r="V55" s="73" t="s">
        <x:v>372</x:v>
      </x:c>
      <x:c r="W55" s="73" t="s">
        <x:v>372</x:v>
      </x:c>
      <x:c r="X55" s="73" t="s">
        <x:v>372</x:v>
      </x:c>
      <x:c r="Y55" s="73" t="s">
        <x:v>372</x:v>
      </x:c>
      <x:c r="Z55" s="73" t="s">
        <x:v>372</x:v>
      </x:c>
      <x:c r="AA55" s="73" t="s">
        <x:v>372</x:v>
      </x:c>
      <x:c r="AB55" s="73" t="s">
        <x:v>372</x:v>
      </x:c>
      <x:c r="AC55" s="73" t="s">
        <x:v>372</x:v>
      </x:c>
      <x:c r="AD55" s="73" t="s">
        <x:v>372</x:v>
      </x:c>
      <x:c r="AE55" s="73" t="s">
        <x:v>372</x:v>
      </x:c>
      <x:c r="AF55" s="73" t="s">
        <x:v>372</x:v>
      </x:c>
      <x:c r="AG55" s="73" t="s">
        <x:v>372</x:v>
      </x:c>
      <x:c r="AH55" s="73" t="s">
        <x:v>372</x:v>
      </x:c>
      <x:c r="AI55" s="73" t="s">
        <x:v>372</x:v>
      </x:c>
      <x:c r="AJ55" s="73" t="s">
        <x:v>372</x:v>
      </x:c>
    </x:row>
    <x:row r="56" ht="15" hidden="0">
      <x:c r="A56" t="s">
        <x:v>202</x:v>
      </x:c>
      <x:c r="B56" t="s">
        <x:v>203</x:v>
      </x:c>
      <x:c r="C56" t="s">
        <x:v>67</x:v>
      </x:c>
      <x:c r="D56" t="s">
        <x:v>95</x:v>
      </x:c>
      <x:c r="E56" s="26" t="s">
        <x:v>65</x:v>
      </x:c>
      <x:c r="F56" s="34" t="n">
        <x:v>42</x:v>
      </x:c>
      <x:c r="G56" t="n">
        <x:v>43</x:v>
      </x:c>
      <x:c r="H56" s="274" t="n">
        <x:v>46252</x:v>
      </x:c>
      <x:c r="I56" s="274" t="n">
        <x:v>46315</x:v>
      </x:c>
      <x:c r="J56" s="72"/>
      <x:c r="K56" s="72"/>
      <x:c r="L56" s="72"/>
      <x:c r="M56" s="72"/>
      <x:c r="N56" s="72"/>
      <x:c r="O56" s="72"/>
      <x:c r="P56" s="73" t="s">
        <x:v>372</x:v>
      </x:c>
      <x:c r="Q56" s="73" t="s">
        <x:v>372</x:v>
      </x:c>
      <x:c r="R56" s="73" t="s">
        <x:v>372</x:v>
      </x:c>
      <x:c r="S56" s="73" t="s">
        <x:v>372</x:v>
      </x:c>
      <x:c r="T56" s="73" t="s">
        <x:v>372</x:v>
      </x:c>
      <x:c r="U56" s="73" t="s">
        <x:v>372</x:v>
      </x:c>
      <x:c r="V56" s="73" t="s">
        <x:v>372</x:v>
      </x:c>
      <x:c r="W56" s="73" t="s">
        <x:v>372</x:v>
      </x:c>
      <x:c r="X56" s="73" t="s">
        <x:v>372</x:v>
      </x:c>
      <x:c r="Y56" s="73" t="s">
        <x:v>372</x:v>
      </x:c>
      <x:c r="Z56" s="72"/>
      <x:c r="AA56" s="72"/>
      <x:c r="AB56" s="72"/>
      <x:c r="AC56" s="72"/>
      <x:c r="AD56" s="72"/>
      <x:c r="AE56" s="72"/>
      <x:c r="AF56" s="72"/>
      <x:c r="AG56" s="72"/>
      <x:c r="AH56" s="72"/>
      <x:c r="AI56" s="72"/>
      <x:c r="AJ56" s="72"/>
    </x:row>
    <x:row r="57" ht="15" hidden="0">
      <x:c r="A57" t="s">
        <x:v>181</x:v>
      </x:c>
      <x:c r="B57" t="s">
        <x:v>182</x:v>
      </x:c>
      <x:c r="C57" t="s">
        <x:v>123</x:v>
      </x:c>
      <x:c r="D57" t="s">
        <x:v>90</x:v>
      </x:c>
      <x:c r="E57" s="26" t="s">
        <x:v>65</x:v>
      </x:c>
      <x:c r="F57" s="34" t="n">
        <x:v>52.3</x:v>
      </x:c>
      <x:c r="G57" t="n">
        <x:v>54</x:v>
      </x:c>
      <x:c r="H57" s="274" t="n">
        <x:v>46253</x:v>
      </x:c>
      <x:c r="I57" s="274" t="n">
        <x:v>46392</x:v>
      </x:c>
      <x:c r="J57" s="72"/>
      <x:c r="K57" s="72"/>
      <x:c r="L57" s="72"/>
      <x:c r="M57" s="72"/>
      <x:c r="N57" s="72"/>
      <x:c r="O57" s="72"/>
      <x:c r="P57" s="72"/>
      <x:c r="Q57" s="73" t="s">
        <x:v>372</x:v>
      </x:c>
      <x:c r="R57" s="73" t="s">
        <x:v>372</x:v>
      </x:c>
      <x:c r="S57" s="73" t="s">
        <x:v>372</x:v>
      </x:c>
      <x:c r="T57" s="73" t="s">
        <x:v>372</x:v>
      </x:c>
      <x:c r="U57" s="73" t="s">
        <x:v>372</x:v>
      </x:c>
      <x:c r="V57" s="73" t="s">
        <x:v>372</x:v>
      </x:c>
      <x:c r="W57" s="73" t="s">
        <x:v>372</x:v>
      </x:c>
      <x:c r="X57" s="73" t="s">
        <x:v>372</x:v>
      </x:c>
      <x:c r="Y57" s="73" t="s">
        <x:v>372</x:v>
      </x:c>
      <x:c r="Z57" s="73" t="s">
        <x:v>372</x:v>
      </x:c>
      <x:c r="AA57" s="73" t="s">
        <x:v>372</x:v>
      </x:c>
      <x:c r="AB57" s="73" t="s">
        <x:v>372</x:v>
      </x:c>
      <x:c r="AC57" s="73" t="s">
        <x:v>372</x:v>
      </x:c>
      <x:c r="AD57" s="73" t="s">
        <x:v>372</x:v>
      </x:c>
      <x:c r="AE57" s="73" t="s">
        <x:v>372</x:v>
      </x:c>
      <x:c r="AF57" s="73" t="s">
        <x:v>372</x:v>
      </x:c>
      <x:c r="AG57" s="73" t="s">
        <x:v>372</x:v>
      </x:c>
      <x:c r="AH57" s="73" t="s">
        <x:v>372</x:v>
      </x:c>
      <x:c r="AI57" s="73" t="s">
        <x:v>372</x:v>
      </x:c>
      <x:c r="AJ57" s="73" t="s">
        <x:v>372</x:v>
      </x:c>
    </x:row>
    <x:row r="58" ht="15" hidden="0">
      <x:c r="A58" t="s">
        <x:v>228</x:v>
      </x:c>
      <x:c r="B58" t="s">
        <x:v>229</x:v>
      </x:c>
      <x:c r="C58" t="s">
        <x:v>64</x:v>
      </x:c>
      <x:c r="D58" t="s">
        <x:v>84</x:v>
      </x:c>
      <x:c r="E58" s="26" t="s">
        <x:v>65</x:v>
      </x:c>
      <x:c r="F58" s="34" t="n">
        <x:v>24.5</x:v>
      </x:c>
      <x:c r="G58" t="n">
        <x:v>30</x:v>
      </x:c>
      <x:c r="H58" s="274" t="n">
        <x:v>46254</x:v>
      </x:c>
      <x:c r="I58" s="274" t="n">
        <x:v>46318</x:v>
      </x:c>
      <x:c r="J58" s="72"/>
      <x:c r="K58" s="72"/>
      <x:c r="L58" s="72"/>
      <x:c r="M58" s="72"/>
      <x:c r="N58" s="72"/>
      <x:c r="O58" s="72"/>
      <x:c r="P58" s="72"/>
      <x:c r="Q58" s="73" t="s">
        <x:v>372</x:v>
      </x:c>
      <x:c r="R58" s="73" t="s">
        <x:v>372</x:v>
      </x:c>
      <x:c r="S58" s="73" t="s">
        <x:v>372</x:v>
      </x:c>
      <x:c r="T58" s="73" t="s">
        <x:v>372</x:v>
      </x:c>
      <x:c r="U58" s="73" t="s">
        <x:v>372</x:v>
      </x:c>
      <x:c r="V58" s="73" t="s">
        <x:v>372</x:v>
      </x:c>
      <x:c r="W58" s="73" t="s">
        <x:v>372</x:v>
      </x:c>
      <x:c r="X58" s="73" t="s">
        <x:v>372</x:v>
      </x:c>
      <x:c r="Y58" s="73" t="s">
        <x:v>372</x:v>
      </x:c>
      <x:c r="Z58" s="73" t="s">
        <x:v>372</x:v>
      </x:c>
      <x:c r="AA58" s="72"/>
      <x:c r="AB58" s="72"/>
      <x:c r="AC58" s="72"/>
      <x:c r="AD58" s="72"/>
      <x:c r="AE58" s="72"/>
      <x:c r="AF58" s="72"/>
      <x:c r="AG58" s="72"/>
      <x:c r="AH58" s="72"/>
      <x:c r="AI58" s="72"/>
      <x:c r="AJ58" s="72"/>
    </x:row>
    <x:row r="59" ht="15" hidden="0">
      <x:c r="A59" t="s">
        <x:v>242</x:v>
      </x:c>
      <x:c r="B59" t="s">
        <x:v>243</x:v>
      </x:c>
      <x:c r="C59" t="s">
        <x:v>66</x:v>
      </x:c>
      <x:c r="D59" t="s">
        <x:v>86</x:v>
      </x:c>
      <x:c r="E59" s="26" t="s">
        <x:v>65</x:v>
      </x:c>
      <x:c r="F59" s="34" t="n">
        <x:v>90.5</x:v>
      </x:c>
      <x:c r="G59" t="n">
        <x:v>18</x:v>
      </x:c>
      <x:c r="H59" s="274" t="n">
        <x:v>46255</x:v>
      </x:c>
      <x:c r="I59" s="274" t="n">
        <x:v>46371</x:v>
      </x:c>
      <x:c r="J59" s="72"/>
      <x:c r="K59" s="72"/>
      <x:c r="L59" s="72"/>
      <x:c r="M59" s="72"/>
      <x:c r="N59" s="72"/>
      <x:c r="O59" s="72"/>
      <x:c r="P59" s="72"/>
      <x:c r="Q59" s="73" t="s">
        <x:v>372</x:v>
      </x:c>
      <x:c r="R59" s="73" t="s">
        <x:v>372</x:v>
      </x:c>
      <x:c r="S59" s="73" t="s">
        <x:v>372</x:v>
      </x:c>
      <x:c r="T59" s="73" t="s">
        <x:v>372</x:v>
      </x:c>
      <x:c r="U59" s="73" t="s">
        <x:v>372</x:v>
      </x:c>
      <x:c r="V59" s="73" t="s">
        <x:v>372</x:v>
      </x:c>
      <x:c r="W59" s="73" t="s">
        <x:v>372</x:v>
      </x:c>
      <x:c r="X59" s="73" t="s">
        <x:v>372</x:v>
      </x:c>
      <x:c r="Y59" s="73" t="s">
        <x:v>372</x:v>
      </x:c>
      <x:c r="Z59" s="73" t="s">
        <x:v>372</x:v>
      </x:c>
      <x:c r="AA59" s="73" t="s">
        <x:v>372</x:v>
      </x:c>
      <x:c r="AB59" s="73" t="s">
        <x:v>372</x:v>
      </x:c>
      <x:c r="AC59" s="73" t="s">
        <x:v>372</x:v>
      </x:c>
      <x:c r="AD59" s="73" t="s">
        <x:v>372</x:v>
      </x:c>
      <x:c r="AE59" s="73" t="s">
        <x:v>372</x:v>
      </x:c>
      <x:c r="AF59" s="73" t="s">
        <x:v>372</x:v>
      </x:c>
      <x:c r="AG59" s="73" t="s">
        <x:v>372</x:v>
      </x:c>
      <x:c r="AH59" s="72"/>
      <x:c r="AI59" s="72"/>
      <x:c r="AJ59" s="72"/>
    </x:row>
    <x:row r="60" ht="15" hidden="0">
      <x:c r="A60" t="s">
        <x:v>112</x:v>
      </x:c>
      <x:c r="B60" t="s">
        <x:v>83</x:v>
      </x:c>
      <x:c r="C60" t="s">
        <x:v>67</x:v>
      </x:c>
      <x:c r="D60" t="s">
        <x:v>84</x:v>
      </x:c>
      <x:c r="E60" s="26" t="s">
        <x:v>65</x:v>
      </x:c>
      <x:c r="F60" s="34" t="n">
        <x:v>63.8</x:v>
      </x:c>
      <x:c r="G60" t="n">
        <x:v>91</x:v>
      </x:c>
      <x:c r="H60" s="274" t="n">
        <x:v>46256</x:v>
      </x:c>
      <x:c r="I60" s="274" t="n">
        <x:v>46366</x:v>
      </x:c>
      <x:c r="J60" s="72"/>
      <x:c r="K60" s="72"/>
      <x:c r="L60" s="72"/>
      <x:c r="M60" s="72"/>
      <x:c r="N60" s="72"/>
      <x:c r="O60" s="72"/>
      <x:c r="P60" s="72"/>
      <x:c r="Q60" s="73" t="s">
        <x:v>372</x:v>
      </x:c>
      <x:c r="R60" s="73" t="s">
        <x:v>372</x:v>
      </x:c>
      <x:c r="S60" s="73" t="s">
        <x:v>372</x:v>
      </x:c>
      <x:c r="T60" s="73" t="s">
        <x:v>372</x:v>
      </x:c>
      <x:c r="U60" s="73" t="s">
        <x:v>372</x:v>
      </x:c>
      <x:c r="V60" s="73" t="s">
        <x:v>372</x:v>
      </x:c>
      <x:c r="W60" s="73" t="s">
        <x:v>372</x:v>
      </x:c>
      <x:c r="X60" s="73" t="s">
        <x:v>372</x:v>
      </x:c>
      <x:c r="Y60" s="73" t="s">
        <x:v>372</x:v>
      </x:c>
      <x:c r="Z60" s="73" t="s">
        <x:v>372</x:v>
      </x:c>
      <x:c r="AA60" s="73" t="s">
        <x:v>372</x:v>
      </x:c>
      <x:c r="AB60" s="73" t="s">
        <x:v>372</x:v>
      </x:c>
      <x:c r="AC60" s="73" t="s">
        <x:v>372</x:v>
      </x:c>
      <x:c r="AD60" s="73" t="s">
        <x:v>372</x:v>
      </x:c>
      <x:c r="AE60" s="73" t="s">
        <x:v>372</x:v>
      </x:c>
      <x:c r="AF60" s="73" t="s">
        <x:v>372</x:v>
      </x:c>
      <x:c r="AG60" s="73" t="s">
        <x:v>372</x:v>
      </x:c>
      <x:c r="AH60" s="72"/>
      <x:c r="AI60" s="72"/>
      <x:c r="AJ60" s="72"/>
    </x:row>
    <x:row r="61" ht="15" hidden="0">
      <x:c r="A61" t="s">
        <x:v>127</x:v>
      </x:c>
      <x:c r="B61" t="s">
        <x:v>128</x:v>
      </x:c>
      <x:c r="C61" t="s">
        <x:v>69</x:v>
      </x:c>
      <x:c r="D61" t="s">
        <x:v>86</x:v>
      </x:c>
      <x:c r="E61" s="26" t="s">
        <x:v>65</x:v>
      </x:c>
      <x:c r="F61" s="34" t="n">
        <x:v>85</x:v>
      </x:c>
      <x:c r="G61" t="n">
        <x:v>81</x:v>
      </x:c>
      <x:c r="H61" s="274" t="n">
        <x:v>46257</x:v>
      </x:c>
      <x:c r="I61" s="274" t="n">
        <x:v>46383</x:v>
      </x:c>
      <x:c r="J61" s="72"/>
      <x:c r="K61" s="72"/>
      <x:c r="L61" s="72"/>
      <x:c r="M61" s="72"/>
      <x:c r="N61" s="72"/>
      <x:c r="O61" s="72"/>
      <x:c r="P61" s="72"/>
      <x:c r="Q61" s="73" t="s">
        <x:v>372</x:v>
      </x:c>
      <x:c r="R61" s="73" t="s">
        <x:v>372</x:v>
      </x:c>
      <x:c r="S61" s="73" t="s">
        <x:v>372</x:v>
      </x:c>
      <x:c r="T61" s="73" t="s">
        <x:v>372</x:v>
      </x:c>
      <x:c r="U61" s="73" t="s">
        <x:v>372</x:v>
      </x:c>
      <x:c r="V61" s="73" t="s">
        <x:v>372</x:v>
      </x:c>
      <x:c r="W61" s="73" t="s">
        <x:v>372</x:v>
      </x:c>
      <x:c r="X61" s="73" t="s">
        <x:v>372</x:v>
      </x:c>
      <x:c r="Y61" s="73" t="s">
        <x:v>372</x:v>
      </x:c>
      <x:c r="Z61" s="73" t="s">
        <x:v>372</x:v>
      </x:c>
      <x:c r="AA61" s="73" t="s">
        <x:v>372</x:v>
      </x:c>
      <x:c r="AB61" s="73" t="s">
        <x:v>372</x:v>
      </x:c>
      <x:c r="AC61" s="73" t="s">
        <x:v>372</x:v>
      </x:c>
      <x:c r="AD61" s="73" t="s">
        <x:v>372</x:v>
      </x:c>
      <x:c r="AE61" s="73" t="s">
        <x:v>372</x:v>
      </x:c>
      <x:c r="AF61" s="73" t="s">
        <x:v>372</x:v>
      </x:c>
      <x:c r="AG61" s="73" t="s">
        <x:v>372</x:v>
      </x:c>
      <x:c r="AH61" s="73" t="s">
        <x:v>372</x:v>
      </x:c>
      <x:c r="AI61" s="73" t="s">
        <x:v>372</x:v>
      </x:c>
      <x:c r="AJ61" s="72"/>
    </x:row>
    <x:row r="62" ht="15" hidden="0">
      <x:c r="A62" t="s">
        <x:v>214</x:v>
      </x:c>
      <x:c r="B62" t="s">
        <x:v>215</x:v>
      </x:c>
      <x:c r="C62" t="s">
        <x:v>64</x:v>
      </x:c>
      <x:c r="D62" t="s">
        <x:v>86</x:v>
      </x:c>
      <x:c r="E62" s="26" t="s">
        <x:v>65</x:v>
      </x:c>
      <x:c r="F62" s="34" t="n">
        <x:v>50.7</x:v>
      </x:c>
      <x:c r="G62" t="n">
        <x:v>39</x:v>
      </x:c>
      <x:c r="H62" s="274" t="n">
        <x:v>46258</x:v>
      </x:c>
      <x:c r="I62" s="274" t="n">
        <x:v>46403</x:v>
      </x:c>
      <x:c r="J62" s="72"/>
      <x:c r="K62" s="72"/>
      <x:c r="L62" s="72"/>
      <x:c r="M62" s="72"/>
      <x:c r="N62" s="72"/>
      <x:c r="O62" s="72"/>
      <x:c r="P62" s="72"/>
      <x:c r="Q62" s="73" t="s">
        <x:v>372</x:v>
      </x:c>
      <x:c r="R62" s="73" t="s">
        <x:v>372</x:v>
      </x:c>
      <x:c r="S62" s="73" t="s">
        <x:v>372</x:v>
      </x:c>
      <x:c r="T62" s="73" t="s">
        <x:v>372</x:v>
      </x:c>
      <x:c r="U62" s="73" t="s">
        <x:v>372</x:v>
      </x:c>
      <x:c r="V62" s="73" t="s">
        <x:v>372</x:v>
      </x:c>
      <x:c r="W62" s="73" t="s">
        <x:v>372</x:v>
      </x:c>
      <x:c r="X62" s="73" t="s">
        <x:v>372</x:v>
      </x:c>
      <x:c r="Y62" s="73" t="s">
        <x:v>372</x:v>
      </x:c>
      <x:c r="Z62" s="73" t="s">
        <x:v>372</x:v>
      </x:c>
      <x:c r="AA62" s="73" t="s">
        <x:v>372</x:v>
      </x:c>
      <x:c r="AB62" s="73" t="s">
        <x:v>372</x:v>
      </x:c>
      <x:c r="AC62" s="73" t="s">
        <x:v>372</x:v>
      </x:c>
      <x:c r="AD62" s="73" t="s">
        <x:v>372</x:v>
      </x:c>
      <x:c r="AE62" s="73" t="s">
        <x:v>372</x:v>
      </x:c>
      <x:c r="AF62" s="73" t="s">
        <x:v>372</x:v>
      </x:c>
      <x:c r="AG62" s="73" t="s">
        <x:v>372</x:v>
      </x:c>
      <x:c r="AH62" s="73" t="s">
        <x:v>372</x:v>
      </x:c>
      <x:c r="AI62" s="73" t="s">
        <x:v>372</x:v>
      </x:c>
      <x:c r="AJ62" s="73" t="s">
        <x:v>372</x:v>
      </x:c>
    </x:row>
    <x:row r="63" ht="15" hidden="0">
      <x:c r="A63" t="s">
        <x:v>240</x:v>
      </x:c>
      <x:c r="B63" t="s">
        <x:v>241</x:v>
      </x:c>
      <x:c r="C63" t="s">
        <x:v>70</x:v>
      </x:c>
      <x:c r="D63" t="s">
        <x:v>80</x:v>
      </x:c>
      <x:c r="E63" s="26" t="s">
        <x:v>65</x:v>
      </x:c>
      <x:c r="F63" s="34" t="n">
        <x:v>56</x:v>
      </x:c>
      <x:c r="G63" t="n">
        <x:v>19</x:v>
      </x:c>
      <x:c r="H63" s="274" t="n">
        <x:v>46259</x:v>
      </x:c>
      <x:c r="I63" s="274" t="n">
        <x:v>46347</x:v>
      </x:c>
      <x:c r="J63" s="72"/>
      <x:c r="K63" s="72"/>
      <x:c r="L63" s="72"/>
      <x:c r="M63" s="72"/>
      <x:c r="N63" s="72"/>
      <x:c r="O63" s="72"/>
      <x:c r="P63" s="72"/>
      <x:c r="Q63" s="73" t="s">
        <x:v>372</x:v>
      </x:c>
      <x:c r="R63" s="73" t="s">
        <x:v>372</x:v>
      </x:c>
      <x:c r="S63" s="73" t="s">
        <x:v>372</x:v>
      </x:c>
      <x:c r="T63" s="73" t="s">
        <x:v>372</x:v>
      </x:c>
      <x:c r="U63" s="73" t="s">
        <x:v>372</x:v>
      </x:c>
      <x:c r="V63" s="73" t="s">
        <x:v>372</x:v>
      </x:c>
      <x:c r="W63" s="73" t="s">
        <x:v>372</x:v>
      </x:c>
      <x:c r="X63" s="73" t="s">
        <x:v>372</x:v>
      </x:c>
      <x:c r="Y63" s="73" t="s">
        <x:v>372</x:v>
      </x:c>
      <x:c r="Z63" s="73" t="s">
        <x:v>372</x:v>
      </x:c>
      <x:c r="AA63" s="73" t="s">
        <x:v>372</x:v>
      </x:c>
      <x:c r="AB63" s="73" t="s">
        <x:v>372</x:v>
      </x:c>
      <x:c r="AC63" s="73" t="s">
        <x:v>372</x:v>
      </x:c>
      <x:c r="AD63" s="73" t="s">
        <x:v>372</x:v>
      </x:c>
      <x:c r="AE63" s="72"/>
      <x:c r="AF63" s="72"/>
      <x:c r="AG63" s="72"/>
      <x:c r="AH63" s="72"/>
      <x:c r="AI63" s="72"/>
      <x:c r="AJ63" s="72"/>
    </x:row>
    <x:row r="64" ht="15" hidden="0">
      <x:c r="A64" t="s">
        <x:v>165</x:v>
      </x:c>
      <x:c r="B64" t="s">
        <x:v>166</x:v>
      </x:c>
      <x:c r="C64" t="s">
        <x:v>68</x:v>
      </x:c>
      <x:c r="D64" t="s">
        <x:v>90</x:v>
      </x:c>
      <x:c r="E64" s="26" t="s">
        <x:v>65</x:v>
      </x:c>
      <x:c r="F64" s="34" t="n">
        <x:v>58.2</x:v>
      </x:c>
      <x:c r="G64" t="n">
        <x:v>67</x:v>
      </x:c>
      <x:c r="H64" s="274" t="n">
        <x:v>46260</x:v>
      </x:c>
      <x:c r="I64" s="274" t="n">
        <x:v>46330</x:v>
      </x:c>
      <x:c r="J64" s="72"/>
      <x:c r="K64" s="72"/>
      <x:c r="L64" s="72"/>
      <x:c r="M64" s="72"/>
      <x:c r="N64" s="72"/>
      <x:c r="O64" s="72"/>
      <x:c r="P64" s="72"/>
      <x:c r="Q64" s="72"/>
      <x:c r="R64" s="73" t="s">
        <x:v>372</x:v>
      </x:c>
      <x:c r="S64" s="73" t="s">
        <x:v>372</x:v>
      </x:c>
      <x:c r="T64" s="73" t="s">
        <x:v>372</x:v>
      </x:c>
      <x:c r="U64" s="73" t="s">
        <x:v>372</x:v>
      </x:c>
      <x:c r="V64" s="73" t="s">
        <x:v>372</x:v>
      </x:c>
      <x:c r="W64" s="73" t="s">
        <x:v>372</x:v>
      </x:c>
      <x:c r="X64" s="73" t="s">
        <x:v>372</x:v>
      </x:c>
      <x:c r="Y64" s="73" t="s">
        <x:v>372</x:v>
      </x:c>
      <x:c r="Z64" s="73" t="s">
        <x:v>372</x:v>
      </x:c>
      <x:c r="AA64" s="73" t="s">
        <x:v>372</x:v>
      </x:c>
      <x:c r="AB64" s="73" t="s">
        <x:v>372</x:v>
      </x:c>
      <x:c r="AC64" s="72"/>
      <x:c r="AD64" s="72"/>
      <x:c r="AE64" s="72"/>
      <x:c r="AF64" s="72"/>
      <x:c r="AG64" s="72"/>
      <x:c r="AH64" s="72"/>
      <x:c r="AI64" s="72"/>
      <x:c r="AJ64" s="72"/>
    </x:row>
    <x:row r="65" ht="15" hidden="0">
      <x:c r="A65" t="s">
        <x:v>204</x:v>
      </x:c>
      <x:c r="B65" t="s">
        <x:v>205</x:v>
      </x:c>
      <x:c r="C65" t="s">
        <x:v>64</x:v>
      </x:c>
      <x:c r="D65" t="s">
        <x:v>132</x:v>
      </x:c>
      <x:c r="E65" s="26" t="s">
        <x:v>65</x:v>
      </x:c>
      <x:c r="F65" s="34" t="n">
        <x:v>59.8</x:v>
      </x:c>
      <x:c r="G65" t="n">
        <x:v>43</x:v>
      </x:c>
      <x:c r="H65" s="274" t="n">
        <x:v>46261</x:v>
      </x:c>
      <x:c r="I65" s="274" t="n">
        <x:v>46344</x:v>
      </x:c>
      <x:c r="J65" s="72"/>
      <x:c r="K65" s="72"/>
      <x:c r="L65" s="72"/>
      <x:c r="M65" s="72"/>
      <x:c r="N65" s="72"/>
      <x:c r="O65" s="72"/>
      <x:c r="P65" s="72"/>
      <x:c r="Q65" s="72"/>
      <x:c r="R65" s="73" t="s">
        <x:v>372</x:v>
      </x:c>
      <x:c r="S65" s="73" t="s">
        <x:v>372</x:v>
      </x:c>
      <x:c r="T65" s="73" t="s">
        <x:v>372</x:v>
      </x:c>
      <x:c r="U65" s="73" t="s">
        <x:v>372</x:v>
      </x:c>
      <x:c r="V65" s="73" t="s">
        <x:v>372</x:v>
      </x:c>
      <x:c r="W65" s="73" t="s">
        <x:v>372</x:v>
      </x:c>
      <x:c r="X65" s="73" t="s">
        <x:v>372</x:v>
      </x:c>
      <x:c r="Y65" s="73" t="s">
        <x:v>372</x:v>
      </x:c>
      <x:c r="Z65" s="73" t="s">
        <x:v>372</x:v>
      </x:c>
      <x:c r="AA65" s="73" t="s">
        <x:v>372</x:v>
      </x:c>
      <x:c r="AB65" s="73" t="s">
        <x:v>372</x:v>
      </x:c>
      <x:c r="AC65" s="73" t="s">
        <x:v>372</x:v>
      </x:c>
      <x:c r="AD65" s="73" t="s">
        <x:v>372</x:v>
      </x:c>
      <x:c r="AE65" s="72"/>
      <x:c r="AF65" s="72"/>
      <x:c r="AG65" s="72"/>
      <x:c r="AH65" s="72"/>
      <x:c r="AI65" s="72"/>
      <x:c r="AJ65" s="72"/>
    </x:row>
    <x:row r="66" ht="15" hidden="0">
      <x:c r="A66" t="s">
        <x:v>115</x:v>
      </x:c>
      <x:c r="B66" t="s">
        <x:v>85</x:v>
      </x:c>
      <x:c r="C66" t="s">
        <x:v>68</x:v>
      </x:c>
      <x:c r="D66" t="s">
        <x:v>86</x:v>
      </x:c>
      <x:c r="E66" s="26" t="s">
        <x:v>65</x:v>
      </x:c>
      <x:c r="F66" s="34" t="n">
        <x:v>42.8</x:v>
      </x:c>
      <x:c r="G66" t="n">
        <x:v>88</x:v>
      </x:c>
      <x:c r="H66" s="274" t="n">
        <x:v>46262</x:v>
      </x:c>
      <x:c r="I66" s="274" t="n">
        <x:v>46358</x:v>
      </x:c>
      <x:c r="J66" s="72"/>
      <x:c r="K66" s="72"/>
      <x:c r="L66" s="72"/>
      <x:c r="M66" s="72"/>
      <x:c r="N66" s="72"/>
      <x:c r="O66" s="72"/>
      <x:c r="P66" s="72"/>
      <x:c r="Q66" s="72"/>
      <x:c r="R66" s="73" t="s">
        <x:v>372</x:v>
      </x:c>
      <x:c r="S66" s="73" t="s">
        <x:v>372</x:v>
      </x:c>
      <x:c r="T66" s="73" t="s">
        <x:v>372</x:v>
      </x:c>
      <x:c r="U66" s="73" t="s">
        <x:v>372</x:v>
      </x:c>
      <x:c r="V66" s="73" t="s">
        <x:v>372</x:v>
      </x:c>
      <x:c r="W66" s="73" t="s">
        <x:v>372</x:v>
      </x:c>
      <x:c r="X66" s="73" t="s">
        <x:v>372</x:v>
      </x:c>
      <x:c r="Y66" s="73" t="s">
        <x:v>372</x:v>
      </x:c>
      <x:c r="Z66" s="73" t="s">
        <x:v>372</x:v>
      </x:c>
      <x:c r="AA66" s="73" t="s">
        <x:v>372</x:v>
      </x:c>
      <x:c r="AB66" s="73" t="s">
        <x:v>372</x:v>
      </x:c>
      <x:c r="AC66" s="73" t="s">
        <x:v>372</x:v>
      </x:c>
      <x:c r="AD66" s="73" t="s">
        <x:v>372</x:v>
      </x:c>
      <x:c r="AE66" s="73" t="s">
        <x:v>372</x:v>
      </x:c>
      <x:c r="AF66" s="73" t="s">
        <x:v>372</x:v>
      </x:c>
      <x:c r="AG66" s="72"/>
      <x:c r="AH66" s="72"/>
      <x:c r="AI66" s="72"/>
      <x:c r="AJ66" s="72"/>
    </x:row>
    <x:row r="67" ht="15" hidden="0">
      <x:c r="A67" t="s">
        <x:v>212</x:v>
      </x:c>
      <x:c r="B67" t="s">
        <x:v>213</x:v>
      </x:c>
      <x:c r="C67" t="s">
        <x:v>64</x:v>
      </x:c>
      <x:c r="D67" t="s">
        <x:v>80</x:v>
      </x:c>
      <x:c r="E67" s="26" t="s">
        <x:v>65</x:v>
      </x:c>
      <x:c r="F67" s="34" t="n">
        <x:v>21</x:v>
      </x:c>
      <x:c r="G67" t="n">
        <x:v>40</x:v>
      </x:c>
      <x:c r="H67" s="274" t="n">
        <x:v>46263</x:v>
      </x:c>
      <x:c r="I67" s="274" t="n">
        <x:v>46404</x:v>
      </x:c>
      <x:c r="J67" s="72"/>
      <x:c r="K67" s="72"/>
      <x:c r="L67" s="72"/>
      <x:c r="M67" s="72"/>
      <x:c r="N67" s="72"/>
      <x:c r="O67" s="72"/>
      <x:c r="P67" s="72"/>
      <x:c r="Q67" s="72"/>
      <x:c r="R67" s="73" t="s">
        <x:v>372</x:v>
      </x:c>
      <x:c r="S67" s="73" t="s">
        <x:v>372</x:v>
      </x:c>
      <x:c r="T67" s="73" t="s">
        <x:v>372</x:v>
      </x:c>
      <x:c r="U67" s="73" t="s">
        <x:v>372</x:v>
      </x:c>
      <x:c r="V67" s="73" t="s">
        <x:v>372</x:v>
      </x:c>
      <x:c r="W67" s="73" t="s">
        <x:v>372</x:v>
      </x:c>
      <x:c r="X67" s="73" t="s">
        <x:v>372</x:v>
      </x:c>
      <x:c r="Y67" s="73" t="s">
        <x:v>372</x:v>
      </x:c>
      <x:c r="Z67" s="73" t="s">
        <x:v>372</x:v>
      </x:c>
      <x:c r="AA67" s="73" t="s">
        <x:v>372</x:v>
      </x:c>
      <x:c r="AB67" s="73" t="s">
        <x:v>372</x:v>
      </x:c>
      <x:c r="AC67" s="73" t="s">
        <x:v>372</x:v>
      </x:c>
      <x:c r="AD67" s="73" t="s">
        <x:v>372</x:v>
      </x:c>
      <x:c r="AE67" s="73" t="s">
        <x:v>372</x:v>
      </x:c>
      <x:c r="AF67" s="73" t="s">
        <x:v>372</x:v>
      </x:c>
      <x:c r="AG67" s="73" t="s">
        <x:v>372</x:v>
      </x:c>
      <x:c r="AH67" s="73" t="s">
        <x:v>372</x:v>
      </x:c>
      <x:c r="AI67" s="73" t="s">
        <x:v>372</x:v>
      </x:c>
      <x:c r="AJ67" s="73" t="s">
        <x:v>372</x:v>
      </x:c>
    </x:row>
    <x:row r="68" ht="15" hidden="0">
      <x:c r="A68" t="s">
        <x:v>189</x:v>
      </x:c>
      <x:c r="B68" t="s">
        <x:v>190</x:v>
      </x:c>
      <x:c r="C68" t="s">
        <x:v>70</x:v>
      </x:c>
      <x:c r="D68" t="s">
        <x:v>90</x:v>
      </x:c>
      <x:c r="E68" s="26" t="s">
        <x:v>65</x:v>
      </x:c>
      <x:c r="F68" s="34" t="n">
        <x:v>28</x:v>
      </x:c>
      <x:c r="G68" t="n">
        <x:v>52</x:v>
      </x:c>
      <x:c r="H68" s="274" t="n">
        <x:v>46264</x:v>
      </x:c>
      <x:c r="I68" s="274" t="n">
        <x:v>46321</x:v>
      </x:c>
      <x:c r="J68" s="72"/>
      <x:c r="K68" s="72"/>
      <x:c r="L68" s="72"/>
      <x:c r="M68" s="72"/>
      <x:c r="N68" s="72"/>
      <x:c r="O68" s="72"/>
      <x:c r="P68" s="72"/>
      <x:c r="Q68" s="72"/>
      <x:c r="R68" s="73" t="s">
        <x:v>372</x:v>
      </x:c>
      <x:c r="S68" s="73" t="s">
        <x:v>372</x:v>
      </x:c>
      <x:c r="T68" s="73" t="s">
        <x:v>372</x:v>
      </x:c>
      <x:c r="U68" s="73" t="s">
        <x:v>372</x:v>
      </x:c>
      <x:c r="V68" s="73" t="s">
        <x:v>372</x:v>
      </x:c>
      <x:c r="W68" s="73" t="s">
        <x:v>372</x:v>
      </x:c>
      <x:c r="X68" s="73" t="s">
        <x:v>372</x:v>
      </x:c>
      <x:c r="Y68" s="73" t="s">
        <x:v>372</x:v>
      </x:c>
      <x:c r="Z68" s="73" t="s">
        <x:v>372</x:v>
      </x:c>
      <x:c r="AA68" s="72"/>
      <x:c r="AB68" s="72"/>
      <x:c r="AC68" s="72"/>
      <x:c r="AD68" s="72"/>
      <x:c r="AE68" s="72"/>
      <x:c r="AF68" s="72"/>
      <x:c r="AG68" s="72"/>
      <x:c r="AH68" s="72"/>
      <x:c r="AI68" s="72"/>
      <x:c r="AJ68" s="72"/>
    </x:row>
    <x:row r="69" ht="15" hidden="0">
      <x:c r="A69" t="s">
        <x:v>226</x:v>
      </x:c>
      <x:c r="B69" t="s">
        <x:v>227</x:v>
      </x:c>
      <x:c r="C69" t="s">
        <x:v>70</x:v>
      </x:c>
      <x:c r="D69" t="s">
        <x:v>193</x:v>
      </x:c>
      <x:c r="E69" s="26" t="s">
        <x:v>65</x:v>
      </x:c>
      <x:c r="F69" s="34" t="n">
        <x:v>40.3</x:v>
      </x:c>
      <x:c r="G69" t="n">
        <x:v>31</x:v>
      </x:c>
      <x:c r="H69" s="274" t="n">
        <x:v>46265</x:v>
      </x:c>
      <x:c r="I69" s="274" t="n">
        <x:v>46383</x:v>
      </x:c>
      <x:c r="J69" s="72"/>
      <x:c r="K69" s="72"/>
      <x:c r="L69" s="72"/>
      <x:c r="M69" s="72"/>
      <x:c r="N69" s="72"/>
      <x:c r="O69" s="72"/>
      <x:c r="P69" s="72"/>
      <x:c r="Q69" s="72"/>
      <x:c r="R69" s="73" t="s">
        <x:v>372</x:v>
      </x:c>
      <x:c r="S69" s="73" t="s">
        <x:v>372</x:v>
      </x:c>
      <x:c r="T69" s="73" t="s">
        <x:v>372</x:v>
      </x:c>
      <x:c r="U69" s="73" t="s">
        <x:v>372</x:v>
      </x:c>
      <x:c r="V69" s="73" t="s">
        <x:v>372</x:v>
      </x:c>
      <x:c r="W69" s="73" t="s">
        <x:v>372</x:v>
      </x:c>
      <x:c r="X69" s="73" t="s">
        <x:v>372</x:v>
      </x:c>
      <x:c r="Y69" s="73" t="s">
        <x:v>372</x:v>
      </x:c>
      <x:c r="Z69" s="73" t="s">
        <x:v>372</x:v>
      </x:c>
      <x:c r="AA69" s="73" t="s">
        <x:v>372</x:v>
      </x:c>
      <x:c r="AB69" s="73" t="s">
        <x:v>372</x:v>
      </x:c>
      <x:c r="AC69" s="73" t="s">
        <x:v>372</x:v>
      </x:c>
      <x:c r="AD69" s="73" t="s">
        <x:v>372</x:v>
      </x:c>
      <x:c r="AE69" s="73" t="s">
        <x:v>372</x:v>
      </x:c>
      <x:c r="AF69" s="73" t="s">
        <x:v>372</x:v>
      </x:c>
      <x:c r="AG69" s="73" t="s">
        <x:v>372</x:v>
      </x:c>
      <x:c r="AH69" s="73" t="s">
        <x:v>372</x:v>
      </x:c>
      <x:c r="AI69" s="73" t="s">
        <x:v>372</x:v>
      </x:c>
      <x:c r="AJ69" s="72"/>
    </x:row>
    <x:row r="70" ht="15" hidden="0">
      <x:c r="A70" t="s">
        <x:v>194</x:v>
      </x:c>
      <x:c r="B70" t="s">
        <x:v>195</x:v>
      </x:c>
      <x:c r="C70" t="s">
        <x:v>123</x:v>
      </x:c>
      <x:c r="D70" t="s">
        <x:v>97</x:v>
      </x:c>
      <x:c r="E70" s="26" t="s">
        <x:v>65</x:v>
      </x:c>
      <x:c r="F70" s="34" t="n">
        <x:v>49.7</x:v>
      </x:c>
      <x:c r="G70" t="n">
        <x:v>51</x:v>
      </x:c>
      <x:c r="H70" s="274" t="n">
        <x:v>46266</x:v>
      </x:c>
      <x:c r="I70" s="274" t="n">
        <x:v>46420</x:v>
      </x:c>
      <x:c r="J70" s="72"/>
      <x:c r="K70" s="72"/>
      <x:c r="L70" s="72"/>
      <x:c r="M70" s="72"/>
      <x:c r="N70" s="72"/>
      <x:c r="O70" s="72"/>
      <x:c r="P70" s="72"/>
      <x:c r="Q70" s="72"/>
      <x:c r="R70" s="73" t="s">
        <x:v>372</x:v>
      </x:c>
      <x:c r="S70" s="73" t="s">
        <x:v>372</x:v>
      </x:c>
      <x:c r="T70" s="73" t="s">
        <x:v>372</x:v>
      </x:c>
      <x:c r="U70" s="73" t="s">
        <x:v>372</x:v>
      </x:c>
      <x:c r="V70" s="73" t="s">
        <x:v>372</x:v>
      </x:c>
      <x:c r="W70" s="73" t="s">
        <x:v>372</x:v>
      </x:c>
      <x:c r="X70" s="73" t="s">
        <x:v>372</x:v>
      </x:c>
      <x:c r="Y70" s="73" t="s">
        <x:v>372</x:v>
      </x:c>
      <x:c r="Z70" s="73" t="s">
        <x:v>372</x:v>
      </x:c>
      <x:c r="AA70" s="73" t="s">
        <x:v>372</x:v>
      </x:c>
      <x:c r="AB70" s="73" t="s">
        <x:v>372</x:v>
      </x:c>
      <x:c r="AC70" s="73" t="s">
        <x:v>372</x:v>
      </x:c>
      <x:c r="AD70" s="73" t="s">
        <x:v>372</x:v>
      </x:c>
      <x:c r="AE70" s="73" t="s">
        <x:v>372</x:v>
      </x:c>
      <x:c r="AF70" s="73" t="s">
        <x:v>372</x:v>
      </x:c>
      <x:c r="AG70" s="73" t="s">
        <x:v>372</x:v>
      </x:c>
      <x:c r="AH70" s="73" t="s">
        <x:v>372</x:v>
      </x:c>
      <x:c r="AI70" s="73" t="s">
        <x:v>372</x:v>
      </x:c>
      <x:c r="AJ70" s="73" t="s">
        <x:v>372</x:v>
      </x:c>
    </x:row>
    <x:row r="71" ht="15" hidden="0">
      <x:c r="A71" t="s">
        <x:v>210</x:v>
      </x:c>
      <x:c r="B71" t="s">
        <x:v>211</x:v>
      </x:c>
      <x:c r="C71" t="s">
        <x:v>69</x:v>
      </x:c>
      <x:c r="D71" t="s">
        <x:v>132</x:v>
      </x:c>
      <x:c r="E71" s="26" t="s">
        <x:v>65</x:v>
      </x:c>
      <x:c r="F71" s="34" t="n">
        <x:v>43.8</x:v>
      </x:c>
      <x:c r="G71" t="n">
        <x:v>42</x:v>
      </x:c>
      <x:c r="H71" s="274" t="n">
        <x:v>46267</x:v>
      </x:c>
      <x:c r="I71" s="274" t="n">
        <x:v>46408</x:v>
      </x:c>
      <x:c r="J71" s="72"/>
      <x:c r="K71" s="72"/>
      <x:c r="L71" s="72"/>
      <x:c r="M71" s="72"/>
      <x:c r="N71" s="72"/>
      <x:c r="O71" s="72"/>
      <x:c r="P71" s="72"/>
      <x:c r="Q71" s="72"/>
      <x:c r="R71" s="72"/>
      <x:c r="S71" s="73" t="s">
        <x:v>372</x:v>
      </x:c>
      <x:c r="T71" s="73" t="s">
        <x:v>372</x:v>
      </x:c>
      <x:c r="U71" s="73" t="s">
        <x:v>372</x:v>
      </x:c>
      <x:c r="V71" s="73" t="s">
        <x:v>372</x:v>
      </x:c>
      <x:c r="W71" s="73" t="s">
        <x:v>372</x:v>
      </x:c>
      <x:c r="X71" s="73" t="s">
        <x:v>372</x:v>
      </x:c>
      <x:c r="Y71" s="73" t="s">
        <x:v>372</x:v>
      </x:c>
      <x:c r="Z71" s="73" t="s">
        <x:v>372</x:v>
      </x:c>
      <x:c r="AA71" s="73" t="s">
        <x:v>372</x:v>
      </x:c>
      <x:c r="AB71" s="73" t="s">
        <x:v>372</x:v>
      </x:c>
      <x:c r="AC71" s="73" t="s">
        <x:v>372</x:v>
      </x:c>
      <x:c r="AD71" s="73" t="s">
        <x:v>372</x:v>
      </x:c>
      <x:c r="AE71" s="73" t="s">
        <x:v>372</x:v>
      </x:c>
      <x:c r="AF71" s="73" t="s">
        <x:v>372</x:v>
      </x:c>
      <x:c r="AG71" s="73" t="s">
        <x:v>372</x:v>
      </x:c>
      <x:c r="AH71" s="73" t="s">
        <x:v>372</x:v>
      </x:c>
      <x:c r="AI71" s="73" t="s">
        <x:v>372</x:v>
      </x:c>
      <x:c r="AJ71" s="73" t="s">
        <x:v>372</x:v>
      </x:c>
    </x:row>
    <x:row r="72" ht="15" hidden="0">
      <x:c r="A72" t="s">
        <x:v>220</x:v>
      </x:c>
      <x:c r="B72" t="s">
        <x:v>221</x:v>
      </x:c>
      <x:c r="C72" t="s">
        <x:v>70</x:v>
      </x:c>
      <x:c r="D72" t="s">
        <x:v>132</x:v>
      </x:c>
      <x:c r="E72" s="26" t="s">
        <x:v>65</x:v>
      </x:c>
      <x:c r="F72" s="34" t="n">
        <x:v>36.8</x:v>
      </x:c>
      <x:c r="G72" t="n">
        <x:v>32</x:v>
      </x:c>
      <x:c r="H72" s="274" t="n">
        <x:v>46268</x:v>
      </x:c>
      <x:c r="I72" s="274" t="n">
        <x:v>46377</x:v>
      </x:c>
      <x:c r="J72" s="72"/>
      <x:c r="K72" s="72"/>
      <x:c r="L72" s="72"/>
      <x:c r="M72" s="72"/>
      <x:c r="N72" s="72"/>
      <x:c r="O72" s="72"/>
      <x:c r="P72" s="72"/>
      <x:c r="Q72" s="72"/>
      <x:c r="R72" s="72"/>
      <x:c r="S72" s="73" t="s">
        <x:v>372</x:v>
      </x:c>
      <x:c r="T72" s="73" t="s">
        <x:v>372</x:v>
      </x:c>
      <x:c r="U72" s="73" t="s">
        <x:v>372</x:v>
      </x:c>
      <x:c r="V72" s="73" t="s">
        <x:v>372</x:v>
      </x:c>
      <x:c r="W72" s="73" t="s">
        <x:v>372</x:v>
      </x:c>
      <x:c r="X72" s="73" t="s">
        <x:v>372</x:v>
      </x:c>
      <x:c r="Y72" s="73" t="s">
        <x:v>372</x:v>
      </x:c>
      <x:c r="Z72" s="73" t="s">
        <x:v>372</x:v>
      </x:c>
      <x:c r="AA72" s="73" t="s">
        <x:v>372</x:v>
      </x:c>
      <x:c r="AB72" s="73" t="s">
        <x:v>372</x:v>
      </x:c>
      <x:c r="AC72" s="73" t="s">
        <x:v>372</x:v>
      </x:c>
      <x:c r="AD72" s="73" t="s">
        <x:v>372</x:v>
      </x:c>
      <x:c r="AE72" s="73" t="s">
        <x:v>372</x:v>
      </x:c>
      <x:c r="AF72" s="73" t="s">
        <x:v>372</x:v>
      </x:c>
      <x:c r="AG72" s="73" t="s">
        <x:v>372</x:v>
      </x:c>
      <x:c r="AH72" s="73" t="s">
        <x:v>372</x:v>
      </x:c>
      <x:c r="AI72" s="72"/>
      <x:c r="AJ72" s="72"/>
    </x:row>
    <x:row r="73" ht="15" hidden="0">
      <x:c r="A73" t="s">
        <x:v>191</x:v>
      </x:c>
      <x:c r="B73" t="s">
        <x:v>192</x:v>
      </x:c>
      <x:c r="C73" t="s">
        <x:v>68</x:v>
      </x:c>
      <x:c r="D73" t="s">
        <x:v>193</x:v>
      </x:c>
      <x:c r="E73" s="26" t="s">
        <x:v>65</x:v>
      </x:c>
      <x:c r="F73" s="34" t="n">
        <x:v>50.7</x:v>
      </x:c>
      <x:c r="G73" t="n">
        <x:v>52</x:v>
      </x:c>
      <x:c r="H73" s="274" t="n">
        <x:v>46269</x:v>
      </x:c>
      <x:c r="I73" s="274" t="n">
        <x:v>46402</x:v>
      </x:c>
      <x:c r="J73" s="72"/>
      <x:c r="K73" s="72"/>
      <x:c r="L73" s="72"/>
      <x:c r="M73" s="72"/>
      <x:c r="N73" s="72"/>
      <x:c r="O73" s="72"/>
      <x:c r="P73" s="72"/>
      <x:c r="Q73" s="72"/>
      <x:c r="R73" s="72"/>
      <x:c r="S73" s="73" t="s">
        <x:v>372</x:v>
      </x:c>
      <x:c r="T73" s="73" t="s">
        <x:v>372</x:v>
      </x:c>
      <x:c r="U73" s="73" t="s">
        <x:v>372</x:v>
      </x:c>
      <x:c r="V73" s="73" t="s">
        <x:v>372</x:v>
      </x:c>
      <x:c r="W73" s="73" t="s">
        <x:v>372</x:v>
      </x:c>
      <x:c r="X73" s="73" t="s">
        <x:v>372</x:v>
      </x:c>
      <x:c r="Y73" s="73" t="s">
        <x:v>372</x:v>
      </x:c>
      <x:c r="Z73" s="73" t="s">
        <x:v>372</x:v>
      </x:c>
      <x:c r="AA73" s="73" t="s">
        <x:v>372</x:v>
      </x:c>
      <x:c r="AB73" s="73" t="s">
        <x:v>372</x:v>
      </x:c>
      <x:c r="AC73" s="73" t="s">
        <x:v>372</x:v>
      </x:c>
      <x:c r="AD73" s="73" t="s">
        <x:v>372</x:v>
      </x:c>
      <x:c r="AE73" s="73" t="s">
        <x:v>372</x:v>
      </x:c>
      <x:c r="AF73" s="73" t="s">
        <x:v>372</x:v>
      </x:c>
      <x:c r="AG73" s="73" t="s">
        <x:v>372</x:v>
      </x:c>
      <x:c r="AH73" s="73" t="s">
        <x:v>372</x:v>
      </x:c>
      <x:c r="AI73" s="73" t="s">
        <x:v>372</x:v>
      </x:c>
      <x:c r="AJ73" s="73" t="s">
        <x:v>372</x:v>
      </x:c>
    </x:row>
    <x:row r="74" ht="15" hidden="0">
      <x:c r="A74" t="s">
        <x:v>288</x:v>
      </x:c>
      <x:c r="B74" t="s">
        <x:v>289</x:v>
      </x:c>
      <x:c r="C74" t="s">
        <x:v>70</x:v>
      </x:c>
      <x:c r="D74" t="s">
        <x:v>80</x:v>
      </x:c>
      <x:c r="E74" s="37" t="s">
        <x:v>63</x:v>
      </x:c>
      <x:c r="F74" s="34" t="n">
        <x:v>91.2</x:v>
      </x:c>
      <x:c r="G74" t="n">
        <x:v>42</x:v>
      </x:c>
      <x:c r="H74" s="274" t="n">
        <x:v>46270</x:v>
      </x:c>
      <x:c r="I74" s="274" t="n">
        <x:v>46420</x:v>
      </x:c>
      <x:c r="J74" s="72"/>
      <x:c r="K74" s="72"/>
      <x:c r="L74" s="72"/>
      <x:c r="M74" s="72"/>
      <x:c r="N74" s="72"/>
      <x:c r="O74" s="72"/>
      <x:c r="P74" s="72"/>
      <x:c r="Q74" s="72"/>
      <x:c r="R74" s="72"/>
      <x:c r="S74" s="71" t="s">
        <x:v>372</x:v>
      </x:c>
      <x:c r="T74" s="71" t="s">
        <x:v>372</x:v>
      </x:c>
      <x:c r="U74" s="71" t="s">
        <x:v>372</x:v>
      </x:c>
      <x:c r="V74" s="71" t="s">
        <x:v>372</x:v>
      </x:c>
      <x:c r="W74" s="71" t="s">
        <x:v>372</x:v>
      </x:c>
      <x:c r="X74" s="71" t="s">
        <x:v>372</x:v>
      </x:c>
      <x:c r="Y74" s="71" t="s">
        <x:v>372</x:v>
      </x:c>
      <x:c r="Z74" s="71" t="s">
        <x:v>372</x:v>
      </x:c>
      <x:c r="AA74" s="71" t="s">
        <x:v>372</x:v>
      </x:c>
      <x:c r="AB74" s="71" t="s">
        <x:v>372</x:v>
      </x:c>
      <x:c r="AC74" s="71" t="s">
        <x:v>372</x:v>
      </x:c>
      <x:c r="AD74" s="71" t="s">
        <x:v>372</x:v>
      </x:c>
      <x:c r="AE74" s="71" t="s">
        <x:v>372</x:v>
      </x:c>
      <x:c r="AF74" s="71" t="s">
        <x:v>372</x:v>
      </x:c>
      <x:c r="AG74" s="71" t="s">
        <x:v>372</x:v>
      </x:c>
      <x:c r="AH74" s="71" t="s">
        <x:v>372</x:v>
      </x:c>
      <x:c r="AI74" s="71" t="s">
        <x:v>372</x:v>
      </x:c>
      <x:c r="AJ74" s="71" t="s">
        <x:v>372</x:v>
      </x:c>
    </x:row>
    <x:row r="75" ht="15" hidden="0">
      <x:c r="A75" t="s">
        <x:v>294</x:v>
      </x:c>
      <x:c r="B75" t="s">
        <x:v>295</x:v>
      </x:c>
      <x:c r="C75" t="s">
        <x:v>64</x:v>
      </x:c>
      <x:c r="D75" t="s">
        <x:v>80</x:v>
      </x:c>
      <x:c r="E75" s="37" t="s">
        <x:v>63</x:v>
      </x:c>
      <x:c r="F75" s="34" t="n">
        <x:v>87</x:v>
      </x:c>
      <x:c r="G75" t="n">
        <x:v>35</x:v>
      </x:c>
      <x:c r="H75" s="274" t="n">
        <x:v>46271</x:v>
      </x:c>
      <x:c r="I75" s="274" t="n">
        <x:v>46334</x:v>
      </x:c>
      <x:c r="J75" s="72"/>
      <x:c r="K75" s="72"/>
      <x:c r="L75" s="72"/>
      <x:c r="M75" s="72"/>
      <x:c r="N75" s="72"/>
      <x:c r="O75" s="72"/>
      <x:c r="P75" s="72"/>
      <x:c r="Q75" s="72"/>
      <x:c r="R75" s="72"/>
      <x:c r="S75" s="71" t="s">
        <x:v>372</x:v>
      </x:c>
      <x:c r="T75" s="71" t="s">
        <x:v>372</x:v>
      </x:c>
      <x:c r="U75" s="71" t="s">
        <x:v>372</x:v>
      </x:c>
      <x:c r="V75" s="71" t="s">
        <x:v>372</x:v>
      </x:c>
      <x:c r="W75" s="71" t="s">
        <x:v>372</x:v>
      </x:c>
      <x:c r="X75" s="71" t="s">
        <x:v>372</x:v>
      </x:c>
      <x:c r="Y75" s="71" t="s">
        <x:v>372</x:v>
      </x:c>
      <x:c r="Z75" s="71" t="s">
        <x:v>372</x:v>
      </x:c>
      <x:c r="AA75" s="71" t="s">
        <x:v>372</x:v>
      </x:c>
      <x:c r="AB75" s="71" t="s">
        <x:v>372</x:v>
      </x:c>
      <x:c r="AC75" s="72"/>
      <x:c r="AD75" s="72"/>
      <x:c r="AE75" s="72"/>
      <x:c r="AF75" s="72"/>
      <x:c r="AG75" s="72"/>
      <x:c r="AH75" s="72"/>
      <x:c r="AI75" s="72"/>
      <x:c r="AJ75" s="72"/>
    </x:row>
    <x:row r="76" ht="15" hidden="0">
      <x:c r="A76" t="s">
        <x:v>156</x:v>
      </x:c>
      <x:c r="B76" t="s">
        <x:v>157</x:v>
      </x:c>
      <x:c r="C76" t="s">
        <x:v>69</x:v>
      </x:c>
      <x:c r="D76" t="s">
        <x:v>84</x:v>
      </x:c>
      <x:c r="E76" s="26" t="s">
        <x:v>65</x:v>
      </x:c>
      <x:c r="F76" s="34" t="n">
        <x:v>80.2</x:v>
      </x:c>
      <x:c r="G76" t="n">
        <x:v>72</x:v>
      </x:c>
      <x:c r="H76" s="274" t="n">
        <x:v>46272</x:v>
      </x:c>
      <x:c r="I76" s="274" t="n">
        <x:v>46388</x:v>
      </x:c>
      <x:c r="J76" s="72"/>
      <x:c r="K76" s="72"/>
      <x:c r="L76" s="72"/>
      <x:c r="M76" s="72"/>
      <x:c r="N76" s="72"/>
      <x:c r="O76" s="72"/>
      <x:c r="P76" s="72"/>
      <x:c r="Q76" s="72"/>
      <x:c r="R76" s="72"/>
      <x:c r="S76" s="73" t="s">
        <x:v>372</x:v>
      </x:c>
      <x:c r="T76" s="73" t="s">
        <x:v>372</x:v>
      </x:c>
      <x:c r="U76" s="73" t="s">
        <x:v>372</x:v>
      </x:c>
      <x:c r="V76" s="73" t="s">
        <x:v>372</x:v>
      </x:c>
      <x:c r="W76" s="73" t="s">
        <x:v>372</x:v>
      </x:c>
      <x:c r="X76" s="73" t="s">
        <x:v>372</x:v>
      </x:c>
      <x:c r="Y76" s="73" t="s">
        <x:v>372</x:v>
      </x:c>
      <x:c r="Z76" s="73" t="s">
        <x:v>372</x:v>
      </x:c>
      <x:c r="AA76" s="73" t="s">
        <x:v>372</x:v>
      </x:c>
      <x:c r="AB76" s="73" t="s">
        <x:v>372</x:v>
      </x:c>
      <x:c r="AC76" s="73" t="s">
        <x:v>372</x:v>
      </x:c>
      <x:c r="AD76" s="73" t="s">
        <x:v>372</x:v>
      </x:c>
      <x:c r="AE76" s="73" t="s">
        <x:v>372</x:v>
      </x:c>
      <x:c r="AF76" s="73" t="s">
        <x:v>372</x:v>
      </x:c>
      <x:c r="AG76" s="73" t="s">
        <x:v>372</x:v>
      </x:c>
      <x:c r="AH76" s="73" t="s">
        <x:v>372</x:v>
      </x:c>
      <x:c r="AI76" s="73" t="s">
        <x:v>372</x:v>
      </x:c>
      <x:c r="AJ76" s="73" t="s">
        <x:v>372</x:v>
      </x:c>
    </x:row>
    <x:row r="77" ht="15" hidden="0">
      <x:c r="A77" t="s">
        <x:v>218</x:v>
      </x:c>
      <x:c r="B77" t="s">
        <x:v>219</x:v>
      </x:c>
      <x:c r="C77" t="s">
        <x:v>62</x:v>
      </x:c>
      <x:c r="D77" t="s">
        <x:v>88</x:v>
      </x:c>
      <x:c r="E77" s="26" t="s">
        <x:v>65</x:v>
      </x:c>
      <x:c r="F77" s="34" t="n">
        <x:v>35.2</x:v>
      </x:c>
      <x:c r="G77" t="n">
        <x:v>35</x:v>
      </x:c>
      <x:c r="H77" s="274" t="n">
        <x:v>46273</x:v>
      </x:c>
      <x:c r="I77" s="274" t="n">
        <x:v>46345</x:v>
      </x:c>
      <x:c r="J77" s="72"/>
      <x:c r="K77" s="72"/>
      <x:c r="L77" s="72"/>
      <x:c r="M77" s="72"/>
      <x:c r="N77" s="72"/>
      <x:c r="O77" s="72"/>
      <x:c r="P77" s="72"/>
      <x:c r="Q77" s="72"/>
      <x:c r="R77" s="72"/>
      <x:c r="S77" s="73" t="s">
        <x:v>372</x:v>
      </x:c>
      <x:c r="T77" s="73" t="s">
        <x:v>372</x:v>
      </x:c>
      <x:c r="U77" s="73" t="s">
        <x:v>372</x:v>
      </x:c>
      <x:c r="V77" s="73" t="s">
        <x:v>372</x:v>
      </x:c>
      <x:c r="W77" s="73" t="s">
        <x:v>372</x:v>
      </x:c>
      <x:c r="X77" s="73" t="s">
        <x:v>372</x:v>
      </x:c>
      <x:c r="Y77" s="73" t="s">
        <x:v>372</x:v>
      </x:c>
      <x:c r="Z77" s="73" t="s">
        <x:v>372</x:v>
      </x:c>
      <x:c r="AA77" s="73" t="s">
        <x:v>372</x:v>
      </x:c>
      <x:c r="AB77" s="73" t="s">
        <x:v>372</x:v>
      </x:c>
      <x:c r="AC77" s="73" t="s">
        <x:v>372</x:v>
      </x:c>
      <x:c r="AD77" s="73" t="s">
        <x:v>372</x:v>
      </x:c>
      <x:c r="AE77" s="72"/>
      <x:c r="AF77" s="72"/>
      <x:c r="AG77" s="72"/>
      <x:c r="AH77" s="72"/>
      <x:c r="AI77" s="72"/>
      <x:c r="AJ77" s="72"/>
    </x:row>
    <x:row r="78" ht="15" hidden="0">
      <x:c r="A78" t="s">
        <x:v>137</x:v>
      </x:c>
      <x:c r="B78" t="s">
        <x:v>138</x:v>
      </x:c>
      <x:c r="C78" t="s">
        <x:v>123</x:v>
      </x:c>
      <x:c r="D78" t="s">
        <x:v>95</x:v>
      </x:c>
      <x:c r="E78" s="26" t="s">
        <x:v>65</x:v>
      </x:c>
      <x:c r="F78" s="34" t="n">
        <x:v>88</x:v>
      </x:c>
      <x:c r="G78" t="n">
        <x:v>78</x:v>
      </x:c>
      <x:c r="H78" s="274" t="n">
        <x:v>46274</x:v>
      </x:c>
      <x:c r="I78" s="274" t="n">
        <x:v>46358</x:v>
      </x:c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3" t="s">
        <x:v>372</x:v>
      </x:c>
      <x:c r="U78" s="73" t="s">
        <x:v>372</x:v>
      </x:c>
      <x:c r="V78" s="73" t="s">
        <x:v>372</x:v>
      </x:c>
      <x:c r="W78" s="73" t="s">
        <x:v>372</x:v>
      </x:c>
      <x:c r="X78" s="73" t="s">
        <x:v>372</x:v>
      </x:c>
      <x:c r="Y78" s="73" t="s">
        <x:v>372</x:v>
      </x:c>
      <x:c r="Z78" s="73" t="s">
        <x:v>372</x:v>
      </x:c>
      <x:c r="AA78" s="73" t="s">
        <x:v>372</x:v>
      </x:c>
      <x:c r="AB78" s="73" t="s">
        <x:v>372</x:v>
      </x:c>
      <x:c r="AC78" s="73" t="s">
        <x:v>372</x:v>
      </x:c>
      <x:c r="AD78" s="73" t="s">
        <x:v>372</x:v>
      </x:c>
      <x:c r="AE78" s="73" t="s">
        <x:v>372</x:v>
      </x:c>
      <x:c r="AF78" s="73" t="s">
        <x:v>372</x:v>
      </x:c>
      <x:c r="AG78" s="72"/>
      <x:c r="AH78" s="72"/>
      <x:c r="AI78" s="72"/>
      <x:c r="AJ78" s="72"/>
    </x:row>
    <x:row r="79" ht="15" hidden="0">
      <x:c r="A79" t="s">
        <x:v>158</x:v>
      </x:c>
      <x:c r="B79" t="s">
        <x:v>159</x:v>
      </x:c>
      <x:c r="C79" t="s">
        <x:v>71</x:v>
      </x:c>
      <x:c r="D79" t="s">
        <x:v>160</x:v>
      </x:c>
      <x:c r="E79" s="26" t="s">
        <x:v>65</x:v>
      </x:c>
      <x:c r="F79" s="34" t="n">
        <x:v>29.8</x:v>
      </x:c>
      <x:c r="G79" t="n">
        <x:v>71</x:v>
      </x:c>
      <x:c r="H79" s="274" t="n">
        <x:v>46275</x:v>
      </x:c>
      <x:c r="I79" s="274" t="n">
        <x:v>46332</x:v>
      </x:c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3" t="s">
        <x:v>372</x:v>
      </x:c>
      <x:c r="U79" s="73" t="s">
        <x:v>372</x:v>
      </x:c>
      <x:c r="V79" s="73" t="s">
        <x:v>372</x:v>
      </x:c>
      <x:c r="W79" s="73" t="s">
        <x:v>372</x:v>
      </x:c>
      <x:c r="X79" s="73" t="s">
        <x:v>372</x:v>
      </x:c>
      <x:c r="Y79" s="73" t="s">
        <x:v>372</x:v>
      </x:c>
      <x:c r="Z79" s="73" t="s">
        <x:v>372</x:v>
      </x:c>
      <x:c r="AA79" s="73" t="s">
        <x:v>372</x:v>
      </x:c>
      <x:c r="AB79" s="73" t="s">
        <x:v>372</x:v>
      </x:c>
      <x:c r="AC79" s="72"/>
      <x:c r="AD79" s="72"/>
      <x:c r="AE79" s="72"/>
      <x:c r="AF79" s="72"/>
      <x:c r="AG79" s="72"/>
      <x:c r="AH79" s="72"/>
      <x:c r="AI79" s="72"/>
      <x:c r="AJ79" s="72"/>
    </x:row>
    <x:row r="80" ht="15" hidden="0">
      <x:c r="A80" t="s">
        <x:v>290</x:v>
      </x:c>
      <x:c r="B80" t="s">
        <x:v>291</x:v>
      </x:c>
      <x:c r="C80" t="s">
        <x:v>66</x:v>
      </x:c>
      <x:c r="D80" t="s">
        <x:v>97</x:v>
      </x:c>
      <x:c r="E80" s="37" t="s">
        <x:v>63</x:v>
      </x:c>
      <x:c r="F80" s="34" t="n">
        <x:v>88</x:v>
      </x:c>
      <x:c r="G80" t="n">
        <x:v>41</x:v>
      </x:c>
      <x:c r="H80" s="274" t="n">
        <x:v>46276</x:v>
      </x:c>
      <x:c r="I80" s="274" t="n">
        <x:v>46395</x:v>
      </x:c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1" t="s">
        <x:v>372</x:v>
      </x:c>
      <x:c r="U80" s="71" t="s">
        <x:v>372</x:v>
      </x:c>
      <x:c r="V80" s="71" t="s">
        <x:v>372</x:v>
      </x:c>
      <x:c r="W80" s="71" t="s">
        <x:v>372</x:v>
      </x:c>
      <x:c r="X80" s="71" t="s">
        <x:v>372</x:v>
      </x:c>
      <x:c r="Y80" s="71" t="s">
        <x:v>372</x:v>
      </x:c>
      <x:c r="Z80" s="71" t="s">
        <x:v>372</x:v>
      </x:c>
      <x:c r="AA80" s="71" t="s">
        <x:v>372</x:v>
      </x:c>
      <x:c r="AB80" s="71" t="s">
        <x:v>372</x:v>
      </x:c>
      <x:c r="AC80" s="71" t="s">
        <x:v>372</x:v>
      </x:c>
      <x:c r="AD80" s="71" t="s">
        <x:v>372</x:v>
      </x:c>
      <x:c r="AE80" s="71" t="s">
        <x:v>372</x:v>
      </x:c>
      <x:c r="AF80" s="71" t="s">
        <x:v>372</x:v>
      </x:c>
      <x:c r="AG80" s="71" t="s">
        <x:v>372</x:v>
      </x:c>
      <x:c r="AH80" s="71" t="s">
        <x:v>372</x:v>
      </x:c>
      <x:c r="AI80" s="71" t="s">
        <x:v>372</x:v>
      </x:c>
      <x:c r="AJ80" s="71" t="s">
        <x:v>372</x:v>
      </x:c>
    </x:row>
    <x:row r="81" ht="15" hidden="0">
      <x:c r="A81" t="s">
        <x:v>270</x:v>
      </x:c>
      <x:c r="B81" t="s">
        <x:v>271</x:v>
      </x:c>
      <x:c r="C81" t="s">
        <x:v>123</x:v>
      </x:c>
      <x:c r="D81" t="s">
        <x:v>84</x:v>
      </x:c>
      <x:c r="E81" s="37" t="s">
        <x:v>63</x:v>
      </x:c>
      <x:c r="F81" s="34" t="n">
        <x:v>63.5</x:v>
      </x:c>
      <x:c r="G81" t="n">
        <x:v>60</x:v>
      </x:c>
      <x:c r="H81" s="274" t="n">
        <x:v>46277</x:v>
      </x:c>
      <x:c r="I81" s="274" t="n">
        <x:v>46364</x:v>
      </x:c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1" t="s">
        <x:v>372</x:v>
      </x:c>
      <x:c r="U81" s="71" t="s">
        <x:v>372</x:v>
      </x:c>
      <x:c r="V81" s="71" t="s">
        <x:v>372</x:v>
      </x:c>
      <x:c r="W81" s="71" t="s">
        <x:v>372</x:v>
      </x:c>
      <x:c r="X81" s="71" t="s">
        <x:v>372</x:v>
      </x:c>
      <x:c r="Y81" s="71" t="s">
        <x:v>372</x:v>
      </x:c>
      <x:c r="Z81" s="71" t="s">
        <x:v>372</x:v>
      </x:c>
      <x:c r="AA81" s="71" t="s">
        <x:v>372</x:v>
      </x:c>
      <x:c r="AB81" s="71" t="s">
        <x:v>372</x:v>
      </x:c>
      <x:c r="AC81" s="71" t="s">
        <x:v>372</x:v>
      </x:c>
      <x:c r="AD81" s="71" t="s">
        <x:v>372</x:v>
      </x:c>
      <x:c r="AE81" s="71" t="s">
        <x:v>372</x:v>
      </x:c>
      <x:c r="AF81" s="71" t="s">
        <x:v>372</x:v>
      </x:c>
      <x:c r="AG81" s="72"/>
      <x:c r="AH81" s="72"/>
      <x:c r="AI81" s="72"/>
      <x:c r="AJ81" s="72"/>
    </x:row>
    <x:row r="82" ht="15" hidden="0">
      <x:c r="A82" t="s">
        <x:v>124</x:v>
      </x:c>
      <x:c r="B82" t="s">
        <x:v>94</x:v>
      </x:c>
      <x:c r="C82" t="s">
        <x:v>60</x:v>
      </x:c>
      <x:c r="D82" t="s">
        <x:v>95</x:v>
      </x:c>
      <x:c r="E82" s="26" t="s">
        <x:v>65</x:v>
      </x:c>
      <x:c r="F82" s="34" t="n">
        <x:v>39.5</x:v>
      </x:c>
      <x:c r="G82" t="n">
        <x:v>83</x:v>
      </x:c>
      <x:c r="H82" s="274" t="n">
        <x:v>46278</x:v>
      </x:c>
      <x:c r="I82" s="274" t="n">
        <x:v>46355</x:v>
      </x:c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3" t="s">
        <x:v>372</x:v>
      </x:c>
      <x:c r="U82" s="73" t="s">
        <x:v>372</x:v>
      </x:c>
      <x:c r="V82" s="73" t="s">
        <x:v>372</x:v>
      </x:c>
      <x:c r="W82" s="73" t="s">
        <x:v>372</x:v>
      </x:c>
      <x:c r="X82" s="73" t="s">
        <x:v>372</x:v>
      </x:c>
      <x:c r="Y82" s="73" t="s">
        <x:v>372</x:v>
      </x:c>
      <x:c r="Z82" s="73" t="s">
        <x:v>372</x:v>
      </x:c>
      <x:c r="AA82" s="73" t="s">
        <x:v>372</x:v>
      </x:c>
      <x:c r="AB82" s="73" t="s">
        <x:v>372</x:v>
      </x:c>
      <x:c r="AC82" s="73" t="s">
        <x:v>372</x:v>
      </x:c>
      <x:c r="AD82" s="73" t="s">
        <x:v>372</x:v>
      </x:c>
      <x:c r="AE82" s="73" t="s">
        <x:v>372</x:v>
      </x:c>
      <x:c r="AF82" s="72"/>
      <x:c r="AG82" s="72"/>
      <x:c r="AH82" s="72"/>
      <x:c r="AI82" s="72"/>
      <x:c r="AJ82" s="72"/>
    </x:row>
    <x:row r="83" ht="15" hidden="0">
      <x:c r="A83" t="s">
        <x:v>284</x:v>
      </x:c>
      <x:c r="B83" t="s">
        <x:v>285</x:v>
      </x:c>
      <x:c r="C83" t="s">
        <x:v>71</x:v>
      </x:c>
      <x:c r="D83" t="s">
        <x:v>95</x:v>
      </x:c>
      <x:c r="E83" s="37" t="s">
        <x:v>63</x:v>
      </x:c>
      <x:c r="F83" s="34" t="n">
        <x:v>88</x:v>
      </x:c>
      <x:c r="G83" t="n">
        <x:v>49</x:v>
      </x:c>
      <x:c r="H83" s="274" t="n">
        <x:v>46279</x:v>
      </x:c>
      <x:c r="I83" s="274" t="n">
        <x:v>46385</x:v>
      </x:c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1" t="s">
        <x:v>372</x:v>
      </x:c>
      <x:c r="U83" s="71" t="s">
        <x:v>372</x:v>
      </x:c>
      <x:c r="V83" s="71" t="s">
        <x:v>372</x:v>
      </x:c>
      <x:c r="W83" s="71" t="s">
        <x:v>372</x:v>
      </x:c>
      <x:c r="X83" s="71" t="s">
        <x:v>372</x:v>
      </x:c>
      <x:c r="Y83" s="71" t="s">
        <x:v>372</x:v>
      </x:c>
      <x:c r="Z83" s="71" t="s">
        <x:v>372</x:v>
      </x:c>
      <x:c r="AA83" s="71" t="s">
        <x:v>372</x:v>
      </x:c>
      <x:c r="AB83" s="71" t="s">
        <x:v>372</x:v>
      </x:c>
      <x:c r="AC83" s="71" t="s">
        <x:v>372</x:v>
      </x:c>
      <x:c r="AD83" s="71" t="s">
        <x:v>372</x:v>
      </x:c>
      <x:c r="AE83" s="71" t="s">
        <x:v>372</x:v>
      </x:c>
      <x:c r="AF83" s="71" t="s">
        <x:v>372</x:v>
      </x:c>
      <x:c r="AG83" s="71" t="s">
        <x:v>372</x:v>
      </x:c>
      <x:c r="AH83" s="71" t="s">
        <x:v>372</x:v>
      </x:c>
      <x:c r="AI83" s="71" t="s">
        <x:v>372</x:v>
      </x:c>
      <x:c r="AJ83" s="72"/>
    </x:row>
    <x:row r="84" ht="15" hidden="0">
      <x:c r="A84" t="s">
        <x:v>268</x:v>
      </x:c>
      <x:c r="B84" t="s">
        <x:v>269</x:v>
      </x:c>
      <x:c r="C84" t="s">
        <x:v>71</x:v>
      </x:c>
      <x:c r="D84" t="s">
        <x:v>193</x:v>
      </x:c>
      <x:c r="E84" s="37" t="s">
        <x:v>63</x:v>
      </x:c>
      <x:c r="F84" s="34" t="n">
        <x:v>75.8</x:v>
      </x:c>
      <x:c r="G84" t="n">
        <x:v>65</x:v>
      </x:c>
      <x:c r="H84" s="274" t="n">
        <x:v>46280</x:v>
      </x:c>
      <x:c r="I84" s="274" t="n">
        <x:v>46373</x:v>
      </x:c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1" t="s">
        <x:v>372</x:v>
      </x:c>
      <x:c r="U84" s="71" t="s">
        <x:v>372</x:v>
      </x:c>
      <x:c r="V84" s="71" t="s">
        <x:v>372</x:v>
      </x:c>
      <x:c r="W84" s="71" t="s">
        <x:v>372</x:v>
      </x:c>
      <x:c r="X84" s="71" t="s">
        <x:v>372</x:v>
      </x:c>
      <x:c r="Y84" s="71" t="s">
        <x:v>372</x:v>
      </x:c>
      <x:c r="Z84" s="71" t="s">
        <x:v>372</x:v>
      </x:c>
      <x:c r="AA84" s="71" t="s">
        <x:v>372</x:v>
      </x:c>
      <x:c r="AB84" s="71" t="s">
        <x:v>372</x:v>
      </x:c>
      <x:c r="AC84" s="71" t="s">
        <x:v>372</x:v>
      </x:c>
      <x:c r="AD84" s="71" t="s">
        <x:v>372</x:v>
      </x:c>
      <x:c r="AE84" s="71" t="s">
        <x:v>372</x:v>
      </x:c>
      <x:c r="AF84" s="71" t="s">
        <x:v>372</x:v>
      </x:c>
      <x:c r="AG84" s="71" t="s">
        <x:v>372</x:v>
      </x:c>
      <x:c r="AH84" s="71" t="s">
        <x:v>372</x:v>
      </x:c>
      <x:c r="AI84" s="72"/>
      <x:c r="AJ84" s="72"/>
    </x:row>
    <x:row r="85" ht="15" hidden="0">
      <x:c r="A85" t="s">
        <x:v>306</x:v>
      </x:c>
      <x:c r="B85" t="s">
        <x:v>307</x:v>
      </x:c>
      <x:c r="C85" t="s">
        <x:v>66</x:v>
      </x:c>
      <x:c r="D85" t="s">
        <x:v>84</x:v>
      </x:c>
      <x:c r="E85" s="37" t="s">
        <x:v>63</x:v>
      </x:c>
      <x:c r="F85" s="34" t="n">
        <x:v>75.8</x:v>
      </x:c>
      <x:c r="G85" t="n">
        <x:v>15</x:v>
      </x:c>
      <x:c r="H85" s="274" t="n">
        <x:v>46281</x:v>
      </x:c>
      <x:c r="I85" s="274" t="n">
        <x:v>46420</x:v>
      </x:c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1" t="s">
        <x:v>372</x:v>
      </x:c>
      <x:c r="V85" s="71" t="s">
        <x:v>372</x:v>
      </x:c>
      <x:c r="W85" s="71" t="s">
        <x:v>372</x:v>
      </x:c>
      <x:c r="X85" s="71" t="s">
        <x:v>372</x:v>
      </x:c>
      <x:c r="Y85" s="71" t="s">
        <x:v>372</x:v>
      </x:c>
      <x:c r="Z85" s="71" t="s">
        <x:v>372</x:v>
      </x:c>
      <x:c r="AA85" s="71" t="s">
        <x:v>372</x:v>
      </x:c>
      <x:c r="AB85" s="71" t="s">
        <x:v>372</x:v>
      </x:c>
      <x:c r="AC85" s="71" t="s">
        <x:v>372</x:v>
      </x:c>
      <x:c r="AD85" s="71" t="s">
        <x:v>372</x:v>
      </x:c>
      <x:c r="AE85" s="71" t="s">
        <x:v>372</x:v>
      </x:c>
      <x:c r="AF85" s="71" t="s">
        <x:v>372</x:v>
      </x:c>
      <x:c r="AG85" s="71" t="s">
        <x:v>372</x:v>
      </x:c>
      <x:c r="AH85" s="71" t="s">
        <x:v>372</x:v>
      </x:c>
      <x:c r="AI85" s="71" t="s">
        <x:v>372</x:v>
      </x:c>
      <x:c r="AJ85" s="71" t="s">
        <x:v>372</x:v>
      </x:c>
    </x:row>
    <x:row r="86" ht="15" hidden="0">
      <x:c r="A86" t="s">
        <x:v>121</x:v>
      </x:c>
      <x:c r="B86" t="s">
        <x:v>91</x:v>
      </x:c>
      <x:c r="C86" t="s">
        <x:v>66</x:v>
      </x:c>
      <x:c r="D86" t="s">
        <x:v>84</x:v>
      </x:c>
      <x:c r="E86" s="26" t="s">
        <x:v>65</x:v>
      </x:c>
      <x:c r="F86" s="34" t="n">
        <x:v>23.2</x:v>
      </x:c>
      <x:c r="G86" t="n">
        <x:v>86</x:v>
      </x:c>
      <x:c r="H86" s="274" t="n">
        <x:v>46282</x:v>
      </x:c>
      <x:c r="I86" s="274" t="n">
        <x:v>46341</x:v>
      </x:c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3" t="s">
        <x:v>372</x:v>
      </x:c>
      <x:c r="V86" s="73" t="s">
        <x:v>372</x:v>
      </x:c>
      <x:c r="W86" s="73" t="s">
        <x:v>372</x:v>
      </x:c>
      <x:c r="X86" s="73" t="s">
        <x:v>372</x:v>
      </x:c>
      <x:c r="Y86" s="73" t="s">
        <x:v>372</x:v>
      </x:c>
      <x:c r="Z86" s="73" t="s">
        <x:v>372</x:v>
      </x:c>
      <x:c r="AA86" s="73" t="s">
        <x:v>372</x:v>
      </x:c>
      <x:c r="AB86" s="73" t="s">
        <x:v>372</x:v>
      </x:c>
      <x:c r="AC86" s="73" t="s">
        <x:v>372</x:v>
      </x:c>
      <x:c r="AD86" s="72"/>
      <x:c r="AE86" s="72"/>
      <x:c r="AF86" s="72"/>
      <x:c r="AG86" s="72"/>
      <x:c r="AH86" s="72"/>
      <x:c r="AI86" s="72"/>
      <x:c r="AJ86" s="72"/>
    </x:row>
    <x:row r="87" ht="15" hidden="0">
      <x:c r="A87" t="s">
        <x:v>254</x:v>
      </x:c>
      <x:c r="B87" t="s">
        <x:v>255</x:v>
      </x:c>
      <x:c r="C87" t="s">
        <x:v>68</x:v>
      </x:c>
      <x:c r="D87" t="s">
        <x:v>160</x:v>
      </x:c>
      <x:c r="E87" s="26" t="s">
        <x:v>65</x:v>
      </x:c>
      <x:c r="F87" s="34" t="n">
        <x:v>81.2</x:v>
      </x:c>
      <x:c r="G87" t="n">
        <x:v>15</x:v>
      </x:c>
      <x:c r="H87" s="274" t="n">
        <x:v>46283</x:v>
      </x:c>
      <x:c r="I87" s="274" t="n">
        <x:v>46369</x:v>
      </x:c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3" t="s">
        <x:v>372</x:v>
      </x:c>
      <x:c r="V87" s="73" t="s">
        <x:v>372</x:v>
      </x:c>
      <x:c r="W87" s="73" t="s">
        <x:v>372</x:v>
      </x:c>
      <x:c r="X87" s="73" t="s">
        <x:v>372</x:v>
      </x:c>
      <x:c r="Y87" s="73" t="s">
        <x:v>372</x:v>
      </x:c>
      <x:c r="Z87" s="73" t="s">
        <x:v>372</x:v>
      </x:c>
      <x:c r="AA87" s="73" t="s">
        <x:v>372</x:v>
      </x:c>
      <x:c r="AB87" s="73" t="s">
        <x:v>372</x:v>
      </x:c>
      <x:c r="AC87" s="73" t="s">
        <x:v>372</x:v>
      </x:c>
      <x:c r="AD87" s="73" t="s">
        <x:v>372</x:v>
      </x:c>
      <x:c r="AE87" s="73" t="s">
        <x:v>372</x:v>
      </x:c>
      <x:c r="AF87" s="73" t="s">
        <x:v>372</x:v>
      </x:c>
      <x:c r="AG87" s="73" t="s">
        <x:v>372</x:v>
      </x:c>
      <x:c r="AH87" s="72"/>
      <x:c r="AI87" s="72"/>
      <x:c r="AJ87" s="72"/>
    </x:row>
    <x:row r="88" ht="15" hidden="0">
      <x:c r="A88" t="s">
        <x:v>183</x:v>
      </x:c>
      <x:c r="B88" t="s">
        <x:v>184</x:v>
      </x:c>
      <x:c r="C88" t="s">
        <x:v>64</x:v>
      </x:c>
      <x:c r="D88" t="s">
        <x:v>90</x:v>
      </x:c>
      <x:c r="E88" s="26" t="s">
        <x:v>65</x:v>
      </x:c>
      <x:c r="F88" s="34" t="n">
        <x:v>42.7</x:v>
      </x:c>
      <x:c r="G88" t="n">
        <x:v>54</x:v>
      </x:c>
      <x:c r="H88" s="274" t="n">
        <x:v>46284</x:v>
      </x:c>
      <x:c r="I88" s="274" t="n">
        <x:v>46402</x:v>
      </x:c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3" t="s">
        <x:v>372</x:v>
      </x:c>
      <x:c r="V88" s="73" t="s">
        <x:v>372</x:v>
      </x:c>
      <x:c r="W88" s="73" t="s">
        <x:v>372</x:v>
      </x:c>
      <x:c r="X88" s="73" t="s">
        <x:v>372</x:v>
      </x:c>
      <x:c r="Y88" s="73" t="s">
        <x:v>372</x:v>
      </x:c>
      <x:c r="Z88" s="73" t="s">
        <x:v>372</x:v>
      </x:c>
      <x:c r="AA88" s="73" t="s">
        <x:v>372</x:v>
      </x:c>
      <x:c r="AB88" s="73" t="s">
        <x:v>372</x:v>
      </x:c>
      <x:c r="AC88" s="73" t="s">
        <x:v>372</x:v>
      </x:c>
      <x:c r="AD88" s="73" t="s">
        <x:v>372</x:v>
      </x:c>
      <x:c r="AE88" s="73" t="s">
        <x:v>372</x:v>
      </x:c>
      <x:c r="AF88" s="73" t="s">
        <x:v>372</x:v>
      </x:c>
      <x:c r="AG88" s="73" t="s">
        <x:v>372</x:v>
      </x:c>
      <x:c r="AH88" s="73" t="s">
        <x:v>372</x:v>
      </x:c>
      <x:c r="AI88" s="73" t="s">
        <x:v>372</x:v>
      </x:c>
      <x:c r="AJ88" s="73" t="s">
        <x:v>372</x:v>
      </x:c>
    </x:row>
    <x:row r="89" ht="15" hidden="0">
      <x:c r="A89" t="s">
        <x:v>196</x:v>
      </x:c>
      <x:c r="B89" t="s">
        <x:v>197</x:v>
      </x:c>
      <x:c r="C89" t="s">
        <x:v>60</x:v>
      </x:c>
      <x:c r="D89" t="s">
        <x:v>160</x:v>
      </x:c>
      <x:c r="E89" s="26" t="s">
        <x:v>65</x:v>
      </x:c>
      <x:c r="F89" s="34" t="n">
        <x:v>37</x:v>
      </x:c>
      <x:c r="G89" t="n">
        <x:v>50</x:v>
      </x:c>
      <x:c r="H89" s="274" t="n">
        <x:v>46285</x:v>
      </x:c>
      <x:c r="I89" s="274" t="n">
        <x:v>46366</x:v>
      </x:c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3" t="s">
        <x:v>372</x:v>
      </x:c>
      <x:c r="V89" s="73" t="s">
        <x:v>372</x:v>
      </x:c>
      <x:c r="W89" s="73" t="s">
        <x:v>372</x:v>
      </x:c>
      <x:c r="X89" s="73" t="s">
        <x:v>372</x:v>
      </x:c>
      <x:c r="Y89" s="73" t="s">
        <x:v>372</x:v>
      </x:c>
      <x:c r="Z89" s="73" t="s">
        <x:v>372</x:v>
      </x:c>
      <x:c r="AA89" s="73" t="s">
        <x:v>372</x:v>
      </x:c>
      <x:c r="AB89" s="73" t="s">
        <x:v>372</x:v>
      </x:c>
      <x:c r="AC89" s="73" t="s">
        <x:v>372</x:v>
      </x:c>
      <x:c r="AD89" s="73" t="s">
        <x:v>372</x:v>
      </x:c>
      <x:c r="AE89" s="73" t="s">
        <x:v>372</x:v>
      </x:c>
      <x:c r="AF89" s="73" t="s">
        <x:v>372</x:v>
      </x:c>
      <x:c r="AG89" s="73" t="s">
        <x:v>372</x:v>
      </x:c>
      <x:c r="AH89" s="72"/>
      <x:c r="AI89" s="72"/>
      <x:c r="AJ89" s="72"/>
    </x:row>
    <x:row r="90" ht="15" hidden="0">
      <x:c r="A90" t="s">
        <x:v>161</x:v>
      </x:c>
      <x:c r="B90" t="s">
        <x:v>162</x:v>
      </x:c>
      <x:c r="C90" t="s">
        <x:v>69</x:v>
      </x:c>
      <x:c r="D90" t="s">
        <x:v>97</x:v>
      </x:c>
      <x:c r="E90" s="26" t="s">
        <x:v>65</x:v>
      </x:c>
      <x:c r="F90" s="34" t="n">
        <x:v>46</x:v>
      </x:c>
      <x:c r="G90" t="n">
        <x:v>69</x:v>
      </x:c>
      <x:c r="H90" s="274" t="n">
        <x:v>46286</x:v>
      </x:c>
      <x:c r="I90" s="274" t="n">
        <x:v>46439</x:v>
      </x:c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3" t="s">
        <x:v>372</x:v>
      </x:c>
      <x:c r="V90" s="73" t="s">
        <x:v>372</x:v>
      </x:c>
      <x:c r="W90" s="73" t="s">
        <x:v>372</x:v>
      </x:c>
      <x:c r="X90" s="73" t="s">
        <x:v>372</x:v>
      </x:c>
      <x:c r="Y90" s="73" t="s">
        <x:v>372</x:v>
      </x:c>
      <x:c r="Z90" s="73" t="s">
        <x:v>372</x:v>
      </x:c>
      <x:c r="AA90" s="73" t="s">
        <x:v>372</x:v>
      </x:c>
      <x:c r="AB90" s="73" t="s">
        <x:v>372</x:v>
      </x:c>
      <x:c r="AC90" s="73" t="s">
        <x:v>372</x:v>
      </x:c>
      <x:c r="AD90" s="73" t="s">
        <x:v>372</x:v>
      </x:c>
      <x:c r="AE90" s="73" t="s">
        <x:v>372</x:v>
      </x:c>
      <x:c r="AF90" s="73" t="s">
        <x:v>372</x:v>
      </x:c>
      <x:c r="AG90" s="73" t="s">
        <x:v>372</x:v>
      </x:c>
      <x:c r="AH90" s="73" t="s">
        <x:v>372</x:v>
      </x:c>
      <x:c r="AI90" s="73" t="s">
        <x:v>372</x:v>
      </x:c>
      <x:c r="AJ90" s="73" t="s">
        <x:v>372</x:v>
      </x:c>
    </x:row>
    <x:row r="91" ht="15" hidden="0">
      <x:c r="A91" t="s">
        <x:v>143</x:v>
      </x:c>
      <x:c r="B91" t="s">
        <x:v>144</x:v>
      </x:c>
      <x:c r="C91" t="s">
        <x:v>70</x:v>
      </x:c>
      <x:c r="D91" t="s">
        <x:v>97</x:v>
      </x:c>
      <x:c r="E91" s="26" t="s">
        <x:v>65</x:v>
      </x:c>
      <x:c r="F91" s="34" t="n">
        <x:v>75.3</x:v>
      </x:c>
      <x:c r="G91" t="n">
        <x:v>76</x:v>
      </x:c>
      <x:c r="H91" s="274" t="n">
        <x:v>46287</x:v>
      </x:c>
      <x:c r="I91" s="274" t="n">
        <x:v>46358</x:v>
      </x:c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3" t="s">
        <x:v>372</x:v>
      </x:c>
      <x:c r="V91" s="73" t="s">
        <x:v>372</x:v>
      </x:c>
      <x:c r="W91" s="73" t="s">
        <x:v>372</x:v>
      </x:c>
      <x:c r="X91" s="73" t="s">
        <x:v>372</x:v>
      </x:c>
      <x:c r="Y91" s="73" t="s">
        <x:v>372</x:v>
      </x:c>
      <x:c r="Z91" s="73" t="s">
        <x:v>372</x:v>
      </x:c>
      <x:c r="AA91" s="73" t="s">
        <x:v>372</x:v>
      </x:c>
      <x:c r="AB91" s="73" t="s">
        <x:v>372</x:v>
      </x:c>
      <x:c r="AC91" s="73" t="s">
        <x:v>372</x:v>
      </x:c>
      <x:c r="AD91" s="73" t="s">
        <x:v>372</x:v>
      </x:c>
      <x:c r="AE91" s="73" t="s">
        <x:v>372</x:v>
      </x:c>
      <x:c r="AF91" s="73" t="s">
        <x:v>372</x:v>
      </x:c>
      <x:c r="AG91" s="72"/>
      <x:c r="AH91" s="72"/>
      <x:c r="AI91" s="72"/>
      <x:c r="AJ91" s="72"/>
    </x:row>
    <x:row r="92" ht="15" hidden="0">
      <x:c r="A92" t="s">
        <x:v>119</x:v>
      </x:c>
      <x:c r="B92" t="s">
        <x:v>89</x:v>
      </x:c>
      <x:c r="C92" t="s">
        <x:v>70</x:v>
      </x:c>
      <x:c r="D92" t="s">
        <x:v>90</x:v>
      </x:c>
      <x:c r="E92" s="26" t="s">
        <x:v>65</x:v>
      </x:c>
      <x:c r="F92" s="34" t="n">
        <x:v>72.3</x:v>
      </x:c>
      <x:c r="G92" t="n">
        <x:v>87</x:v>
      </x:c>
      <x:c r="H92" s="274" t="n">
        <x:v>46288</x:v>
      </x:c>
      <x:c r="I92" s="274" t="n">
        <x:v>46441</x:v>
      </x:c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3" t="s">
        <x:v>372</x:v>
      </x:c>
      <x:c r="W92" s="73" t="s">
        <x:v>372</x:v>
      </x:c>
      <x:c r="X92" s="73" t="s">
        <x:v>372</x:v>
      </x:c>
      <x:c r="Y92" s="73" t="s">
        <x:v>372</x:v>
      </x:c>
      <x:c r="Z92" s="73" t="s">
        <x:v>372</x:v>
      </x:c>
      <x:c r="AA92" s="73" t="s">
        <x:v>372</x:v>
      </x:c>
      <x:c r="AB92" s="73" t="s">
        <x:v>372</x:v>
      </x:c>
      <x:c r="AC92" s="73" t="s">
        <x:v>372</x:v>
      </x:c>
      <x:c r="AD92" s="73" t="s">
        <x:v>372</x:v>
      </x:c>
      <x:c r="AE92" s="73" t="s">
        <x:v>372</x:v>
      </x:c>
      <x:c r="AF92" s="73" t="s">
        <x:v>372</x:v>
      </x:c>
      <x:c r="AG92" s="73" t="s">
        <x:v>372</x:v>
      </x:c>
      <x:c r="AH92" s="73" t="s">
        <x:v>372</x:v>
      </x:c>
      <x:c r="AI92" s="73" t="s">
        <x:v>372</x:v>
      </x:c>
      <x:c r="AJ92" s="73" t="s">
        <x:v>372</x:v>
      </x:c>
    </x:row>
    <x:row r="93" ht="15" hidden="0">
      <x:c r="A93" t="s">
        <x:v>139</x:v>
      </x:c>
      <x:c r="B93" t="s">
        <x:v>140</x:v>
      </x:c>
      <x:c r="C93" t="s">
        <x:v>62</x:v>
      </x:c>
      <x:c r="D93" t="s">
        <x:v>90</x:v>
      </x:c>
      <x:c r="E93" s="26" t="s">
        <x:v>65</x:v>
      </x:c>
      <x:c r="F93" s="34" t="n">
        <x:v>47.2</x:v>
      </x:c>
      <x:c r="G93" t="n">
        <x:v>78</x:v>
      </x:c>
      <x:c r="H93" s="274" t="n">
        <x:v>46289</x:v>
      </x:c>
      <x:c r="I93" s="274" t="n">
        <x:v>46363</x:v>
      </x:c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3" t="s">
        <x:v>372</x:v>
      </x:c>
      <x:c r="W93" s="73" t="s">
        <x:v>372</x:v>
      </x:c>
      <x:c r="X93" s="73" t="s">
        <x:v>372</x:v>
      </x:c>
      <x:c r="Y93" s="73" t="s">
        <x:v>372</x:v>
      </x:c>
      <x:c r="Z93" s="73" t="s">
        <x:v>372</x:v>
      </x:c>
      <x:c r="AA93" s="73" t="s">
        <x:v>372</x:v>
      </x:c>
      <x:c r="AB93" s="73" t="s">
        <x:v>372</x:v>
      </x:c>
      <x:c r="AC93" s="73" t="s">
        <x:v>372</x:v>
      </x:c>
      <x:c r="AD93" s="73" t="s">
        <x:v>372</x:v>
      </x:c>
      <x:c r="AE93" s="73" t="s">
        <x:v>372</x:v>
      </x:c>
      <x:c r="AF93" s="73" t="s">
        <x:v>372</x:v>
      </x:c>
      <x:c r="AG93" s="72"/>
      <x:c r="AH93" s="72"/>
      <x:c r="AI93" s="72"/>
      <x:c r="AJ93" s="72"/>
    </x:row>
    <x:row r="94" ht="15" hidden="0">
      <x:c r="A94" t="s">
        <x:v>141</x:v>
      </x:c>
      <x:c r="B94" t="s">
        <x:v>142</x:v>
      </x:c>
      <x:c r="C94" t="s">
        <x:v>68</x:v>
      </x:c>
      <x:c r="D94" t="s">
        <x:v>97</x:v>
      </x:c>
      <x:c r="E94" s="26" t="s">
        <x:v>65</x:v>
      </x:c>
      <x:c r="F94" s="34" t="n">
        <x:v>71</x:v>
      </x:c>
      <x:c r="G94" t="n">
        <x:v>77</x:v>
      </x:c>
      <x:c r="H94" s="274" t="n">
        <x:v>46290</x:v>
      </x:c>
      <x:c r="I94" s="274" t="n">
        <x:v>46354</x:v>
      </x:c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3" t="s">
        <x:v>372</x:v>
      </x:c>
      <x:c r="W94" s="73" t="s">
        <x:v>372</x:v>
      </x:c>
      <x:c r="X94" s="73" t="s">
        <x:v>372</x:v>
      </x:c>
      <x:c r="Y94" s="73" t="s">
        <x:v>372</x:v>
      </x:c>
      <x:c r="Z94" s="73" t="s">
        <x:v>372</x:v>
      </x:c>
      <x:c r="AA94" s="73" t="s">
        <x:v>372</x:v>
      </x:c>
      <x:c r="AB94" s="73" t="s">
        <x:v>372</x:v>
      </x:c>
      <x:c r="AC94" s="73" t="s">
        <x:v>372</x:v>
      </x:c>
      <x:c r="AD94" s="73" t="s">
        <x:v>372</x:v>
      </x:c>
      <x:c r="AE94" s="73" t="s">
        <x:v>372</x:v>
      </x:c>
      <x:c r="AF94" s="72"/>
      <x:c r="AG94" s="72"/>
      <x:c r="AH94" s="72"/>
      <x:c r="AI94" s="72"/>
      <x:c r="AJ94" s="72"/>
    </x:row>
    <x:row r="95" ht="15" hidden="0">
      <x:c r="A95" t="s">
        <x:v>109</x:v>
      </x:c>
      <x:c r="B95" t="s">
        <x:v>79</x:v>
      </x:c>
      <x:c r="C95" t="s">
        <x:v>68</x:v>
      </x:c>
      <x:c r="D95" t="s">
        <x:v>80</x:v>
      </x:c>
      <x:c r="E95" s="26" t="s">
        <x:v>65</x:v>
      </x:c>
      <x:c r="F95" s="34" t="n">
        <x:v>71.3</x:v>
      </x:c>
      <x:c r="G95" t="n">
        <x:v>92</x:v>
      </x:c>
      <x:c r="H95" s="274" t="n">
        <x:v>46291</x:v>
      </x:c>
      <x:c r="I95" s="274" t="n">
        <x:v>46444</x:v>
      </x:c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3" t="s">
        <x:v>372</x:v>
      </x:c>
      <x:c r="W95" s="73" t="s">
        <x:v>372</x:v>
      </x:c>
      <x:c r="X95" s="73" t="s">
        <x:v>372</x:v>
      </x:c>
      <x:c r="Y95" s="73" t="s">
        <x:v>372</x:v>
      </x:c>
      <x:c r="Z95" s="73" t="s">
        <x:v>372</x:v>
      </x:c>
      <x:c r="AA95" s="73" t="s">
        <x:v>372</x:v>
      </x:c>
      <x:c r="AB95" s="73" t="s">
        <x:v>372</x:v>
      </x:c>
      <x:c r="AC95" s="73" t="s">
        <x:v>372</x:v>
      </x:c>
      <x:c r="AD95" s="73" t="s">
        <x:v>372</x:v>
      </x:c>
      <x:c r="AE95" s="73" t="s">
        <x:v>372</x:v>
      </x:c>
      <x:c r="AF95" s="73" t="s">
        <x:v>372</x:v>
      </x:c>
      <x:c r="AG95" s="73" t="s">
        <x:v>372</x:v>
      </x:c>
      <x:c r="AH95" s="73" t="s">
        <x:v>372</x:v>
      </x:c>
      <x:c r="AI95" s="73" t="s">
        <x:v>372</x:v>
      </x:c>
      <x:c r="AJ95" s="73" t="s">
        <x:v>372</x:v>
      </x:c>
    </x:row>
    <x:row r="96" ht="15" hidden="0">
      <x:c r="A96" t="s">
        <x:v>117</x:v>
      </x:c>
      <x:c r="B96" t="s">
        <x:v>87</x:v>
      </x:c>
      <x:c r="C96" t="s">
        <x:v>62</x:v>
      </x:c>
      <x:c r="D96" t="s">
        <x:v>88</x:v>
      </x:c>
      <x:c r="E96" s="26" t="s">
        <x:v>65</x:v>
      </x:c>
      <x:c r="F96" s="34" t="n">
        <x:v>81.7</x:v>
      </x:c>
      <x:c r="G96" t="n">
        <x:v>88</x:v>
      </x:c>
      <x:c r="H96" s="274" t="n">
        <x:v>46292</x:v>
      </x:c>
      <x:c r="I96" s="274" t="n">
        <x:v>46354</x:v>
      </x:c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3" t="s">
        <x:v>372</x:v>
      </x:c>
      <x:c r="W96" s="73" t="s">
        <x:v>372</x:v>
      </x:c>
      <x:c r="X96" s="73" t="s">
        <x:v>372</x:v>
      </x:c>
      <x:c r="Y96" s="73" t="s">
        <x:v>372</x:v>
      </x:c>
      <x:c r="Z96" s="73" t="s">
        <x:v>372</x:v>
      </x:c>
      <x:c r="AA96" s="73" t="s">
        <x:v>372</x:v>
      </x:c>
      <x:c r="AB96" s="73" t="s">
        <x:v>372</x:v>
      </x:c>
      <x:c r="AC96" s="73" t="s">
        <x:v>372</x:v>
      </x:c>
      <x:c r="AD96" s="73" t="s">
        <x:v>372</x:v>
      </x:c>
      <x:c r="AE96" s="73" t="s">
        <x:v>372</x:v>
      </x:c>
      <x:c r="AF96" s="72"/>
      <x:c r="AG96" s="72"/>
      <x:c r="AH96" s="72"/>
      <x:c r="AI96" s="72"/>
      <x:c r="AJ96" s="72"/>
    </x:row>
    <x:row r="97" ht="15" hidden="0">
      <x:c r="A97" t="s">
        <x:v>300</x:v>
      </x:c>
      <x:c r="B97" t="s">
        <x:v>301</x:v>
      </x:c>
      <x:c r="C97" t="s">
        <x:v>123</x:v>
      </x:c>
      <x:c r="D97" t="s">
        <x:v>193</x:v>
      </x:c>
      <x:c r="E97" s="37" t="s">
        <x:v>63</x:v>
      </x:c>
      <x:c r="F97" s="34" t="n">
        <x:v>83</x:v>
      </x:c>
      <x:c r="G97" t="n">
        <x:v>31</x:v>
      </x:c>
      <x:c r="H97" s="274" t="n">
        <x:v>46293</x:v>
      </x:c>
      <x:c r="I97" s="274" t="n">
        <x:v>46373</x:v>
      </x:c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1" t="s">
        <x:v>372</x:v>
      </x:c>
      <x:c r="W97" s="71" t="s">
        <x:v>372</x:v>
      </x:c>
      <x:c r="X97" s="71" t="s">
        <x:v>372</x:v>
      </x:c>
      <x:c r="Y97" s="71" t="s">
        <x:v>372</x:v>
      </x:c>
      <x:c r="Z97" s="71" t="s">
        <x:v>372</x:v>
      </x:c>
      <x:c r="AA97" s="71" t="s">
        <x:v>372</x:v>
      </x:c>
      <x:c r="AB97" s="71" t="s">
        <x:v>372</x:v>
      </x:c>
      <x:c r="AC97" s="71" t="s">
        <x:v>372</x:v>
      </x:c>
      <x:c r="AD97" s="71" t="s">
        <x:v>372</x:v>
      </x:c>
      <x:c r="AE97" s="71" t="s">
        <x:v>372</x:v>
      </x:c>
      <x:c r="AF97" s="71" t="s">
        <x:v>372</x:v>
      </x:c>
      <x:c r="AG97" s="71" t="s">
        <x:v>372</x:v>
      </x:c>
      <x:c r="AH97" s="71" t="s">
        <x:v>372</x:v>
      </x:c>
      <x:c r="AI97" s="72"/>
      <x:c r="AJ97" s="72"/>
    </x:row>
    <x:row r="98" ht="15" hidden="0">
      <x:c r="A98" t="s">
        <x:v>146</x:v>
      </x:c>
      <x:c r="B98" t="s">
        <x:v>147</x:v>
      </x:c>
      <x:c r="C98" t="s">
        <x:v>66</x:v>
      </x:c>
      <x:c r="D98" t="s">
        <x:v>80</x:v>
      </x:c>
      <x:c r="E98" s="26" t="s">
        <x:v>65</x:v>
      </x:c>
      <x:c r="F98" s="34" t="n">
        <x:v>28.2</x:v>
      </x:c>
      <x:c r="G98" t="n">
        <x:v>76</x:v>
      </x:c>
      <x:c r="H98" s="274" t="n">
        <x:v>46294</x:v>
      </x:c>
      <x:c r="I98" s="274" t="n">
        <x:v>46401</x:v>
      </x:c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3" t="s">
        <x:v>372</x:v>
      </x:c>
      <x:c r="W98" s="73" t="s">
        <x:v>372</x:v>
      </x:c>
      <x:c r="X98" s="73" t="s">
        <x:v>372</x:v>
      </x:c>
      <x:c r="Y98" s="73" t="s">
        <x:v>372</x:v>
      </x:c>
      <x:c r="Z98" s="73" t="s">
        <x:v>372</x:v>
      </x:c>
      <x:c r="AA98" s="73" t="s">
        <x:v>372</x:v>
      </x:c>
      <x:c r="AB98" s="73" t="s">
        <x:v>372</x:v>
      </x:c>
      <x:c r="AC98" s="73" t="s">
        <x:v>372</x:v>
      </x:c>
      <x:c r="AD98" s="73" t="s">
        <x:v>372</x:v>
      </x:c>
      <x:c r="AE98" s="73" t="s">
        <x:v>372</x:v>
      </x:c>
      <x:c r="AF98" s="73" t="s">
        <x:v>372</x:v>
      </x:c>
      <x:c r="AG98" s="73" t="s">
        <x:v>372</x:v>
      </x:c>
      <x:c r="AH98" s="73" t="s">
        <x:v>372</x:v>
      </x:c>
      <x:c r="AI98" s="73" t="s">
        <x:v>372</x:v>
      </x:c>
      <x:c r="AJ98" s="73" t="s">
        <x:v>372</x:v>
      </x:c>
    </x:row>
    <x:row r="99" ht="15" hidden="0">
      <x:c r="A99" t="s">
        <x:v>232</x:v>
      </x:c>
      <x:c r="B99" t="s">
        <x:v>233</x:v>
      </x:c>
      <x:c r="C99" t="s">
        <x:v>66</x:v>
      </x:c>
      <x:c r="D99" t="s">
        <x:v>80</x:v>
      </x:c>
      <x:c r="E99" s="26" t="s">
        <x:v>65</x:v>
      </x:c>
      <x:c r="F99" s="34" t="n">
        <x:v>78.7</x:v>
      </x:c>
      <x:c r="G99" t="n">
        <x:v>28</x:v>
      </x:c>
      <x:c r="H99" s="274" t="n">
        <x:v>46295</x:v>
      </x:c>
      <x:c r="I99" s="274" t="n">
        <x:v>46373</x:v>
      </x:c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3" t="s">
        <x:v>372</x:v>
      </x:c>
      <x:c r="X99" s="73" t="s">
        <x:v>372</x:v>
      </x:c>
      <x:c r="Y99" s="73" t="s">
        <x:v>372</x:v>
      </x:c>
      <x:c r="Z99" s="73" t="s">
        <x:v>372</x:v>
      </x:c>
      <x:c r="AA99" s="73" t="s">
        <x:v>372</x:v>
      </x:c>
      <x:c r="AB99" s="73" t="s">
        <x:v>372</x:v>
      </x:c>
      <x:c r="AC99" s="73" t="s">
        <x:v>372</x:v>
      </x:c>
      <x:c r="AD99" s="73" t="s">
        <x:v>372</x:v>
      </x:c>
      <x:c r="AE99" s="73" t="s">
        <x:v>372</x:v>
      </x:c>
      <x:c r="AF99" s="73" t="s">
        <x:v>372</x:v>
      </x:c>
      <x:c r="AG99" s="73" t="s">
        <x:v>372</x:v>
      </x:c>
      <x:c r="AH99" s="73" t="s">
        <x:v>372</x:v>
      </x:c>
      <x:c r="AI99" s="72"/>
      <x:c r="AJ99" s="72"/>
    </x:row>
    <x:row r="100" ht="15" hidden="0">
      <x:c r="A100" t="s">
        <x:v>198</x:v>
      </x:c>
      <x:c r="B100" t="s">
        <x:v>199</x:v>
      </x:c>
      <x:c r="C100" t="s">
        <x:v>66</x:v>
      </x:c>
      <x:c r="D100" t="s">
        <x:v>97</x:v>
      </x:c>
      <x:c r="E100" s="26" t="s">
        <x:v>65</x:v>
      </x:c>
      <x:c r="F100" s="34" t="n">
        <x:v>30.8</x:v>
      </x:c>
      <x:c r="G100" t="n">
        <x:v>46</x:v>
      </x:c>
      <x:c r="H100" s="274" t="n">
        <x:v>46296</x:v>
      </x:c>
      <x:c r="I100" s="274" t="n">
        <x:v>46357</x:v>
      </x:c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3" t="s">
        <x:v>372</x:v>
      </x:c>
      <x:c r="X100" s="73" t="s">
        <x:v>372</x:v>
      </x:c>
      <x:c r="Y100" s="73" t="s">
        <x:v>372</x:v>
      </x:c>
      <x:c r="Z100" s="73" t="s">
        <x:v>372</x:v>
      </x:c>
      <x:c r="AA100" s="73" t="s">
        <x:v>372</x:v>
      </x:c>
      <x:c r="AB100" s="73" t="s">
        <x:v>372</x:v>
      </x:c>
      <x:c r="AC100" s="73" t="s">
        <x:v>372</x:v>
      </x:c>
      <x:c r="AD100" s="73" t="s">
        <x:v>372</x:v>
      </x:c>
      <x:c r="AE100" s="73" t="s">
        <x:v>372</x:v>
      </x:c>
      <x:c r="AF100" s="72"/>
      <x:c r="AG100" s="72"/>
      <x:c r="AH100" s="72"/>
      <x:c r="AI100" s="72"/>
      <x:c r="AJ100" s="72"/>
    </x:row>
    <x:row r="101" ht="15" hidden="0">
      <x:c r="A101" t="s">
        <x:v>308</x:v>
      </x:c>
      <x:c r="B101" t="s">
        <x:v>309</x:v>
      </x:c>
      <x:c r="C101" t="s">
        <x:v>68</x:v>
      </x:c>
      <x:c r="D101" t="s">
        <x:v>97</x:v>
      </x:c>
      <x:c r="E101" s="37" t="s">
        <x:v>63</x:v>
      </x:c>
      <x:c r="F101" s="34" t="n">
        <x:v>85.3</x:v>
      </x:c>
      <x:c r="G101" t="n">
        <x:v>12</x:v>
      </x:c>
      <x:c r="H101" s="274" t="n">
        <x:v>46297</x:v>
      </x:c>
      <x:c r="I101" s="274" t="n">
        <x:v>46451</x:v>
      </x:c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1" t="s">
        <x:v>372</x:v>
      </x:c>
      <x:c r="X101" s="71" t="s">
        <x:v>372</x:v>
      </x:c>
      <x:c r="Y101" s="71" t="s">
        <x:v>372</x:v>
      </x:c>
      <x:c r="Z101" s="71" t="s">
        <x:v>372</x:v>
      </x:c>
      <x:c r="AA101" s="71" t="s">
        <x:v>372</x:v>
      </x:c>
      <x:c r="AB101" s="71" t="s">
        <x:v>372</x:v>
      </x:c>
      <x:c r="AC101" s="71" t="s">
        <x:v>372</x:v>
      </x:c>
      <x:c r="AD101" s="71" t="s">
        <x:v>372</x:v>
      </x:c>
      <x:c r="AE101" s="71" t="s">
        <x:v>372</x:v>
      </x:c>
      <x:c r="AF101" s="71" t="s">
        <x:v>372</x:v>
      </x:c>
      <x:c r="AG101" s="71" t="s">
        <x:v>372</x:v>
      </x:c>
      <x:c r="AH101" s="71" t="s">
        <x:v>372</x:v>
      </x:c>
      <x:c r="AI101" s="71" t="s">
        <x:v>372</x:v>
      </x:c>
      <x:c r="AJ101" s="71" t="s">
        <x:v>372</x:v>
      </x:c>
    </x:row>
    <x:row r="102" ht="15" hidden="0">
      <x:c r="A102" t="s">
        <x:v>258</x:v>
      </x:c>
      <x:c r="B102" t="s">
        <x:v>259</x:v>
      </x:c>
      <x:c r="C102" t="s">
        <x:v>68</x:v>
      </x:c>
      <x:c r="D102" t="s">
        <x:v>193</x:v>
      </x:c>
      <x:c r="E102" s="36" t="s">
        <x:v>61</x:v>
      </x:c>
      <x:c r="F102" s="34" t="n">
        <x:v>88.5</x:v>
      </x:c>
      <x:c r="G102" t="n">
        <x:v>42</x:v>
      </x:c>
      <x:c r="H102" s="274" t="n">
        <x:v>46298</x:v>
      </x:c>
      <x:c r="I102" s="274" t="n">
        <x:v>46440</x:v>
      </x:c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4" t="s">
        <x:v>372</x:v>
      </x:c>
      <x:c r="X102" s="74" t="s">
        <x:v>372</x:v>
      </x:c>
      <x:c r="Y102" s="74" t="s">
        <x:v>372</x:v>
      </x:c>
      <x:c r="Z102" s="74" t="s">
        <x:v>372</x:v>
      </x:c>
      <x:c r="AA102" s="74" t="s">
        <x:v>372</x:v>
      </x:c>
      <x:c r="AB102" s="74" t="s">
        <x:v>372</x:v>
      </x:c>
      <x:c r="AC102" s="74" t="s">
        <x:v>372</x:v>
      </x:c>
      <x:c r="AD102" s="74" t="s">
        <x:v>372</x:v>
      </x:c>
      <x:c r="AE102" s="74" t="s">
        <x:v>372</x:v>
      </x:c>
      <x:c r="AF102" s="74" t="s">
        <x:v>372</x:v>
      </x:c>
      <x:c r="AG102" s="74" t="s">
        <x:v>372</x:v>
      </x:c>
      <x:c r="AH102" s="74" t="s">
        <x:v>372</x:v>
      </x:c>
      <x:c r="AI102" s="74" t="s">
        <x:v>372</x:v>
      </x:c>
      <x:c r="AJ102" s="74" t="s">
        <x:v>372</x:v>
      </x:c>
    </x:row>
    <x:row r="103" ht="15" hidden="0">
      <x:c r="A103" t="s">
        <x:v>135</x:v>
      </x:c>
      <x:c r="B103" t="s">
        <x:v>136</x:v>
      </x:c>
      <x:c r="C103" t="s">
        <x:v>67</x:v>
      </x:c>
      <x:c r="D103" t="s">
        <x:v>80</x:v>
      </x:c>
      <x:c r="E103" s="26" t="s">
        <x:v>65</x:v>
      </x:c>
      <x:c r="F103" s="34" t="n">
        <x:v>28</x:v>
      </x:c>
      <x:c r="G103" t="n">
        <x:v>79</x:v>
      </x:c>
      <x:c r="H103" s="274" t="n">
        <x:v>46299</x:v>
      </x:c>
      <x:c r="I103" s="274" t="n">
        <x:v>46376</x:v>
      </x:c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3" t="s">
        <x:v>372</x:v>
      </x:c>
      <x:c r="X103" s="73" t="s">
        <x:v>372</x:v>
      </x:c>
      <x:c r="Y103" s="73" t="s">
        <x:v>372</x:v>
      </x:c>
      <x:c r="Z103" s="73" t="s">
        <x:v>372</x:v>
      </x:c>
      <x:c r="AA103" s="73" t="s">
        <x:v>372</x:v>
      </x:c>
      <x:c r="AB103" s="73" t="s">
        <x:v>372</x:v>
      </x:c>
      <x:c r="AC103" s="73" t="s">
        <x:v>372</x:v>
      </x:c>
      <x:c r="AD103" s="73" t="s">
        <x:v>372</x:v>
      </x:c>
      <x:c r="AE103" s="73" t="s">
        <x:v>372</x:v>
      </x:c>
      <x:c r="AF103" s="73" t="s">
        <x:v>372</x:v>
      </x:c>
      <x:c r="AG103" s="73" t="s">
        <x:v>372</x:v>
      </x:c>
      <x:c r="AH103" s="73" t="s">
        <x:v>372</x:v>
      </x:c>
      <x:c r="AI103" s="72"/>
      <x:c r="AJ103" s="72"/>
    </x:row>
    <x:row r="104" ht="15" hidden="0">
      <x:c r="A104" t="s">
        <x:v>177</x:v>
      </x:c>
      <x:c r="B104" t="s">
        <x:v>178</x:v>
      </x:c>
      <x:c r="C104" t="s">
        <x:v>70</x:v>
      </x:c>
      <x:c r="D104" t="s">
        <x:v>84</x:v>
      </x:c>
      <x:c r="E104" s="26" t="s">
        <x:v>65</x:v>
      </x:c>
      <x:c r="F104" s="34" t="n">
        <x:v>45</x:v>
      </x:c>
      <x:c r="G104" t="n">
        <x:v>57</x:v>
      </x:c>
      <x:c r="H104" s="274" t="n">
        <x:v>46300</x:v>
      </x:c>
      <x:c r="I104" s="274" t="n">
        <x:v>46394</x:v>
      </x:c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3" t="s">
        <x:v>372</x:v>
      </x:c>
      <x:c r="X104" s="73" t="s">
        <x:v>372</x:v>
      </x:c>
      <x:c r="Y104" s="73" t="s">
        <x:v>372</x:v>
      </x:c>
      <x:c r="Z104" s="73" t="s">
        <x:v>372</x:v>
      </x:c>
      <x:c r="AA104" s="73" t="s">
        <x:v>372</x:v>
      </x:c>
      <x:c r="AB104" s="73" t="s">
        <x:v>372</x:v>
      </x:c>
      <x:c r="AC104" s="73" t="s">
        <x:v>372</x:v>
      </x:c>
      <x:c r="AD104" s="73" t="s">
        <x:v>372</x:v>
      </x:c>
      <x:c r="AE104" s="73" t="s">
        <x:v>372</x:v>
      </x:c>
      <x:c r="AF104" s="73" t="s">
        <x:v>372</x:v>
      </x:c>
      <x:c r="AG104" s="73" t="s">
        <x:v>372</x:v>
      </x:c>
      <x:c r="AH104" s="73" t="s">
        <x:v>372</x:v>
      </x:c>
      <x:c r="AI104" s="73" t="s">
        <x:v>372</x:v>
      </x:c>
      <x:c r="AJ104" s="73" t="s">
        <x:v>372</x:v>
      </x:c>
    </x:row>
    <x:row r="105" ht="15" hidden="0">
      <x:c r="A105" t="s">
        <x:v>148</x:v>
      </x:c>
      <x:c r="B105" t="s">
        <x:v>149</x:v>
      </x:c>
      <x:c r="C105" t="s">
        <x:v>71</x:v>
      </x:c>
      <x:c r="D105" t="s">
        <x:v>80</x:v>
      </x:c>
      <x:c r="E105" s="26" t="s">
        <x:v>65</x:v>
      </x:c>
      <x:c r="F105" s="34" t="n">
        <x:v>94.8</x:v>
      </x:c>
      <x:c r="G105" t="n">
        <x:v>76</x:v>
      </x:c>
      <x:c r="H105" s="274" t="n">
        <x:v>46301</x:v>
      </x:c>
      <x:c r="I105" s="274" t="n">
        <x:v>46366</x:v>
      </x:c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3" t="s">
        <x:v>372</x:v>
      </x:c>
      <x:c r="X105" s="73" t="s">
        <x:v>372</x:v>
      </x:c>
      <x:c r="Y105" s="73" t="s">
        <x:v>372</x:v>
      </x:c>
      <x:c r="Z105" s="73" t="s">
        <x:v>372</x:v>
      </x:c>
      <x:c r="AA105" s="73" t="s">
        <x:v>372</x:v>
      </x:c>
      <x:c r="AB105" s="73" t="s">
        <x:v>372</x:v>
      </x:c>
      <x:c r="AC105" s="73" t="s">
        <x:v>372</x:v>
      </x:c>
      <x:c r="AD105" s="73" t="s">
        <x:v>372</x:v>
      </x:c>
      <x:c r="AE105" s="73" t="s">
        <x:v>372</x:v>
      </x:c>
      <x:c r="AF105" s="73" t="s">
        <x:v>372</x:v>
      </x:c>
      <x:c r="AG105" s="73" t="s">
        <x:v>372</x:v>
      </x:c>
      <x:c r="AH105" s="72"/>
      <x:c r="AI105" s="72"/>
      <x:c r="AJ105" s="72"/>
    </x:row>
    <x:row r="106" ht="15" hidden="0">
      <x:c r="A106" t="s">
        <x:v>256</x:v>
      </x:c>
      <x:c r="B106" t="s">
        <x:v>257</x:v>
      </x:c>
      <x:c r="C106" t="s">
        <x:v>71</x:v>
      </x:c>
      <x:c r="D106" t="s">
        <x:v>86</x:v>
      </x:c>
      <x:c r="E106" s="26" t="s">
        <x:v>65</x:v>
      </x:c>
      <x:c r="F106" s="34" t="n">
        <x:v>28.8</x:v>
      </x:c>
      <x:c r="G106" t="n">
        <x:v>12</x:v>
      </x:c>
      <x:c r="H106" s="274" t="n">
        <x:v>46302</x:v>
      </x:c>
      <x:c r="I106" s="274" t="n">
        <x:v>46375</x:v>
      </x:c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3" t="s">
        <x:v>372</x:v>
      </x:c>
      <x:c r="Y106" s="73" t="s">
        <x:v>372</x:v>
      </x:c>
      <x:c r="Z106" s="73" t="s">
        <x:v>372</x:v>
      </x:c>
      <x:c r="AA106" s="73" t="s">
        <x:v>372</x:v>
      </x:c>
      <x:c r="AB106" s="73" t="s">
        <x:v>372</x:v>
      </x:c>
      <x:c r="AC106" s="73" t="s">
        <x:v>372</x:v>
      </x:c>
      <x:c r="AD106" s="73" t="s">
        <x:v>372</x:v>
      </x:c>
      <x:c r="AE106" s="73" t="s">
        <x:v>372</x:v>
      </x:c>
      <x:c r="AF106" s="73" t="s">
        <x:v>372</x:v>
      </x:c>
      <x:c r="AG106" s="73" t="s">
        <x:v>372</x:v>
      </x:c>
      <x:c r="AH106" s="73" t="s">
        <x:v>372</x:v>
      </x:c>
      <x:c r="AI106" s="72"/>
      <x:c r="AJ106" s="72"/>
    </x:row>
    <x:row r="107" ht="15" hidden="0">
      <x:c r="A107" t="s">
        <x:v>250</x:v>
      </x:c>
      <x:c r="B107" t="s">
        <x:v>251</x:v>
      </x:c>
      <x:c r="C107" t="s">
        <x:v>68</x:v>
      </x:c>
      <x:c r="D107" t="s">
        <x:v>80</x:v>
      </x:c>
      <x:c r="E107" s="26" t="s">
        <x:v>65</x:v>
      </x:c>
      <x:c r="F107" s="34" t="n">
        <x:v>67.8</x:v>
      </x:c>
      <x:c r="G107" t="n">
        <x:v>16</x:v>
      </x:c>
      <x:c r="H107" s="274" t="n">
        <x:v>46303</x:v>
      </x:c>
      <x:c r="I107" s="274" t="n">
        <x:v>46379</x:v>
      </x:c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3" t="s">
        <x:v>372</x:v>
      </x:c>
      <x:c r="Y107" s="73" t="s">
        <x:v>372</x:v>
      </x:c>
      <x:c r="Z107" s="73" t="s">
        <x:v>372</x:v>
      </x:c>
      <x:c r="AA107" s="73" t="s">
        <x:v>372</x:v>
      </x:c>
      <x:c r="AB107" s="73" t="s">
        <x:v>372</x:v>
      </x:c>
      <x:c r="AC107" s="73" t="s">
        <x:v>372</x:v>
      </x:c>
      <x:c r="AD107" s="73" t="s">
        <x:v>372</x:v>
      </x:c>
      <x:c r="AE107" s="73" t="s">
        <x:v>372</x:v>
      </x:c>
      <x:c r="AF107" s="73" t="s">
        <x:v>372</x:v>
      </x:c>
      <x:c r="AG107" s="73" t="s">
        <x:v>372</x:v>
      </x:c>
      <x:c r="AH107" s="73" t="s">
        <x:v>372</x:v>
      </x:c>
      <x:c r="AI107" s="73" t="s">
        <x:v>372</x:v>
      </x:c>
      <x:c r="AJ107" s="72"/>
    </x:row>
    <x:row r="112" ht="15" hidden="0">
      <x:c r="A112" s="69" t="s">
        <x:v>373</x:v>
      </x:c>
      <x:c r="C112" t="s">
        <x:v>374</x:v>
      </x:c>
      <x:c r="D112" s="75" t="str">
        <x:f aca="0">'03_Project_360'!B6</x:f>
        <x:v>P001</x:v>
      </x:c>
    </x:row>
    <x:row r="114" ht="37.29999923706055" hidden="0">
      <x:c r="A114" s="23" t="s">
        <x:v>336</x:v>
      </x:c>
      <x:c r="B114" s="23" t="s">
        <x:v>337</x:v>
      </x:c>
      <x:c r="C114" s="23" t="s">
        <x:v>338</x:v>
      </x:c>
      <x:c r="D114" s="23" t="s">
        <x:v>339</x:v>
      </x:c>
      <x:c r="E114" s="23" t="s">
        <x:v>100</x:v>
      </x:c>
      <x:c r="F114" s="23" t="s">
        <x:v>370</x:v>
      </x:c>
      <x:c r="G114" s="23" t="s">
        <x:v>342</x:v>
      </x:c>
      <x:c r="H114" s="70" t="n">
        <x:v>46204</x:v>
      </x:c>
      <x:c r="I114" s="70" t="n">
        <x:v>46211</x:v>
      </x:c>
      <x:c r="J114" s="70" t="n">
        <x:v>46218</x:v>
      </x:c>
      <x:c r="K114" s="70" t="n">
        <x:v>46225</x:v>
      </x:c>
      <x:c r="L114" s="70" t="n">
        <x:v>46232</x:v>
      </x:c>
      <x:c r="M114" s="70" t="n">
        <x:v>46239</x:v>
      </x:c>
      <x:c r="N114" s="70" t="n">
        <x:v>46246</x:v>
      </x:c>
      <x:c r="O114" s="70" t="n">
        <x:v>46253</x:v>
      </x:c>
      <x:c r="P114" s="70" t="n">
        <x:v>46260</x:v>
      </x:c>
      <x:c r="Q114" s="70" t="n">
        <x:v>46267</x:v>
      </x:c>
      <x:c r="R114" s="70" t="n">
        <x:v>46274</x:v>
      </x:c>
      <x:c r="S114" s="70" t="n">
        <x:v>46281</x:v>
      </x:c>
      <x:c r="T114" s="70" t="n">
        <x:v>46288</x:v>
      </x:c>
      <x:c r="U114" s="70" t="n">
        <x:v>46295</x:v>
      </x:c>
      <x:c r="V114" s="70" t="n">
        <x:v>46302</x:v>
      </x:c>
      <x:c r="W114" s="70" t="n">
        <x:v>46309</x:v>
      </x:c>
      <x:c r="X114" s="70" t="n">
        <x:v>46316</x:v>
      </x:c>
      <x:c r="Y114" s="70" t="n">
        <x:v>46323</x:v>
      </x:c>
      <x:c r="Z114" s="70" t="n">
        <x:v>46330</x:v>
      </x:c>
      <x:c r="AA114" s="70" t="n">
        <x:v>46337</x:v>
      </x:c>
      <x:c r="AB114" s="70" t="n">
        <x:v>46344</x:v>
      </x:c>
      <x:c r="AC114" s="70" t="n">
        <x:v>46351</x:v>
      </x:c>
      <x:c r="AD114" s="70" t="n">
        <x:v>46358</x:v>
      </x:c>
      <x:c r="AE114" s="70" t="n">
        <x:v>46365</x:v>
      </x:c>
      <x:c r="AF114" s="70" t="n">
        <x:v>46372</x:v>
      </x:c>
      <x:c r="AG114" s="70" t="n">
        <x:v>46379</x:v>
      </x:c>
      <x:c r="AH114" s="70" t="n">
        <x:v>46386</x:v>
      </x:c>
    </x:row>
    <x:row r="115" ht="15" hidden="0">
      <x:c r="A115" t="str">
        <x:f aca="0">IFERROR(INDEX('11_Task_Data'!$C$6:$C$605,MATCH('03_Project_360'!$B$6&amp;TEXT(1,"00"),'11_Task_Data'!$P$6:$P$605,0)),"")</x:f>
        <x:v>Requirements &amp; scope freeze</x:v>
      </x:c>
      <x:c r="B115" t="str">
        <x:f aca="0">IFERROR(INDEX('11_Task_Data'!$D$6:$D$605,MATCH('03_Project_360'!$B$6&amp;TEXT(1,"00"),'11_Task_Data'!$P$6:$P$605,0)),"")</x:f>
        <x:v>Rahul</x:v>
      </x:c>
      <x:c r="C115" t="str">
        <x:f aca="0">IFERROR(INDEX('11_Task_Data'!$F$6:$F$605,MATCH('03_Project_360'!$B$6&amp;TEXT(1,"00"),'11_Task_Data'!$P$6:$P$605,0)),"")</x:f>
        <x:v>High</x:v>
      </x:c>
      <x:c r="D115" t="str">
        <x:f aca="0">IFERROR(INDEX('11_Task_Data'!$J$6:$J$605,MATCH('03_Project_360'!$B$6&amp;TEXT(1,"00"),'11_Task_Data'!$P$6:$P$605,0)),"")</x:f>
        <x:v>In Progress</x:v>
      </x:c>
      <x:c r="E115" s="65" t="n">
        <x:f aca="0">IFERROR(INDEX('11_Task_Data'!$I$6:$I$605,MATCH('03_Project_360'!$B$6&amp;TEXT(1,"00"),'11_Task_Data'!$P$6:$P$605,0)),"")</x:f>
        <x:v>63</x:v>
      </x:c>
      <x:c r="F115" s="64" t="n">
        <x:f aca="0">IFERROR(INDEX('11_Task_Data'!$G$6:$G$605,MATCH('03_Project_360'!$B$6&amp;TEXT(1,"00"),'11_Task_Data'!$P$6:$P$605,0)),"")</x:f>
        <x:v>46204</x:v>
      </x:c>
      <x:c r="G115" s="64" t="n">
        <x:f aca="0">IFERROR(INDEX('11_Task_Data'!$H$6:$H$605,MATCH('03_Project_360'!$B$6&amp;TEXT(1,"00"),'11_Task_Data'!$P$6:$P$605,0)),"")</x:f>
        <x:v>46226</x:v>
      </x:c>
      <x:c r="H115" s="76" t="str">
        <x:f aca="0">IF(AND(H$114&gt;=$F115,H$114&lt;=$G115),"■","")</x:f>
        <x:v>■</x:v>
      </x:c>
      <x:c r="I115" s="76" t="str">
        <x:f aca="0">IF(AND(I$114&gt;=$F115,I$114&lt;=$G115),"■","")</x:f>
        <x:v>■</x:v>
      </x:c>
      <x:c r="J115" s="76" t="str">
        <x:f aca="0">IF(AND(J$114&gt;=$F115,J$114&lt;=$G115),"■","")</x:f>
        <x:v>■</x:v>
      </x:c>
      <x:c r="K115" s="76" t="str">
        <x:f aca="0">IF(AND(K$114&gt;=$F115,K$114&lt;=$G115),"■","")</x:f>
        <x:v>■</x:v>
      </x:c>
      <x:c r="L115" s="76" t="str">
        <x:f aca="0">IF(AND(L$114&gt;=$F115,L$114&lt;=$G115),"■","")</x:f>
      </x:c>
      <x:c r="M115" s="76" t="str">
        <x:f aca="0">IF(AND(M$114&gt;=$F115,M$114&lt;=$G115),"■","")</x:f>
      </x:c>
      <x:c r="N115" s="76" t="str">
        <x:f aca="0">IF(AND(N$114&gt;=$F115,N$114&lt;=$G115),"■","")</x:f>
      </x:c>
      <x:c r="O115" s="76" t="str">
        <x:f aca="0">IF(AND(O$114&gt;=$F115,O$114&lt;=$G115),"■","")</x:f>
      </x:c>
      <x:c r="P115" s="76" t="str">
        <x:f aca="0">IF(AND(P$114&gt;=$F115,P$114&lt;=$G115),"■","")</x:f>
      </x:c>
      <x:c r="Q115" s="76" t="str">
        <x:f aca="0">IF(AND(Q$114&gt;=$F115,Q$114&lt;=$G115),"■","")</x:f>
      </x:c>
      <x:c r="R115" s="76" t="str">
        <x:f aca="0">IF(AND(R$114&gt;=$F115,R$114&lt;=$G115),"■","")</x:f>
      </x:c>
      <x:c r="S115" s="76" t="str">
        <x:f aca="0">IF(AND(S$114&gt;=$F115,S$114&lt;=$G115),"■","")</x:f>
      </x:c>
      <x:c r="T115" s="76" t="str">
        <x:f aca="0">IF(AND(T$114&gt;=$F115,T$114&lt;=$G115),"■","")</x:f>
      </x:c>
      <x:c r="U115" s="76" t="str">
        <x:f aca="0">IF(AND(U$114&gt;=$F115,U$114&lt;=$G115),"■","")</x:f>
      </x:c>
      <x:c r="V115" s="76" t="str">
        <x:f aca="0">IF(AND(V$114&gt;=$F115,V$114&lt;=$G115),"■","")</x:f>
      </x:c>
      <x:c r="W115" s="76" t="str">
        <x:f aca="0">IF(AND(W$114&gt;=$F115,W$114&lt;=$G115),"■","")</x:f>
      </x:c>
      <x:c r="X115" s="76" t="str">
        <x:f aca="0">IF(AND(X$114&gt;=$F115,X$114&lt;=$G115),"■","")</x:f>
      </x:c>
      <x:c r="Y115" s="76" t="str">
        <x:f aca="0">IF(AND(Y$114&gt;=$F115,Y$114&lt;=$G115),"■","")</x:f>
      </x:c>
      <x:c r="Z115" s="76" t="str">
        <x:f aca="0">IF(AND(Z$114&gt;=$F115,Z$114&lt;=$G115),"■","")</x:f>
      </x:c>
      <x:c r="AA115" s="76" t="str">
        <x:f aca="0">IF(AND(AA$114&gt;=$F115,AA$114&lt;=$G115),"■","")</x:f>
      </x:c>
      <x:c r="AB115" s="76" t="str">
        <x:f aca="0">IF(AND(AB$114&gt;=$F115,AB$114&lt;=$G115),"■","")</x:f>
      </x:c>
      <x:c r="AC115" s="76" t="str">
        <x:f aca="0">IF(AND(AC$114&gt;=$F115,AC$114&lt;=$G115),"■","")</x:f>
      </x:c>
      <x:c r="AD115" s="76" t="str">
        <x:f aca="0">IF(AND(AD$114&gt;=$F115,AD$114&lt;=$G115),"■","")</x:f>
      </x:c>
      <x:c r="AE115" s="76" t="str">
        <x:f aca="0">IF(AND(AE$114&gt;=$F115,AE$114&lt;=$G115),"■","")</x:f>
      </x:c>
      <x:c r="AF115" s="76" t="str">
        <x:f aca="0">IF(AND(AF$114&gt;=$F115,AF$114&lt;=$G115),"■","")</x:f>
      </x:c>
      <x:c r="AG115" s="76" t="str">
        <x:f aca="0">IF(AND(AG$114&gt;=$F115,AG$114&lt;=$G115),"■","")</x:f>
      </x:c>
      <x:c r="AH115" s="76" t="str">
        <x:f aca="0">IF(AND(AH$114&gt;=$F115,AH$114&lt;=$G115),"■","")</x:f>
      </x:c>
    </x:row>
    <x:row r="116" ht="15" hidden="0">
      <x:c r="A116" t="str">
        <x:f aca="0">IFERROR(INDEX('11_Task_Data'!$C$6:$C$605,MATCH('03_Project_360'!$B$6&amp;TEXT(2,"00"),'11_Task_Data'!$P$6:$P$605,0)),"")</x:f>
        <x:v>Design / solution</x:v>
      </x:c>
      <x:c r="B116" t="str">
        <x:f aca="0">IFERROR(INDEX('11_Task_Data'!$D$6:$D$605,MATCH('03_Project_360'!$B$6&amp;TEXT(2,"00"),'11_Task_Data'!$P$6:$P$605,0)),"")</x:f>
        <x:v>Karan</x:v>
      </x:c>
      <x:c r="C116" t="str">
        <x:f aca="0">IFERROR(INDEX('11_Task_Data'!$F$6:$F$605,MATCH('03_Project_360'!$B$6&amp;TEXT(2,"00"),'11_Task_Data'!$P$6:$P$605,0)),"")</x:f>
        <x:v>High</x:v>
      </x:c>
      <x:c r="D116" t="str">
        <x:f aca="0">IFERROR(INDEX('11_Task_Data'!$J$6:$J$605,MATCH('03_Project_360'!$B$6&amp;TEXT(2,"00"),'11_Task_Data'!$P$6:$P$605,0)),"")</x:f>
        <x:v>In Progress</x:v>
      </x:c>
      <x:c r="E116" s="65" t="n">
        <x:f aca="0">IFERROR(INDEX('11_Task_Data'!$I$6:$I$605,MATCH('03_Project_360'!$B$6&amp;TEXT(2,"00"),'11_Task_Data'!$P$6:$P$605,0)),"")</x:f>
        <x:v>68</x:v>
      </x:c>
      <x:c r="F116" s="64" t="n">
        <x:f aca="0">IFERROR(INDEX('11_Task_Data'!$G$6:$G$605,MATCH('03_Project_360'!$B$6&amp;TEXT(2,"00"),'11_Task_Data'!$P$6:$P$605,0)),"")</x:f>
        <x:v>46218</x:v>
      </x:c>
      <x:c r="G116" s="64" t="n">
        <x:f aca="0">IFERROR(INDEX('11_Task_Data'!$H$6:$H$605,MATCH('03_Project_360'!$B$6&amp;TEXT(2,"00"),'11_Task_Data'!$P$6:$P$605,0)),"")</x:f>
        <x:v>46238</x:v>
      </x:c>
      <x:c r="H116" s="76" t="str">
        <x:f aca="0">IF(AND(H$114&gt;=$F116,H$114&lt;=$G116),"■","")</x:f>
      </x:c>
      <x:c r="I116" s="76" t="str">
        <x:f aca="0">IF(AND(I$114&gt;=$F116,I$114&lt;=$G116),"■","")</x:f>
      </x:c>
      <x:c r="J116" s="76" t="str">
        <x:f aca="0">IF(AND(J$114&gt;=$F116,J$114&lt;=$G116),"■","")</x:f>
        <x:v>■</x:v>
      </x:c>
      <x:c r="K116" s="76" t="str">
        <x:f aca="0">IF(AND(K$114&gt;=$F116,K$114&lt;=$G116),"■","")</x:f>
        <x:v>■</x:v>
      </x:c>
      <x:c r="L116" s="76" t="str">
        <x:f aca="0">IF(AND(L$114&gt;=$F116,L$114&lt;=$G116),"■","")</x:f>
        <x:v>■</x:v>
      </x:c>
      <x:c r="M116" s="76" t="str">
        <x:f aca="0">IF(AND(M$114&gt;=$F116,M$114&lt;=$G116),"■","")</x:f>
      </x:c>
      <x:c r="N116" s="76" t="str">
        <x:f aca="0">IF(AND(N$114&gt;=$F116,N$114&lt;=$G116),"■","")</x:f>
      </x:c>
      <x:c r="O116" s="76" t="str">
        <x:f aca="0">IF(AND(O$114&gt;=$F116,O$114&lt;=$G116),"■","")</x:f>
      </x:c>
      <x:c r="P116" s="76" t="str">
        <x:f aca="0">IF(AND(P$114&gt;=$F116,P$114&lt;=$G116),"■","")</x:f>
      </x:c>
      <x:c r="Q116" s="76" t="str">
        <x:f aca="0">IF(AND(Q$114&gt;=$F116,Q$114&lt;=$G116),"■","")</x:f>
      </x:c>
      <x:c r="R116" s="76" t="str">
        <x:f aca="0">IF(AND(R$114&gt;=$F116,R$114&lt;=$G116),"■","")</x:f>
      </x:c>
      <x:c r="S116" s="76" t="str">
        <x:f aca="0">IF(AND(S$114&gt;=$F116,S$114&lt;=$G116),"■","")</x:f>
      </x:c>
      <x:c r="T116" s="76" t="str">
        <x:f aca="0">IF(AND(T$114&gt;=$F116,T$114&lt;=$G116),"■","")</x:f>
      </x:c>
      <x:c r="U116" s="76" t="str">
        <x:f aca="0">IF(AND(U$114&gt;=$F116,U$114&lt;=$G116),"■","")</x:f>
      </x:c>
      <x:c r="V116" s="76" t="str">
        <x:f aca="0">IF(AND(V$114&gt;=$F116,V$114&lt;=$G116),"■","")</x:f>
      </x:c>
      <x:c r="W116" s="76" t="str">
        <x:f aca="0">IF(AND(W$114&gt;=$F116,W$114&lt;=$G116),"■","")</x:f>
      </x:c>
      <x:c r="X116" s="76" t="str">
        <x:f aca="0">IF(AND(X$114&gt;=$F116,X$114&lt;=$G116),"■","")</x:f>
      </x:c>
      <x:c r="Y116" s="76" t="str">
        <x:f aca="0">IF(AND(Y$114&gt;=$F116,Y$114&lt;=$G116),"■","")</x:f>
      </x:c>
      <x:c r="Z116" s="76" t="str">
        <x:f aca="0">IF(AND(Z$114&gt;=$F116,Z$114&lt;=$G116),"■","")</x:f>
      </x:c>
      <x:c r="AA116" s="76" t="str">
        <x:f aca="0">IF(AND(AA$114&gt;=$F116,AA$114&lt;=$G116),"■","")</x:f>
      </x:c>
      <x:c r="AB116" s="76" t="str">
        <x:f aca="0">IF(AND(AB$114&gt;=$F116,AB$114&lt;=$G116),"■","")</x:f>
      </x:c>
      <x:c r="AC116" s="76" t="str">
        <x:f aca="0">IF(AND(AC$114&gt;=$F116,AC$114&lt;=$G116),"■","")</x:f>
      </x:c>
      <x:c r="AD116" s="76" t="str">
        <x:f aca="0">IF(AND(AD$114&gt;=$F116,AD$114&lt;=$G116),"■","")</x:f>
      </x:c>
      <x:c r="AE116" s="76" t="str">
        <x:f aca="0">IF(AND(AE$114&gt;=$F116,AE$114&lt;=$G116),"■","")</x:f>
      </x:c>
      <x:c r="AF116" s="76" t="str">
        <x:f aca="0">IF(AND(AF$114&gt;=$F116,AF$114&lt;=$G116),"■","")</x:f>
      </x:c>
      <x:c r="AG116" s="76" t="str">
        <x:f aca="0">IF(AND(AG$114&gt;=$F116,AG$114&lt;=$G116),"■","")</x:f>
      </x:c>
      <x:c r="AH116" s="76" t="str">
        <x:f aca="0">IF(AND(AH$114&gt;=$F116,AH$114&lt;=$G116),"■","")</x:f>
      </x:c>
    </x:row>
    <x:row r="117" ht="15" hidden="0">
      <x:c r="A117" t="str">
        <x:f aca="0">IFERROR(INDEX('11_Task_Data'!$C$6:$C$605,MATCH('03_Project_360'!$B$6&amp;TEXT(3,"00"),'11_Task_Data'!$P$6:$P$605,0)),"")</x:f>
        <x:v>BOM / commercial approval</x:v>
      </x:c>
      <x:c r="B117" t="str">
        <x:f aca="0">IFERROR(INDEX('11_Task_Data'!$D$6:$D$605,MATCH('03_Project_360'!$B$6&amp;TEXT(3,"00"),'11_Task_Data'!$P$6:$P$605,0)),"")</x:f>
        <x:v>Meera</x:v>
      </x:c>
      <x:c r="C117" t="str">
        <x:f aca="0">IFERROR(INDEX('11_Task_Data'!$F$6:$F$605,MATCH('03_Project_360'!$B$6&amp;TEXT(3,"00"),'11_Task_Data'!$P$6:$P$605,0)),"")</x:f>
        <x:v>Critical</x:v>
      </x:c>
      <x:c r="D117" t="str">
        <x:f aca="0">IFERROR(INDEX('11_Task_Data'!$J$6:$J$605,MATCH('03_Project_360'!$B$6&amp;TEXT(3,"00"),'11_Task_Data'!$P$6:$P$605,0)),"")</x:f>
        <x:v>In Progress</x:v>
      </x:c>
      <x:c r="E117" s="65" t="n">
        <x:f aca="0">IFERROR(INDEX('11_Task_Data'!$I$6:$I$605,MATCH('03_Project_360'!$B$6&amp;TEXT(3,"00"),'11_Task_Data'!$P$6:$P$605,0)),"")</x:f>
        <x:v>71</x:v>
      </x:c>
      <x:c r="F117" s="64" t="n">
        <x:f aca="0">IFERROR(INDEX('11_Task_Data'!$G$6:$G$605,MATCH('03_Project_360'!$B$6&amp;TEXT(3,"00"),'11_Task_Data'!$P$6:$P$605,0)),"")</x:f>
        <x:v>46232</x:v>
      </x:c>
      <x:c r="G117" s="64" t="n">
        <x:f aca="0">IFERROR(INDEX('11_Task_Data'!$H$6:$H$605,MATCH('03_Project_360'!$B$6&amp;TEXT(3,"00"),'11_Task_Data'!$P$6:$P$605,0)),"")</x:f>
        <x:v>46248</x:v>
      </x:c>
      <x:c r="H117" s="76" t="str">
        <x:f aca="0">IF(AND(H$114&gt;=$F117,H$114&lt;=$G117),"■","")</x:f>
      </x:c>
      <x:c r="I117" s="76" t="str">
        <x:f aca="0">IF(AND(I$114&gt;=$F117,I$114&lt;=$G117),"■","")</x:f>
      </x:c>
      <x:c r="J117" s="76" t="str">
        <x:f aca="0">IF(AND(J$114&gt;=$F117,J$114&lt;=$G117),"■","")</x:f>
      </x:c>
      <x:c r="K117" s="76" t="str">
        <x:f aca="0">IF(AND(K$114&gt;=$F117,K$114&lt;=$G117),"■","")</x:f>
      </x:c>
      <x:c r="L117" s="76" t="str">
        <x:f aca="0">IF(AND(L$114&gt;=$F117,L$114&lt;=$G117),"■","")</x:f>
        <x:v>■</x:v>
      </x:c>
      <x:c r="M117" s="76" t="str">
        <x:f aca="0">IF(AND(M$114&gt;=$F117,M$114&lt;=$G117),"■","")</x:f>
        <x:v>■</x:v>
      </x:c>
      <x:c r="N117" s="76" t="str">
        <x:f aca="0">IF(AND(N$114&gt;=$F117,N$114&lt;=$G117),"■","")</x:f>
        <x:v>■</x:v>
      </x:c>
      <x:c r="O117" s="76" t="str">
        <x:f aca="0">IF(AND(O$114&gt;=$F117,O$114&lt;=$G117),"■","")</x:f>
      </x:c>
      <x:c r="P117" s="76" t="str">
        <x:f aca="0">IF(AND(P$114&gt;=$F117,P$114&lt;=$G117),"■","")</x:f>
      </x:c>
      <x:c r="Q117" s="76" t="str">
        <x:f aca="0">IF(AND(Q$114&gt;=$F117,Q$114&lt;=$G117),"■","")</x:f>
      </x:c>
      <x:c r="R117" s="76" t="str">
        <x:f aca="0">IF(AND(R$114&gt;=$F117,R$114&lt;=$G117),"■","")</x:f>
      </x:c>
      <x:c r="S117" s="76" t="str">
        <x:f aca="0">IF(AND(S$114&gt;=$F117,S$114&lt;=$G117),"■","")</x:f>
      </x:c>
      <x:c r="T117" s="76" t="str">
        <x:f aca="0">IF(AND(T$114&gt;=$F117,T$114&lt;=$G117),"■","")</x:f>
      </x:c>
      <x:c r="U117" s="76" t="str">
        <x:f aca="0">IF(AND(U$114&gt;=$F117,U$114&lt;=$G117),"■","")</x:f>
      </x:c>
      <x:c r="V117" s="76" t="str">
        <x:f aca="0">IF(AND(V$114&gt;=$F117,V$114&lt;=$G117),"■","")</x:f>
      </x:c>
      <x:c r="W117" s="76" t="str">
        <x:f aca="0">IF(AND(W$114&gt;=$F117,W$114&lt;=$G117),"■","")</x:f>
      </x:c>
      <x:c r="X117" s="76" t="str">
        <x:f aca="0">IF(AND(X$114&gt;=$F117,X$114&lt;=$G117),"■","")</x:f>
      </x:c>
      <x:c r="Y117" s="76" t="str">
        <x:f aca="0">IF(AND(Y$114&gt;=$F117,Y$114&lt;=$G117),"■","")</x:f>
      </x:c>
      <x:c r="Z117" s="76" t="str">
        <x:f aca="0">IF(AND(Z$114&gt;=$F117,Z$114&lt;=$G117),"■","")</x:f>
      </x:c>
      <x:c r="AA117" s="76" t="str">
        <x:f aca="0">IF(AND(AA$114&gt;=$F117,AA$114&lt;=$G117),"■","")</x:f>
      </x:c>
      <x:c r="AB117" s="76" t="str">
        <x:f aca="0">IF(AND(AB$114&gt;=$F117,AB$114&lt;=$G117),"■","")</x:f>
      </x:c>
      <x:c r="AC117" s="76" t="str">
        <x:f aca="0">IF(AND(AC$114&gt;=$F117,AC$114&lt;=$G117),"■","")</x:f>
      </x:c>
      <x:c r="AD117" s="76" t="str">
        <x:f aca="0">IF(AND(AD$114&gt;=$F117,AD$114&lt;=$G117),"■","")</x:f>
      </x:c>
      <x:c r="AE117" s="76" t="str">
        <x:f aca="0">IF(AND(AE$114&gt;=$F117,AE$114&lt;=$G117),"■","")</x:f>
      </x:c>
      <x:c r="AF117" s="76" t="str">
        <x:f aca="0">IF(AND(AF$114&gt;=$F117,AF$114&lt;=$G117),"■","")</x:f>
      </x:c>
      <x:c r="AG117" s="76" t="str">
        <x:f aca="0">IF(AND(AG$114&gt;=$F117,AG$114&lt;=$G117),"■","")</x:f>
      </x:c>
      <x:c r="AH117" s="76" t="str">
        <x:f aca="0">IF(AND(AH$114&gt;=$F117,AH$114&lt;=$G117),"■","")</x:f>
      </x:c>
    </x:row>
    <x:row r="118" ht="15" hidden="0">
      <x:c r="A118" t="str">
        <x:f aca="0">IFERROR(INDEX('11_Task_Data'!$C$6:$C$605,MATCH('03_Project_360'!$B$6&amp;TEXT(4,"00"),'11_Task_Data'!$P$6:$P$605,0)),"")</x:f>
        <x:v>Build / execution</x:v>
      </x:c>
      <x:c r="B118" t="str">
        <x:f aca="0">IFERROR(INDEX('11_Task_Data'!$D$6:$D$605,MATCH('03_Project_360'!$B$6&amp;TEXT(4,"00"),'11_Task_Data'!$P$6:$P$605,0)),"")</x:f>
        <x:v>Vivek</x:v>
      </x:c>
      <x:c r="C118" t="str">
        <x:f aca="0">IFERROR(INDEX('11_Task_Data'!$F$6:$F$605,MATCH('03_Project_360'!$B$6&amp;TEXT(4,"00"),'11_Task_Data'!$P$6:$P$605,0)),"")</x:f>
        <x:v>Critical</x:v>
      </x:c>
      <x:c r="D118" t="str">
        <x:f aca="0">IFERROR(INDEX('11_Task_Data'!$J$6:$J$605,MATCH('03_Project_360'!$B$6&amp;TEXT(4,"00"),'11_Task_Data'!$P$6:$P$605,0)),"")</x:f>
        <x:v>In Progress</x:v>
      </x:c>
      <x:c r="E118" s="65" t="n">
        <x:f aca="0">IFERROR(INDEX('11_Task_Data'!$I$6:$I$605,MATCH('03_Project_360'!$B$6&amp;TEXT(4,"00"),'11_Task_Data'!$P$6:$P$605,0)),"")</x:f>
        <x:v>69</x:v>
      </x:c>
      <x:c r="F118" s="64" t="n">
        <x:f aca="0">IFERROR(INDEX('11_Task_Data'!$G$6:$G$605,MATCH('03_Project_360'!$B$6&amp;TEXT(4,"00"),'11_Task_Data'!$P$6:$P$605,0)),"")</x:f>
        <x:v>46246</x:v>
      </x:c>
      <x:c r="G118" s="64" t="n">
        <x:f aca="0">IFERROR(INDEX('11_Task_Data'!$H$6:$H$605,MATCH('03_Project_360'!$B$6&amp;TEXT(4,"00"),'11_Task_Data'!$P$6:$P$605,0)),"")</x:f>
        <x:v>46270</x:v>
      </x:c>
      <x:c r="H118" s="76" t="str">
        <x:f aca="0">IF(AND(H$114&gt;=$F118,H$114&lt;=$G118),"■","")</x:f>
      </x:c>
      <x:c r="I118" s="76" t="str">
        <x:f aca="0">IF(AND(I$114&gt;=$F118,I$114&lt;=$G118),"■","")</x:f>
      </x:c>
      <x:c r="J118" s="76" t="str">
        <x:f aca="0">IF(AND(J$114&gt;=$F118,J$114&lt;=$G118),"■","")</x:f>
      </x:c>
      <x:c r="K118" s="76" t="str">
        <x:f aca="0">IF(AND(K$114&gt;=$F118,K$114&lt;=$G118),"■","")</x:f>
      </x:c>
      <x:c r="L118" s="76" t="str">
        <x:f aca="0">IF(AND(L$114&gt;=$F118,L$114&lt;=$G118),"■","")</x:f>
      </x:c>
      <x:c r="M118" s="76" t="str">
        <x:f aca="0">IF(AND(M$114&gt;=$F118,M$114&lt;=$G118),"■","")</x:f>
      </x:c>
      <x:c r="N118" s="76" t="str">
        <x:f aca="0">IF(AND(N$114&gt;=$F118,N$114&lt;=$G118),"■","")</x:f>
        <x:v>■</x:v>
      </x:c>
      <x:c r="O118" s="76" t="str">
        <x:f aca="0">IF(AND(O$114&gt;=$F118,O$114&lt;=$G118),"■","")</x:f>
        <x:v>■</x:v>
      </x:c>
      <x:c r="P118" s="76" t="str">
        <x:f aca="0">IF(AND(P$114&gt;=$F118,P$114&lt;=$G118),"■","")</x:f>
        <x:v>■</x:v>
      </x:c>
      <x:c r="Q118" s="76" t="str">
        <x:f aca="0">IF(AND(Q$114&gt;=$F118,Q$114&lt;=$G118),"■","")</x:f>
        <x:v>■</x:v>
      </x:c>
      <x:c r="R118" s="76" t="str">
        <x:f aca="0">IF(AND(R$114&gt;=$F118,R$114&lt;=$G118),"■","")</x:f>
      </x:c>
      <x:c r="S118" s="76" t="str">
        <x:f aca="0">IF(AND(S$114&gt;=$F118,S$114&lt;=$G118),"■","")</x:f>
      </x:c>
      <x:c r="T118" s="76" t="str">
        <x:f aca="0">IF(AND(T$114&gt;=$F118,T$114&lt;=$G118),"■","")</x:f>
      </x:c>
      <x:c r="U118" s="76" t="str">
        <x:f aca="0">IF(AND(U$114&gt;=$F118,U$114&lt;=$G118),"■","")</x:f>
      </x:c>
      <x:c r="V118" s="76" t="str">
        <x:f aca="0">IF(AND(V$114&gt;=$F118,V$114&lt;=$G118),"■","")</x:f>
      </x:c>
      <x:c r="W118" s="76" t="str">
        <x:f aca="0">IF(AND(W$114&gt;=$F118,W$114&lt;=$G118),"■","")</x:f>
      </x:c>
      <x:c r="X118" s="76" t="str">
        <x:f aca="0">IF(AND(X$114&gt;=$F118,X$114&lt;=$G118),"■","")</x:f>
      </x:c>
      <x:c r="Y118" s="76" t="str">
        <x:f aca="0">IF(AND(Y$114&gt;=$F118,Y$114&lt;=$G118),"■","")</x:f>
      </x:c>
      <x:c r="Z118" s="76" t="str">
        <x:f aca="0">IF(AND(Z$114&gt;=$F118,Z$114&lt;=$G118),"■","")</x:f>
      </x:c>
      <x:c r="AA118" s="76" t="str">
        <x:f aca="0">IF(AND(AA$114&gt;=$F118,AA$114&lt;=$G118),"■","")</x:f>
      </x:c>
      <x:c r="AB118" s="76" t="str">
        <x:f aca="0">IF(AND(AB$114&gt;=$F118,AB$114&lt;=$G118),"■","")</x:f>
      </x:c>
      <x:c r="AC118" s="76" t="str">
        <x:f aca="0">IF(AND(AC$114&gt;=$F118,AC$114&lt;=$G118),"■","")</x:f>
      </x:c>
      <x:c r="AD118" s="76" t="str">
        <x:f aca="0">IF(AND(AD$114&gt;=$F118,AD$114&lt;=$G118),"■","")</x:f>
      </x:c>
      <x:c r="AE118" s="76" t="str">
        <x:f aca="0">IF(AND(AE$114&gt;=$F118,AE$114&lt;=$G118),"■","")</x:f>
      </x:c>
      <x:c r="AF118" s="76" t="str">
        <x:f aca="0">IF(AND(AF$114&gt;=$F118,AF$114&lt;=$G118),"■","")</x:f>
      </x:c>
      <x:c r="AG118" s="76" t="str">
        <x:f aca="0">IF(AND(AG$114&gt;=$F118,AG$114&lt;=$G118),"■","")</x:f>
      </x:c>
      <x:c r="AH118" s="76" t="str">
        <x:f aca="0">IF(AND(AH$114&gt;=$F118,AH$114&lt;=$G118),"■","")</x:f>
      </x:c>
    </x:row>
    <x:row r="119" ht="15" hidden="0">
      <x:c r="A119" t="str">
        <x:f aca="0">IFERROR(INDEX('11_Task_Data'!$C$6:$C$605,MATCH('03_Project_360'!$B$6&amp;TEXT(5,"00"),'11_Task_Data'!$P$6:$P$605,0)),"")</x:f>
        <x:v>Testing / validation</x:v>
      </x:c>
      <x:c r="B119" t="str">
        <x:f aca="0">IFERROR(INDEX('11_Task_Data'!$D$6:$D$605,MATCH('03_Project_360'!$B$6&amp;TEXT(5,"00"),'11_Task_Data'!$P$6:$P$605,0)),"")</x:f>
        <x:v>Ritu</x:v>
      </x:c>
      <x:c r="C119" t="str">
        <x:f aca="0">IFERROR(INDEX('11_Task_Data'!$F$6:$F$605,MATCH('03_Project_360'!$B$6&amp;TEXT(5,"00"),'11_Task_Data'!$P$6:$P$605,0)),"")</x:f>
        <x:v>Critical</x:v>
      </x:c>
      <x:c r="D119" t="str">
        <x:f aca="0">IFERROR(INDEX('11_Task_Data'!$J$6:$J$605,MATCH('03_Project_360'!$B$6&amp;TEXT(5,"00"),'11_Task_Data'!$P$6:$P$605,0)),"")</x:f>
        <x:v>In Progress</x:v>
      </x:c>
      <x:c r="E119" s="65" t="n">
        <x:f aca="0">IFERROR(INDEX('11_Task_Data'!$I$6:$I$605,MATCH('03_Project_360'!$B$6&amp;TEXT(5,"00"),'11_Task_Data'!$P$6:$P$605,0)),"")</x:f>
        <x:v>48</x:v>
      </x:c>
      <x:c r="F119" s="64" t="n">
        <x:f aca="0">IFERROR(INDEX('11_Task_Data'!$G$6:$G$605,MATCH('03_Project_360'!$B$6&amp;TEXT(5,"00"),'11_Task_Data'!$P$6:$P$605,0)),"")</x:f>
        <x:v>46260</x:v>
      </x:c>
      <x:c r="G119" s="64" t="n">
        <x:f aca="0">IFERROR(INDEX('11_Task_Data'!$H$6:$H$605,MATCH('03_Project_360'!$B$6&amp;TEXT(5,"00"),'11_Task_Data'!$P$6:$P$605,0)),"")</x:f>
        <x:v>46271</x:v>
      </x:c>
      <x:c r="H119" s="76" t="str">
        <x:f aca="0">IF(AND(H$114&gt;=$F119,H$114&lt;=$G119),"■","")</x:f>
      </x:c>
      <x:c r="I119" s="76" t="str">
        <x:f aca="0">IF(AND(I$114&gt;=$F119,I$114&lt;=$G119),"■","")</x:f>
      </x:c>
      <x:c r="J119" s="76" t="str">
        <x:f aca="0">IF(AND(J$114&gt;=$F119,J$114&lt;=$G119),"■","")</x:f>
      </x:c>
      <x:c r="K119" s="76" t="str">
        <x:f aca="0">IF(AND(K$114&gt;=$F119,K$114&lt;=$G119),"■","")</x:f>
      </x:c>
      <x:c r="L119" s="76" t="str">
        <x:f aca="0">IF(AND(L$114&gt;=$F119,L$114&lt;=$G119),"■","")</x:f>
      </x:c>
      <x:c r="M119" s="76" t="str">
        <x:f aca="0">IF(AND(M$114&gt;=$F119,M$114&lt;=$G119),"■","")</x:f>
      </x:c>
      <x:c r="N119" s="76" t="str">
        <x:f aca="0">IF(AND(N$114&gt;=$F119,N$114&lt;=$G119),"■","")</x:f>
      </x:c>
      <x:c r="O119" s="76" t="str">
        <x:f aca="0">IF(AND(O$114&gt;=$F119,O$114&lt;=$G119),"■","")</x:f>
      </x:c>
      <x:c r="P119" s="76" t="str">
        <x:f aca="0">IF(AND(P$114&gt;=$F119,P$114&lt;=$G119),"■","")</x:f>
        <x:v>■</x:v>
      </x:c>
      <x:c r="Q119" s="76" t="str">
        <x:f aca="0">IF(AND(Q$114&gt;=$F119,Q$114&lt;=$G119),"■","")</x:f>
        <x:v>■</x:v>
      </x:c>
      <x:c r="R119" s="76" t="str">
        <x:f aca="0">IF(AND(R$114&gt;=$F119,R$114&lt;=$G119),"■","")</x:f>
      </x:c>
      <x:c r="S119" s="76" t="str">
        <x:f aca="0">IF(AND(S$114&gt;=$F119,S$114&lt;=$G119),"■","")</x:f>
      </x:c>
      <x:c r="T119" s="76" t="str">
        <x:f aca="0">IF(AND(T$114&gt;=$F119,T$114&lt;=$G119),"■","")</x:f>
      </x:c>
      <x:c r="U119" s="76" t="str">
        <x:f aca="0">IF(AND(U$114&gt;=$F119,U$114&lt;=$G119),"■","")</x:f>
      </x:c>
      <x:c r="V119" s="76" t="str">
        <x:f aca="0">IF(AND(V$114&gt;=$F119,V$114&lt;=$G119),"■","")</x:f>
      </x:c>
      <x:c r="W119" s="76" t="str">
        <x:f aca="0">IF(AND(W$114&gt;=$F119,W$114&lt;=$G119),"■","")</x:f>
      </x:c>
      <x:c r="X119" s="76" t="str">
        <x:f aca="0">IF(AND(X$114&gt;=$F119,X$114&lt;=$G119),"■","")</x:f>
      </x:c>
      <x:c r="Y119" s="76" t="str">
        <x:f aca="0">IF(AND(Y$114&gt;=$F119,Y$114&lt;=$G119),"■","")</x:f>
      </x:c>
      <x:c r="Z119" s="76" t="str">
        <x:f aca="0">IF(AND(Z$114&gt;=$F119,Z$114&lt;=$G119),"■","")</x:f>
      </x:c>
      <x:c r="AA119" s="76" t="str">
        <x:f aca="0">IF(AND(AA$114&gt;=$F119,AA$114&lt;=$G119),"■","")</x:f>
      </x:c>
      <x:c r="AB119" s="76" t="str">
        <x:f aca="0">IF(AND(AB$114&gt;=$F119,AB$114&lt;=$G119),"■","")</x:f>
      </x:c>
      <x:c r="AC119" s="76" t="str">
        <x:f aca="0">IF(AND(AC$114&gt;=$F119,AC$114&lt;=$G119),"■","")</x:f>
      </x:c>
      <x:c r="AD119" s="76" t="str">
        <x:f aca="0">IF(AND(AD$114&gt;=$F119,AD$114&lt;=$G119),"■","")</x:f>
      </x:c>
      <x:c r="AE119" s="76" t="str">
        <x:f aca="0">IF(AND(AE$114&gt;=$F119,AE$114&lt;=$G119),"■","")</x:f>
      </x:c>
      <x:c r="AF119" s="76" t="str">
        <x:f aca="0">IF(AND(AF$114&gt;=$F119,AF$114&lt;=$G119),"■","")</x:f>
      </x:c>
      <x:c r="AG119" s="76" t="str">
        <x:f aca="0">IF(AND(AG$114&gt;=$F119,AG$114&lt;=$G119),"■","")</x:f>
      </x:c>
      <x:c r="AH119" s="76" t="str">
        <x:f aca="0">IF(AND(AH$114&gt;=$F119,AH$114&lt;=$G119),"■","")</x:f>
      </x:c>
    </x:row>
    <x:row r="120" ht="15" hidden="0">
      <x:c r="A120" t="str">
        <x:f aca="0">IFERROR(INDEX('11_Task_Data'!$C$6:$C$605,MATCH('03_Project_360'!$B$6&amp;TEXT(6,"00"),'11_Task_Data'!$P$6:$P$605,0)),"")</x:f>
        <x:v>Customer acceptance</x:v>
      </x:c>
      <x:c r="B120" t="str">
        <x:f aca="0">IFERROR(INDEX('11_Task_Data'!$D$6:$D$605,MATCH('03_Project_360'!$B$6&amp;TEXT(6,"00"),'11_Task_Data'!$P$6:$P$605,0)),"")</x:f>
        <x:v>Sanjay</x:v>
      </x:c>
      <x:c r="C120" t="str">
        <x:f aca="0">IFERROR(INDEX('11_Task_Data'!$F$6:$F$605,MATCH('03_Project_360'!$B$6&amp;TEXT(6,"00"),'11_Task_Data'!$P$6:$P$605,0)),"")</x:f>
        <x:v>Medium</x:v>
      </x:c>
      <x:c r="D120" t="str">
        <x:f aca="0">IFERROR(INDEX('11_Task_Data'!$J$6:$J$605,MATCH('03_Project_360'!$B$6&amp;TEXT(6,"00"),'11_Task_Data'!$P$6:$P$605,0)),"")</x:f>
        <x:v>In Progress</x:v>
      </x:c>
      <x:c r="E120" s="65" t="n">
        <x:f aca="0">IFERROR(INDEX('11_Task_Data'!$I$6:$I$605,MATCH('03_Project_360'!$B$6&amp;TEXT(6,"00"),'11_Task_Data'!$P$6:$P$605,0)),"")</x:f>
        <x:v>72</x:v>
      </x:c>
      <x:c r="F120" s="64" t="n">
        <x:f aca="0">IFERROR(INDEX('11_Task_Data'!$G$6:$G$605,MATCH('03_Project_360'!$B$6&amp;TEXT(6,"00"),'11_Task_Data'!$P$6:$P$605,0)),"")</x:f>
        <x:v>46274</x:v>
      </x:c>
      <x:c r="G120" s="64" t="n">
        <x:f aca="0">IFERROR(INDEX('11_Task_Data'!$H$6:$H$605,MATCH('03_Project_360'!$B$6&amp;TEXT(6,"00"),'11_Task_Data'!$P$6:$P$605,0)),"")</x:f>
        <x:v>46296</x:v>
      </x:c>
      <x:c r="H120" s="76" t="str">
        <x:f aca="0">IF(AND(H$114&gt;=$F120,H$114&lt;=$G120),"■","")</x:f>
      </x:c>
      <x:c r="I120" s="76" t="str">
        <x:f aca="0">IF(AND(I$114&gt;=$F120,I$114&lt;=$G120),"■","")</x:f>
      </x:c>
      <x:c r="J120" s="76" t="str">
        <x:f aca="0">IF(AND(J$114&gt;=$F120,J$114&lt;=$G120),"■","")</x:f>
      </x:c>
      <x:c r="K120" s="76" t="str">
        <x:f aca="0">IF(AND(K$114&gt;=$F120,K$114&lt;=$G120),"■","")</x:f>
      </x:c>
      <x:c r="L120" s="76" t="str">
        <x:f aca="0">IF(AND(L$114&gt;=$F120,L$114&lt;=$G120),"■","")</x:f>
      </x:c>
      <x:c r="M120" s="76" t="str">
        <x:f aca="0">IF(AND(M$114&gt;=$F120,M$114&lt;=$G120),"■","")</x:f>
      </x:c>
      <x:c r="N120" s="76" t="str">
        <x:f aca="0">IF(AND(N$114&gt;=$F120,N$114&lt;=$G120),"■","")</x:f>
      </x:c>
      <x:c r="O120" s="76" t="str">
        <x:f aca="0">IF(AND(O$114&gt;=$F120,O$114&lt;=$G120),"■","")</x:f>
      </x:c>
      <x:c r="P120" s="76" t="str">
        <x:f aca="0">IF(AND(P$114&gt;=$F120,P$114&lt;=$G120),"■","")</x:f>
      </x:c>
      <x:c r="Q120" s="76" t="str">
        <x:f aca="0">IF(AND(Q$114&gt;=$F120,Q$114&lt;=$G120),"■","")</x:f>
      </x:c>
      <x:c r="R120" s="76" t="str">
        <x:f aca="0">IF(AND(R$114&gt;=$F120,R$114&lt;=$G120),"■","")</x:f>
        <x:v>■</x:v>
      </x:c>
      <x:c r="S120" s="76" t="str">
        <x:f aca="0">IF(AND(S$114&gt;=$F120,S$114&lt;=$G120),"■","")</x:f>
        <x:v>■</x:v>
      </x:c>
      <x:c r="T120" s="76" t="str">
        <x:f aca="0">IF(AND(T$114&gt;=$F120,T$114&lt;=$G120),"■","")</x:f>
        <x:v>■</x:v>
      </x:c>
      <x:c r="U120" s="76" t="str">
        <x:f aca="0">IF(AND(U$114&gt;=$F120,U$114&lt;=$G120),"■","")</x:f>
        <x:v>■</x:v>
      </x:c>
      <x:c r="V120" s="76" t="str">
        <x:f aca="0">IF(AND(V$114&gt;=$F120,V$114&lt;=$G120),"■","")</x:f>
      </x:c>
      <x:c r="W120" s="76" t="str">
        <x:f aca="0">IF(AND(W$114&gt;=$F120,W$114&lt;=$G120),"■","")</x:f>
      </x:c>
      <x:c r="X120" s="76" t="str">
        <x:f aca="0">IF(AND(X$114&gt;=$F120,X$114&lt;=$G120),"■","")</x:f>
      </x:c>
      <x:c r="Y120" s="76" t="str">
        <x:f aca="0">IF(AND(Y$114&gt;=$F120,Y$114&lt;=$G120),"■","")</x:f>
      </x:c>
      <x:c r="Z120" s="76" t="str">
        <x:f aca="0">IF(AND(Z$114&gt;=$F120,Z$114&lt;=$G120),"■","")</x:f>
      </x:c>
      <x:c r="AA120" s="76" t="str">
        <x:f aca="0">IF(AND(AA$114&gt;=$F120,AA$114&lt;=$G120),"■","")</x:f>
      </x:c>
      <x:c r="AB120" s="76" t="str">
        <x:f aca="0">IF(AND(AB$114&gt;=$F120,AB$114&lt;=$G120),"■","")</x:f>
      </x:c>
      <x:c r="AC120" s="76" t="str">
        <x:f aca="0">IF(AND(AC$114&gt;=$F120,AC$114&lt;=$G120),"■","")</x:f>
      </x:c>
      <x:c r="AD120" s="76" t="str">
        <x:f aca="0">IF(AND(AD$114&gt;=$F120,AD$114&lt;=$G120),"■","")</x:f>
      </x:c>
      <x:c r="AE120" s="76" t="str">
        <x:f aca="0">IF(AND(AE$114&gt;=$F120,AE$114&lt;=$G120),"■","")</x:f>
      </x:c>
      <x:c r="AF120" s="76" t="str">
        <x:f aca="0">IF(AND(AF$114&gt;=$F120,AF$114&lt;=$G120),"■","")</x:f>
      </x:c>
      <x:c r="AG120" s="76" t="str">
        <x:f aca="0">IF(AND(AG$114&gt;=$F120,AG$114&lt;=$G120),"■","")</x:f>
      </x:c>
      <x:c r="AH120" s="76" t="str">
        <x:f aca="0">IF(AND(AH$114&gt;=$F120,AH$114&lt;=$G120),"■","")</x:f>
      </x:c>
    </x:row>
    <x:row r="122" ht="15" hidden="0">
      <x:c r="A122" s="66" t="s">
        <x:v>375</x:v>
      </x:c>
      <x:c r="B122" s="77" t="s">
        <x:v>376</x:v>
      </x:c>
      <x:c r="C122" s="78" t="s">
        <x:v>377</x:v>
      </x:c>
      <x:c r="D122" s="79" t="s">
        <x:v>378</x:v>
      </x:c>
    </x:row>
  </x:sheetData>
  <x:mergeCells>
    <x:mergeCell ref="A1:AN1"/>
    <x:mergeCell ref="A2:AN2"/>
  </x:mergeCells>
  <x:hyperlinks>
    <x:hyperlink xmlns:r="http://schemas.openxmlformats.org/officeDocument/2006/relationships" ref="A4" r:id="R0a3deb2a32e34b18"/>
    <x:hyperlink xmlns:r="http://schemas.openxmlformats.org/officeDocument/2006/relationships" ref="B4" r:id="R4bb3ead1649247ec"/>
    <x:hyperlink xmlns:r="http://schemas.openxmlformats.org/officeDocument/2006/relationships" ref="C4" r:id="R05c5a81cdd7b4a65"/>
    <x:hyperlink xmlns:r="http://schemas.openxmlformats.org/officeDocument/2006/relationships" ref="D4" r:id="R79c125a55253456b"/>
    <x:hyperlink xmlns:r="http://schemas.openxmlformats.org/officeDocument/2006/relationships" ref="E4" r:id="R95d44590ee874543"/>
    <x:hyperlink xmlns:r="http://schemas.openxmlformats.org/officeDocument/2006/relationships" ref="F4" r:id="Re44bf73fe2544caf"/>
    <x:hyperlink xmlns:r="http://schemas.openxmlformats.org/officeDocument/2006/relationships" ref="G4" r:id="R874f33b91fba4243"/>
    <x:hyperlink xmlns:r="http://schemas.openxmlformats.org/officeDocument/2006/relationships" ref="H4" r:id="Reb629efe43444f15"/>
    <x:hyperlink xmlns:r="http://schemas.openxmlformats.org/officeDocument/2006/relationships" ref="I4" r:id="R42d84389c0bf41c8"/>
    <x:hyperlink xmlns:r="http://schemas.openxmlformats.org/officeDocument/2006/relationships" ref="J4" r:id="R86945d4930914df2"/>
    <x:hyperlink xmlns:r="http://schemas.openxmlformats.org/officeDocument/2006/relationships" ref="K4" r:id="R3296a3ffec194145"/>
    <x:hyperlink xmlns:r="http://schemas.openxmlformats.org/officeDocument/2006/relationships" ref="L4" r:id="Rdca9667d9fc5456d"/>
    <x:hyperlink xmlns:r="http://schemas.openxmlformats.org/officeDocument/2006/relationships" ref="M4" r:id="Rcf3ef5b5fbad4359"/>
  </x:hyperlinks>
  <x:pageMargins left="0.7" right="0.7" top="0.75" bottom="0.75" header="0.3" footer="0.3"/>
  <x:drawing xmlns:r="http://schemas.openxmlformats.org/officeDocument/2006/relationships" r:id="R081a8c50207a4edc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hidden="0" customWidth="1"/>
    <x:col min="2" max="2" width="12" hidden="0" customWidth="1"/>
    <x:col min="3" max="3" width="30" hidden="0" customWidth="1"/>
    <x:col min="4" max="5" width="18" hidden="0" customWidth="1"/>
    <x:col min="6" max="6" width="16" hidden="0" customWidth="1"/>
    <x:col min="7" max="9" width="14" hidden="0" customWidth="1"/>
    <x:col min="10" max="14" width="18" hidden="0" customWidth="1"/>
  </x:cols>
  <x:sheetData>
    <x:row r="1" ht="32" hidden="0" customHeight="1">
      <x:c r="A1" s="309" t="s">
        <x:v>379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09"/>
      <x:c r="N1" s="309"/>
    </x:row>
    <x:row r="2" ht="22" hidden="0" customHeight="1">
      <x:c r="A2" s="209" t="s">
        <x:v>380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09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5" ht="28.350000381469727" hidden="0">
      <x:c r="A5" s="30" t="s">
        <x:v>99</x:v>
      </x:c>
      <x:c r="B5" s="30" t="s">
        <x:v>73</x:v>
      </x:c>
      <x:c r="C5" s="30" t="s">
        <x:v>381</x:v>
      </x:c>
      <x:c r="D5" s="30" t="s">
        <x:v>382</x:v>
      </x:c>
      <x:c r="E5" s="30" t="s">
        <x:v>383</x:v>
      </x:c>
      <x:c r="F5" s="30" t="s">
        <x:v>339</x:v>
      </x:c>
      <x:c r="G5" s="30" t="s">
        <x:v>384</x:v>
      </x:c>
      <x:c r="H5" s="30" t="s">
        <x:v>385</x:v>
      </x:c>
      <x:c r="I5" s="30" t="s">
        <x:v>386</x:v>
      </x:c>
      <x:c r="J5" s="30" t="s">
        <x:v>387</x:v>
      </x:c>
      <x:c r="K5" s="30" t="s">
        <x:v>388</x:v>
      </x:c>
      <x:c r="L5" s="30" t="s">
        <x:v>389</x:v>
      </x:c>
      <x:c r="M5" s="30" t="s">
        <x:v>341</x:v>
      </x:c>
      <x:c r="N5" s="30" t="s">
        <x:v>390</x:v>
      </x:c>
    </x:row>
    <x:row r="6" ht="15" hidden="0">
      <x:c r="A6" t="s">
        <x:v>391</x:v>
      </x:c>
      <x:c r="B6" t="s">
        <x:v>264</x:v>
      </x:c>
      <x:c r="C6" t="s">
        <x:v>392</x:v>
      </x:c>
      <x:c r="D6" t="s">
        <x:v>97</x:v>
      </x:c>
      <x:c r="E6" s="64" t="n">
        <x:v>46271</x:v>
      </x:c>
      <x:c r="F6" s="80" t="s">
        <x:v>393</x:v>
      </x:c>
      <x:c r="G6" t="n">
        <x:v>3</x:v>
      </x:c>
      <x:c r="H6" s="27" t="n">
        <x:v>2.1</x:v>
      </x:c>
      <x:c r="I6" s="27" t="n">
        <x:v>3.6</x:v>
      </x:c>
      <x:c r="J6" t="s">
        <x:v>394</x:v>
      </x:c>
      <x:c r="K6" s="80" t="s">
        <x:v>393</x:v>
      </x:c>
      <x:c r="L6" s="64"/>
      <x:c r="M6" s="81" t="s">
        <x:v>395</x:v>
      </x:c>
      <x:c r="N6" t="s">
        <x:v>396</x:v>
      </x:c>
    </x:row>
    <x:row r="7" ht="15" hidden="0">
      <x:c r="A7" t="s">
        <x:v>397</x:v>
      </x:c>
      <x:c r="B7" t="s">
        <x:v>206</x:v>
      </x:c>
      <x:c r="C7" t="s">
        <x:v>398</x:v>
      </x:c>
      <x:c r="D7" t="s">
        <x:v>160</x:v>
      </x:c>
      <x:c r="E7" s="64" t="n">
        <x:v>46225</x:v>
      </x:c>
      <x:c r="F7" s="80" t="s">
        <x:v>393</x:v>
      </x:c>
      <x:c r="G7" t="n">
        <x:v>49</x:v>
      </x:c>
      <x:c r="H7" s="27" t="n">
        <x:v>3.2</x:v>
      </x:c>
      <x:c r="I7" s="27" t="n">
        <x:v>7.2</x:v>
      </x:c>
      <x:c r="J7" t="s">
        <x:v>394</x:v>
      </x:c>
      <x:c r="K7" s="80" t="s">
        <x:v>393</x:v>
      </x:c>
      <x:c r="L7" s="64"/>
      <x:c r="M7" s="81" t="s">
        <x:v>395</x:v>
      </x:c>
      <x:c r="N7" t="s">
        <x:v>396</x:v>
      </x:c>
    </x:row>
    <x:row r="8" ht="15" hidden="0">
      <x:c r="A8" t="s">
        <x:v>399</x:v>
      </x:c>
      <x:c r="B8" t="s">
        <x:v>236</x:v>
      </x:c>
      <x:c r="C8" t="s">
        <x:v>398</x:v>
      </x:c>
      <x:c r="D8" t="s">
        <x:v>80</x:v>
      </x:c>
      <x:c r="E8" s="64" t="n">
        <x:v>46227</x:v>
      </x:c>
      <x:c r="F8" s="80" t="s">
        <x:v>393</x:v>
      </x:c>
      <x:c r="G8" t="n">
        <x:v>47</x:v>
      </x:c>
      <x:c r="H8" s="27" t="n">
        <x:v>1.1</x:v>
      </x:c>
      <x:c r="I8" s="27" t="n">
        <x:v>3.9</x:v>
      </x:c>
      <x:c r="J8" t="s">
        <x:v>394</x:v>
      </x:c>
      <x:c r="K8" s="80" t="s">
        <x:v>393</x:v>
      </x:c>
      <x:c r="L8" s="64"/>
      <x:c r="M8" s="81" t="s">
        <x:v>395</x:v>
      </x:c>
      <x:c r="N8" t="s">
        <x:v>396</x:v>
      </x:c>
    </x:row>
    <x:row r="9" ht="15" hidden="0">
      <x:c r="A9" t="s">
        <x:v>400</x:v>
      </x:c>
      <x:c r="B9" t="s">
        <x:v>236</x:v>
      </x:c>
      <x:c r="C9" t="s">
        <x:v>401</x:v>
      </x:c>
      <x:c r="D9" t="s">
        <x:v>80</x:v>
      </x:c>
      <x:c r="E9" s="64" t="n">
        <x:v>46248</x:v>
      </x:c>
      <x:c r="F9" s="80" t="s">
        <x:v>393</x:v>
      </x:c>
      <x:c r="G9" t="n">
        <x:v>26</x:v>
      </x:c>
      <x:c r="H9" s="27" t="n">
        <x:v>1.1</x:v>
      </x:c>
      <x:c r="I9" s="27" t="n">
        <x:v>3.9</x:v>
      </x:c>
      <x:c r="J9" t="s">
        <x:v>394</x:v>
      </x:c>
      <x:c r="K9" s="80" t="s">
        <x:v>393</x:v>
      </x:c>
      <x:c r="L9" s="64"/>
      <x:c r="M9" s="81" t="s">
        <x:v>395</x:v>
      </x:c>
      <x:c r="N9" t="s">
        <x:v>396</x:v>
      </x:c>
    </x:row>
    <x:row r="10" ht="15" hidden="0">
      <x:c r="A10" t="s">
        <x:v>402</x:v>
      </x:c>
      <x:c r="B10" t="s">
        <x:v>200</x:v>
      </x:c>
      <x:c r="C10" t="s">
        <x:v>403</x:v>
      </x:c>
      <x:c r="D10" t="s">
        <x:v>132</x:v>
      </x:c>
      <x:c r="E10" s="64" t="n">
        <x:v>46289</x:v>
      </x:c>
      <x:c r="F10" s="80" t="s">
        <x:v>393</x:v>
      </x:c>
      <x:c r="G10" t="n">
        <x:v>1</x:v>
      </x:c>
      <x:c r="H10" s="27" t="n">
        <x:v>2.4</x:v>
      </x:c>
      <x:c r="I10" s="27" t="n">
        <x:v>4.3</x:v>
      </x:c>
      <x:c r="J10" t="s">
        <x:v>394</x:v>
      </x:c>
      <x:c r="K10" s="80" t="s">
        <x:v>393</x:v>
      </x:c>
      <x:c r="L10" s="64"/>
      <x:c r="M10" s="81" t="s">
        <x:v>395</x:v>
      </x:c>
      <x:c r="N10" t="s">
        <x:v>396</x:v>
      </x:c>
    </x:row>
    <x:row r="11" ht="15" hidden="0">
      <x:c r="A11" t="s">
        <x:v>404</x:v>
      </x:c>
      <x:c r="B11" t="s">
        <x:v>296</x:v>
      </x:c>
      <x:c r="C11" t="s">
        <x:v>405</x:v>
      </x:c>
      <x:c r="D11" t="s">
        <x:v>86</x:v>
      </x:c>
      <x:c r="E11" s="64" t="n">
        <x:v>46235</x:v>
      </x:c>
      <x:c r="F11" s="80" t="s">
        <x:v>393</x:v>
      </x:c>
      <x:c r="G11" t="n">
        <x:v>39</x:v>
      </x:c>
      <x:c r="H11" s="27" t="n">
        <x:v>1.1</x:v>
      </x:c>
      <x:c r="I11" s="27" t="n">
        <x:v>3.3</x:v>
      </x:c>
      <x:c r="J11" t="s">
        <x:v>394</x:v>
      </x:c>
      <x:c r="K11" s="80" t="s">
        <x:v>393</x:v>
      </x:c>
      <x:c r="L11" s="64"/>
      <x:c r="M11" s="81" t="s">
        <x:v>395</x:v>
      </x:c>
      <x:c r="N11" t="s">
        <x:v>396</x:v>
      </x:c>
    </x:row>
    <x:row r="12" ht="15" hidden="0">
      <x:c r="A12" t="s">
        <x:v>406</x:v>
      </x:c>
      <x:c r="B12" t="s">
        <x:v>296</x:v>
      </x:c>
      <x:c r="C12" t="s">
        <x:v>392</x:v>
      </x:c>
      <x:c r="D12" t="s">
        <x:v>86</x:v>
      </x:c>
      <x:c r="E12" s="64" t="n">
        <x:v>46288</x:v>
      </x:c>
      <x:c r="F12" s="80" t="s">
        <x:v>393</x:v>
      </x:c>
      <x:c r="G12" t="n">
        <x:v>1</x:v>
      </x:c>
      <x:c r="H12" s="27" t="n">
        <x:v>1.1</x:v>
      </x:c>
      <x:c r="I12" s="27" t="n">
        <x:v>3.3</x:v>
      </x:c>
      <x:c r="J12" t="s">
        <x:v>394</x:v>
      </x:c>
      <x:c r="K12" s="80" t="s">
        <x:v>393</x:v>
      </x:c>
      <x:c r="L12" s="64"/>
      <x:c r="M12" s="81" t="s">
        <x:v>395</x:v>
      </x:c>
      <x:c r="N12" t="s">
        <x:v>396</x:v>
      </x:c>
    </x:row>
    <x:row r="13" ht="15" hidden="0">
      <x:c r="A13" t="s">
        <x:v>407</x:v>
      </x:c>
      <x:c r="B13" t="s">
        <x:v>185</x:v>
      </x:c>
      <x:c r="C13" t="s">
        <x:v>398</x:v>
      </x:c>
      <x:c r="D13" t="s">
        <x:v>97</x:v>
      </x:c>
      <x:c r="E13" s="64" t="n">
        <x:v>46233</x:v>
      </x:c>
      <x:c r="F13" s="80" t="s">
        <x:v>393</x:v>
      </x:c>
      <x:c r="G13" t="n">
        <x:v>41</x:v>
      </x:c>
      <x:c r="H13" s="27" t="n">
        <x:v>2.3</x:v>
      </x:c>
      <x:c r="I13" s="27" t="n">
        <x:v>7.3</x:v>
      </x:c>
      <x:c r="J13" t="s">
        <x:v>394</x:v>
      </x:c>
      <x:c r="K13" s="80" t="s">
        <x:v>393</x:v>
      </x:c>
      <x:c r="L13" s="64"/>
      <x:c r="M13" s="81" t="s">
        <x:v>395</x:v>
      </x:c>
      <x:c r="N13" t="s">
        <x:v>396</x:v>
      </x:c>
    </x:row>
    <x:row r="14" ht="15" hidden="0">
      <x:c r="A14" t="s">
        <x:v>408</x:v>
      </x:c>
      <x:c r="B14" t="s">
        <x:v>185</x:v>
      </x:c>
      <x:c r="C14" t="s">
        <x:v>405</x:v>
      </x:c>
      <x:c r="D14" t="s">
        <x:v>97</x:v>
      </x:c>
      <x:c r="E14" s="64" t="n">
        <x:v>46235</x:v>
      </x:c>
      <x:c r="F14" s="80" t="s">
        <x:v>393</x:v>
      </x:c>
      <x:c r="G14" t="n">
        <x:v>39</x:v>
      </x:c>
      <x:c r="H14" s="27" t="n">
        <x:v>2.3</x:v>
      </x:c>
      <x:c r="I14" s="27" t="n">
        <x:v>7.3</x:v>
      </x:c>
      <x:c r="J14" t="s">
        <x:v>394</x:v>
      </x:c>
      <x:c r="K14" s="80" t="s">
        <x:v>393</x:v>
      </x:c>
      <x:c r="L14" s="64"/>
      <x:c r="M14" s="81" t="s">
        <x:v>395</x:v>
      </x:c>
      <x:c r="N14" t="s">
        <x:v>396</x:v>
      </x:c>
    </x:row>
    <x:row r="15" ht="15" hidden="0">
      <x:c r="A15" t="s">
        <x:v>409</x:v>
      </x:c>
      <x:c r="B15" t="s">
        <x:v>185</x:v>
      </x:c>
      <x:c r="C15" t="s">
        <x:v>392</x:v>
      </x:c>
      <x:c r="D15" t="s">
        <x:v>97</x:v>
      </x:c>
      <x:c r="E15" s="64" t="n">
        <x:v>46285</x:v>
      </x:c>
      <x:c r="F15" s="80" t="s">
        <x:v>393</x:v>
      </x:c>
      <x:c r="G15" t="n">
        <x:v>1</x:v>
      </x:c>
      <x:c r="H15" s="27" t="n">
        <x:v>2.3</x:v>
      </x:c>
      <x:c r="I15" s="27" t="n">
        <x:v>7.3</x:v>
      </x:c>
      <x:c r="J15" t="s">
        <x:v>394</x:v>
      </x:c>
      <x:c r="K15" s="80" t="s">
        <x:v>393</x:v>
      </x:c>
      <x:c r="L15" s="64"/>
      <x:c r="M15" s="81" t="s">
        <x:v>395</x:v>
      </x:c>
      <x:c r="N15" t="s">
        <x:v>396</x:v>
      </x:c>
    </x:row>
    <x:row r="16" ht="15" hidden="0">
      <x:c r="A16" t="s">
        <x:v>410</x:v>
      </x:c>
      <x:c r="B16" t="s">
        <x:v>152</x:v>
      </x:c>
      <x:c r="C16" t="s">
        <x:v>411</x:v>
      </x:c>
      <x:c r="D16" t="s">
        <x:v>97</x:v>
      </x:c>
      <x:c r="E16" s="64" t="n">
        <x:v>46269</x:v>
      </x:c>
      <x:c r="F16" s="80" t="s">
        <x:v>393</x:v>
      </x:c>
      <x:c r="G16" t="n">
        <x:v>5</x:v>
      </x:c>
      <x:c r="H16" s="27" t="n">
        <x:v>2.3</x:v>
      </x:c>
      <x:c r="I16" s="27" t="n">
        <x:v>5.6</x:v>
      </x:c>
      <x:c r="J16" t="s">
        <x:v>394</x:v>
      </x:c>
      <x:c r="K16" s="80" t="s">
        <x:v>393</x:v>
      </x:c>
      <x:c r="L16" s="64"/>
      <x:c r="M16" s="81" t="s">
        <x:v>412</x:v>
      </x:c>
      <x:c r="N16" t="s">
        <x:v>413</x:v>
      </x:c>
    </x:row>
    <x:row r="17" ht="15" hidden="0">
      <x:c r="A17" t="s">
        <x:v>414</x:v>
      </x:c>
      <x:c r="B17" t="s">
        <x:v>152</x:v>
      </x:c>
      <x:c r="C17" t="s">
        <x:v>392</x:v>
      </x:c>
      <x:c r="D17" t="s">
        <x:v>97</x:v>
      </x:c>
      <x:c r="E17" s="64" t="n">
        <x:v>46289</x:v>
      </x:c>
      <x:c r="F17" s="80" t="s">
        <x:v>393</x:v>
      </x:c>
      <x:c r="G17" t="n">
        <x:v>1</x:v>
      </x:c>
      <x:c r="H17" s="27" t="n">
        <x:v>2.3</x:v>
      </x:c>
      <x:c r="I17" s="27" t="n">
        <x:v>5.6</x:v>
      </x:c>
      <x:c r="J17" t="s">
        <x:v>394</x:v>
      </x:c>
      <x:c r="K17" s="80" t="s">
        <x:v>393</x:v>
      </x:c>
      <x:c r="L17" s="64"/>
      <x:c r="M17" s="81" t="s">
        <x:v>412</x:v>
      </x:c>
      <x:c r="N17" t="s">
        <x:v>413</x:v>
      </x:c>
    </x:row>
    <x:row r="18" ht="15" hidden="0">
      <x:c r="A18" t="s">
        <x:v>415</x:v>
      </x:c>
      <x:c r="B18" t="s">
        <x:v>152</x:v>
      </x:c>
      <x:c r="C18" t="s">
        <x:v>403</x:v>
      </x:c>
      <x:c r="D18" t="s">
        <x:v>97</x:v>
      </x:c>
      <x:c r="E18" s="64" t="n">
        <x:v>46292</x:v>
      </x:c>
      <x:c r="F18" s="80" t="s">
        <x:v>393</x:v>
      </x:c>
      <x:c r="G18" t="n">
        <x:v>1</x:v>
      </x:c>
      <x:c r="H18" s="27" t="n">
        <x:v>2.3</x:v>
      </x:c>
      <x:c r="I18" s="27" t="n">
        <x:v>5.6</x:v>
      </x:c>
      <x:c r="J18" t="s">
        <x:v>394</x:v>
      </x:c>
      <x:c r="K18" s="80" t="s">
        <x:v>393</x:v>
      </x:c>
      <x:c r="L18" s="64"/>
      <x:c r="M18" s="81" t="s">
        <x:v>412</x:v>
      </x:c>
      <x:c r="N18" t="s">
        <x:v>413</x:v>
      </x:c>
    </x:row>
    <x:row r="19" ht="15" hidden="0">
      <x:c r="A19" t="s">
        <x:v>416</x:v>
      </x:c>
      <x:c r="B19" t="s">
        <x:v>304</x:v>
      </x:c>
      <x:c r="C19" t="s">
        <x:v>401</x:v>
      </x:c>
      <x:c r="D19" t="s">
        <x:v>80</x:v>
      </x:c>
      <x:c r="E19" s="64" t="n">
        <x:v>46259</x:v>
      </x:c>
      <x:c r="F19" s="80" t="s">
        <x:v>393</x:v>
      </x:c>
      <x:c r="G19" t="n">
        <x:v>15</x:v>
      </x:c>
      <x:c r="H19" s="27" t="n">
        <x:v>3.3</x:v>
      </x:c>
      <x:c r="I19" s="27" t="n">
        <x:v>9.3</x:v>
      </x:c>
      <x:c r="J19" t="s">
        <x:v>394</x:v>
      </x:c>
      <x:c r="K19" s="80" t="s">
        <x:v>393</x:v>
      </x:c>
      <x:c r="L19" s="64"/>
      <x:c r="M19" s="81" t="s">
        <x:v>395</x:v>
      </x:c>
      <x:c r="N19" t="s">
        <x:v>396</x:v>
      </x:c>
    </x:row>
    <x:row r="20" ht="15" hidden="0">
      <x:c r="A20" t="s">
        <x:v>417</x:v>
      </x:c>
      <x:c r="B20" t="s">
        <x:v>179</x:v>
      </x:c>
      <x:c r="C20" t="s">
        <x:v>405</x:v>
      </x:c>
      <x:c r="D20" t="s">
        <x:v>160</x:v>
      </x:c>
      <x:c r="E20" s="64" t="n">
        <x:v>46236</x:v>
      </x:c>
      <x:c r="F20" s="80" t="s">
        <x:v>393</x:v>
      </x:c>
      <x:c r="G20" t="n">
        <x:v>38</x:v>
      </x:c>
      <x:c r="H20" s="27" t="n">
        <x:v>0.8</x:v>
      </x:c>
      <x:c r="I20" s="27" t="n">
        <x:v>1.6</x:v>
      </x:c>
      <x:c r="J20" t="s">
        <x:v>394</x:v>
      </x:c>
      <x:c r="K20" s="80" t="s">
        <x:v>393</x:v>
      </x:c>
      <x:c r="L20" s="64"/>
      <x:c r="M20" s="81" t="s">
        <x:v>395</x:v>
      </x:c>
      <x:c r="N20" t="s">
        <x:v>396</x:v>
      </x:c>
    </x:row>
    <x:row r="21" ht="15" hidden="0">
      <x:c r="A21" t="s">
        <x:v>418</x:v>
      </x:c>
      <x:c r="B21" t="s">
        <x:v>179</x:v>
      </x:c>
      <x:c r="C21" t="s">
        <x:v>403</x:v>
      </x:c>
      <x:c r="D21" t="s">
        <x:v>160</x:v>
      </x:c>
      <x:c r="E21" s="64" t="n">
        <x:v>46295</x:v>
      </x:c>
      <x:c r="F21" s="80" t="s">
        <x:v>393</x:v>
      </x:c>
      <x:c r="G21" t="n">
        <x:v>1</x:v>
      </x:c>
      <x:c r="H21" s="27" t="n">
        <x:v>0.8</x:v>
      </x:c>
      <x:c r="I21" s="27" t="n">
        <x:v>1.6</x:v>
      </x:c>
      <x:c r="J21" t="s">
        <x:v>394</x:v>
      </x:c>
      <x:c r="K21" s="80" t="s">
        <x:v>393</x:v>
      </x:c>
      <x:c r="L21" s="64"/>
      <x:c r="M21" s="81" t="s">
        <x:v>395</x:v>
      </x:c>
      <x:c r="N21" t="s">
        <x:v>396</x:v>
      </x:c>
    </x:row>
    <x:row r="22" ht="15" hidden="0">
      <x:c r="A22" t="s">
        <x:v>419</x:v>
      </x:c>
      <x:c r="B22" t="s">
        <x:v>169</x:v>
      </x:c>
      <x:c r="C22" t="s">
        <x:v>411</x:v>
      </x:c>
      <x:c r="D22" t="s">
        <x:v>86</x:v>
      </x:c>
      <x:c r="E22" s="64" t="n">
        <x:v>46270</x:v>
      </x:c>
      <x:c r="F22" s="80" t="s">
        <x:v>393</x:v>
      </x:c>
      <x:c r="G22" t="n">
        <x:v>4</x:v>
      </x:c>
      <x:c r="H22" s="27" t="n">
        <x:v>1.1</x:v>
      </x:c>
      <x:c r="I22" s="27" t="n">
        <x:v>3.4</x:v>
      </x:c>
      <x:c r="J22" t="s">
        <x:v>394</x:v>
      </x:c>
      <x:c r="K22" s="80" t="s">
        <x:v>393</x:v>
      </x:c>
      <x:c r="L22" s="64"/>
      <x:c r="M22" s="81" t="s">
        <x:v>395</x:v>
      </x:c>
      <x:c r="N22" t="s">
        <x:v>396</x:v>
      </x:c>
    </x:row>
    <x:row r="23" ht="15" hidden="0">
      <x:c r="A23" t="s">
        <x:v>420</x:v>
      </x:c>
      <x:c r="B23" t="s">
        <x:v>130</x:v>
      </x:c>
      <x:c r="C23" t="s">
        <x:v>405</x:v>
      </x:c>
      <x:c r="D23" t="s">
        <x:v>132</x:v>
      </x:c>
      <x:c r="E23" s="64" t="n">
        <x:v>46246</x:v>
      </x:c>
      <x:c r="F23" s="80" t="s">
        <x:v>393</x:v>
      </x:c>
      <x:c r="G23" t="n">
        <x:v>28</x:v>
      </x:c>
      <x:c r="H23" s="27" t="n">
        <x:v>2.3</x:v>
      </x:c>
      <x:c r="I23" s="27" t="n">
        <x:v>7.1</x:v>
      </x:c>
      <x:c r="J23" t="s">
        <x:v>394</x:v>
      </x:c>
      <x:c r="K23" s="80" t="s">
        <x:v>393</x:v>
      </x:c>
      <x:c r="L23" s="64"/>
      <x:c r="M23" s="81" t="s">
        <x:v>395</x:v>
      </x:c>
      <x:c r="N23" t="s">
        <x:v>396</x:v>
      </x:c>
    </x:row>
    <x:row r="24" ht="15" hidden="0">
      <x:c r="A24" t="s">
        <x:v>421</x:v>
      </x:c>
      <x:c r="B24" t="s">
        <x:v>130</x:v>
      </x:c>
      <x:c r="C24" t="s">
        <x:v>411</x:v>
      </x:c>
      <x:c r="D24" t="s">
        <x:v>132</x:v>
      </x:c>
      <x:c r="E24" s="64" t="n">
        <x:v>46274</x:v>
      </x:c>
      <x:c r="F24" s="80" t="s">
        <x:v>393</x:v>
      </x:c>
      <x:c r="G24" t="n">
        <x:v>1</x:v>
      </x:c>
      <x:c r="H24" s="27" t="n">
        <x:v>2.3</x:v>
      </x:c>
      <x:c r="I24" s="27" t="n">
        <x:v>7.1</x:v>
      </x:c>
      <x:c r="J24" t="s">
        <x:v>394</x:v>
      </x:c>
      <x:c r="K24" s="80" t="s">
        <x:v>393</x:v>
      </x:c>
      <x:c r="L24" s="64"/>
      <x:c r="M24" s="81" t="s">
        <x:v>395</x:v>
      </x:c>
      <x:c r="N24" t="s">
        <x:v>396</x:v>
      </x:c>
    </x:row>
    <x:row r="25" ht="15" hidden="0">
      <x:c r="A25" t="s">
        <x:v>422</x:v>
      </x:c>
      <x:c r="B25" t="s">
        <x:v>163</x:v>
      </x:c>
      <x:c r="C25" t="s">
        <x:v>401</x:v>
      </x:c>
      <x:c r="D25" t="s">
        <x:v>97</x:v>
      </x:c>
      <x:c r="E25" s="64" t="n">
        <x:v>46257</x:v>
      </x:c>
      <x:c r="F25" s="80" t="s">
        <x:v>393</x:v>
      </x:c>
      <x:c r="G25" t="n">
        <x:v>17</x:v>
      </x:c>
      <x:c r="H25" s="27" t="n">
        <x:v>2.1</x:v>
      </x:c>
      <x:c r="I25" s="27" t="n">
        <x:v>4.1</x:v>
      </x:c>
      <x:c r="J25" t="s">
        <x:v>394</x:v>
      </x:c>
      <x:c r="K25" s="80" t="s">
        <x:v>393</x:v>
      </x:c>
      <x:c r="L25" s="64"/>
      <x:c r="M25" s="81" t="s">
        <x:v>395</x:v>
      </x:c>
      <x:c r="N25" t="s">
        <x:v>396</x:v>
      </x:c>
    </x:row>
  </x:sheetData>
  <x:mergeCells>
    <x:mergeCell ref="A1:N1"/>
    <x:mergeCell ref="A2:N2"/>
  </x:mergeCells>
  <x:dataValidations count="3">
    <x:dataValidation type="list" errorStyle="stop" operator="between" allowBlank="1" showDropDown="0" showInputMessage="0" showErrorMessage="0" sqref="F6:F25">
      <x:formula1>"Pending,Approved,Rejected,Escalated"</x:formula1>
      <x:formula2>0</x:formula2>
    </x:dataValidation>
    <x:dataValidation type="list" errorStyle="stop" operator="between" allowBlank="1" showDropDown="0" showInputMessage="0" showErrorMessage="0" sqref="K6:K25">
      <x:formula1>"Pending,Approved,Rejected"</x:formula1>
      <x:formula2>0</x:formula2>
    </x:dataValidation>
    <x:dataValidation type="list" errorStyle="stop" operator="between" allowBlank="1" showDropDown="0" showInputMessage="0" showErrorMessage="0" sqref="M6:M25">
      <x:formula1>"YES,NO"</x:formula1>
      <x:formula2>0</x:formula2>
    </x:dataValidation>
  </x:dataValidations>
  <x:hyperlinks>
    <x:hyperlink xmlns:r="http://schemas.openxmlformats.org/officeDocument/2006/relationships" ref="A4" r:id="Ref8793b89f7d4ff9"/>
    <x:hyperlink xmlns:r="http://schemas.openxmlformats.org/officeDocument/2006/relationships" ref="B4" r:id="R5bbecc2ca64e46d9"/>
    <x:hyperlink xmlns:r="http://schemas.openxmlformats.org/officeDocument/2006/relationships" ref="C4" r:id="Rdf1df6f2d00c4f1f"/>
    <x:hyperlink xmlns:r="http://schemas.openxmlformats.org/officeDocument/2006/relationships" ref="D4" r:id="R4804b5043a4a489f"/>
    <x:hyperlink xmlns:r="http://schemas.openxmlformats.org/officeDocument/2006/relationships" ref="E4" r:id="Rfbe15184ef69477f"/>
    <x:hyperlink xmlns:r="http://schemas.openxmlformats.org/officeDocument/2006/relationships" ref="F4" r:id="R0ec4afc74fdd46a1"/>
    <x:hyperlink xmlns:r="http://schemas.openxmlformats.org/officeDocument/2006/relationships" ref="G4" r:id="Ra1d7a3d8dcd54d8e"/>
    <x:hyperlink xmlns:r="http://schemas.openxmlformats.org/officeDocument/2006/relationships" ref="H4" r:id="Ra00ec7fc6d874733"/>
    <x:hyperlink xmlns:r="http://schemas.openxmlformats.org/officeDocument/2006/relationships" ref="I4" r:id="Rb27a8590bca947c6"/>
    <x:hyperlink xmlns:r="http://schemas.openxmlformats.org/officeDocument/2006/relationships" ref="J4" r:id="R598f5ff8c39442ee"/>
    <x:hyperlink xmlns:r="http://schemas.openxmlformats.org/officeDocument/2006/relationships" ref="K4" r:id="Rb03a3cd596b04fb6"/>
    <x:hyperlink xmlns:r="http://schemas.openxmlformats.org/officeDocument/2006/relationships" ref="L4" r:id="R9dee873cfccb4daf"/>
    <x:hyperlink xmlns:r="http://schemas.openxmlformats.org/officeDocument/2006/relationships" ref="M4" r:id="R560fef24c0b84044"/>
  </x:hyperlinks>
  <x:pageMargins left="0.7" right="0.7" top="0.75" bottom="0.75" header="0.3" footer="0.3"/>
  <x:drawing xmlns:r="http://schemas.openxmlformats.org/officeDocument/2006/relationships" r:id="Ra3db9b5ce6ef4bcd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hidden="0" customWidth="1"/>
    <x:col min="2" max="2" width="12" hidden="0" customWidth="1"/>
    <x:col min="3" max="3" width="28" hidden="0" customWidth="1"/>
    <x:col min="4" max="6" width="18" hidden="0" customWidth="1"/>
    <x:col min="7" max="9" width="16" hidden="0" customWidth="1"/>
    <x:col min="10" max="11" width="18" hidden="0" customWidth="1"/>
    <x:col min="12" max="12" width="16" hidden="0" customWidth="1"/>
  </x:cols>
  <x:sheetData>
    <x:row r="1" ht="32" hidden="0" customHeight="1">
      <x:c r="A1" s="309" t="s">
        <x:v>423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11"/>
    </x:row>
    <x:row r="2" ht="22" hidden="0" customHeight="1">
      <x:c r="A2" s="209" t="s">
        <x:v>424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16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5" ht="15" hidden="0">
      <x:c r="A5" s="30" t="s">
        <x:v>99</x:v>
      </x:c>
      <x:c r="B5" s="30" t="s">
        <x:v>73</x:v>
      </x:c>
      <x:c r="C5" s="30" t="s">
        <x:v>425</x:v>
      </x:c>
      <x:c r="D5" s="30" t="s">
        <x:v>426</x:v>
      </x:c>
      <x:c r="E5" s="30" t="s">
        <x:v>427</x:v>
      </x:c>
      <x:c r="F5" s="30" t="s">
        <x:v>342</x:v>
      </x:c>
      <x:c r="G5" s="30" t="s">
        <x:v>339</x:v>
      </x:c>
      <x:c r="H5" s="30" t="s">
        <x:v>428</x:v>
      </x:c>
      <x:c r="I5" s="30" t="s">
        <x:v>429</x:v>
      </x:c>
      <x:c r="J5" s="30" t="s">
        <x:v>430</x:v>
      </x:c>
      <x:c r="K5" s="30" t="s">
        <x:v>431</x:v>
      </x:c>
      <x:c r="L5" s="30" t="s">
        <x:v>365</x:v>
      </x:c>
    </x:row>
    <x:row r="6" ht="15" hidden="0">
      <x:c r="A6" t="s">
        <x:v>432</x:v>
      </x:c>
      <x:c r="B6" t="s">
        <x:v>264</x:v>
      </x:c>
      <x:c r="C6" t="s">
        <x:v>433</x:v>
      </x:c>
      <x:c r="D6" t="s">
        <x:v>434</x:v>
      </x:c>
      <x:c r="E6" t="s">
        <x:v>435</x:v>
      </x:c>
      <x:c r="F6" s="64" t="n">
        <x:v>46226</x:v>
      </x:c>
      <x:c r="G6" s="80" t="s">
        <x:v>436</x:v>
      </x:c>
      <x:c r="H6" t="s">
        <x:v>437</x:v>
      </x:c>
      <x:c r="I6" t="n">
        <x:v>48</x:v>
      </x:c>
      <x:c r="J6" t="s">
        <x:v>412</x:v>
      </x:c>
      <x:c r="K6" t="s">
        <x:v>438</x:v>
      </x:c>
      <x:c r="L6" s="64" t="n">
        <x:v>46274</x:v>
      </x:c>
    </x:row>
    <x:row r="7" ht="15" hidden="0">
      <x:c r="A7" t="s">
        <x:v>439</x:v>
      </x:c>
      <x:c r="B7" t="s">
        <x:v>264</x:v>
      </x:c>
      <x:c r="C7" t="s">
        <x:v>440</x:v>
      </x:c>
      <x:c r="D7" t="s">
        <x:v>441</x:v>
      </x:c>
      <x:c r="E7" t="s">
        <x:v>442</x:v>
      </x:c>
      <x:c r="F7" s="64" t="n">
        <x:v>46238</x:v>
      </x:c>
      <x:c r="G7" s="80" t="s">
        <x:v>436</x:v>
      </x:c>
      <x:c r="H7" t="s">
        <x:v>437</x:v>
      </x:c>
      <x:c r="I7" t="n">
        <x:v>36</x:v>
      </x:c>
      <x:c r="J7" t="s">
        <x:v>412</x:v>
      </x:c>
      <x:c r="K7" t="s">
        <x:v>438</x:v>
      </x:c>
      <x:c r="L7" s="64" t="n">
        <x:v>46274</x:v>
      </x:c>
    </x:row>
    <x:row r="8" ht="15" hidden="0">
      <x:c r="A8" t="s">
        <x:v>443</x:v>
      </x:c>
      <x:c r="B8" t="s">
        <x:v>264</x:v>
      </x:c>
      <x:c r="C8" t="s">
        <x:v>444</x:v>
      </x:c>
      <x:c r="D8" t="s">
        <x:v>445</x:v>
      </x:c>
      <x:c r="E8" t="s">
        <x:v>446</x:v>
      </x:c>
      <x:c r="F8" s="64" t="n">
        <x:v>46248</x:v>
      </x:c>
      <x:c r="G8" s="80" t="s">
        <x:v>436</x:v>
      </x:c>
      <x:c r="H8" t="s">
        <x:v>437</x:v>
      </x:c>
      <x:c r="I8" t="n">
        <x:v>26</x:v>
      </x:c>
      <x:c r="J8" t="s">
        <x:v>412</x:v>
      </x:c>
      <x:c r="K8" t="s">
        <x:v>438</x:v>
      </x:c>
      <x:c r="L8" s="64" t="n">
        <x:v>46274</x:v>
      </x:c>
    </x:row>
    <x:row r="9" ht="15" hidden="0">
      <x:c r="A9" t="s">
        <x:v>447</x:v>
      </x:c>
      <x:c r="B9" t="s">
        <x:v>264</x:v>
      </x:c>
      <x:c r="C9" t="s">
        <x:v>448</x:v>
      </x:c>
      <x:c r="D9" t="s">
        <x:v>435</x:v>
      </x:c>
      <x:c r="E9" t="s">
        <x:v>449</x:v>
      </x:c>
      <x:c r="F9" s="64" t="n">
        <x:v>46270</x:v>
      </x:c>
      <x:c r="G9" s="80" t="s">
        <x:v>436</x:v>
      </x:c>
      <x:c r="H9" t="s">
        <x:v>437</x:v>
      </x:c>
      <x:c r="I9" t="n">
        <x:v>4</x:v>
      </x:c>
      <x:c r="J9" t="s">
        <x:v>412</x:v>
      </x:c>
      <x:c r="K9" t="s">
        <x:v>438</x:v>
      </x:c>
      <x:c r="L9" s="64" t="n">
        <x:v>46274</x:v>
      </x:c>
    </x:row>
    <x:row r="10" ht="15" hidden="0">
      <x:c r="A10" t="s">
        <x:v>450</x:v>
      </x:c>
      <x:c r="B10" t="s">
        <x:v>264</x:v>
      </x:c>
      <x:c r="C10" t="s">
        <x:v>451</x:v>
      </x:c>
      <x:c r="D10" t="s">
        <x:v>442</x:v>
      </x:c>
      <x:c r="E10" t="s">
        <x:v>452</x:v>
      </x:c>
      <x:c r="F10" s="64" t="n">
        <x:v>46271</x:v>
      </x:c>
      <x:c r="G10" s="80" t="s">
        <x:v>436</x:v>
      </x:c>
      <x:c r="H10" t="s">
        <x:v>437</x:v>
      </x:c>
      <x:c r="I10" t="n">
        <x:v>3</x:v>
      </x:c>
      <x:c r="J10" t="s">
        <x:v>412</x:v>
      </x:c>
      <x:c r="K10" t="s">
        <x:v>438</x:v>
      </x:c>
      <x:c r="L10" s="64" t="n">
        <x:v>46274</x:v>
      </x:c>
    </x:row>
    <x:row r="11" ht="15" hidden="0">
      <x:c r="A11" t="s">
        <x:v>453</x:v>
      </x:c>
      <x:c r="B11" t="s">
        <x:v>264</x:v>
      </x:c>
      <x:c r="C11" t="s">
        <x:v>454</x:v>
      </x:c>
      <x:c r="D11" t="s">
        <x:v>446</x:v>
      </x:c>
      <x:c r="E11" t="s">
        <x:v>455</x:v>
      </x:c>
      <x:c r="F11" s="64" t="n">
        <x:v>46296</x:v>
      </x:c>
      <x:c r="G11" s="80" t="s">
        <x:v>436</x:v>
      </x:c>
      <x:c r="H11" t="s">
        <x:v>437</x:v>
      </x:c>
      <x:c r="I11" t="n">
        <x:v>0</x:v>
      </x:c>
      <x:c r="J11" t="s">
        <x:v>395</x:v>
      </x:c>
      <x:c r="K11" t="s">
        <x:v>438</x:v>
      </x:c>
      <x:c r="L11" s="64" t="n">
        <x:v>46274</x:v>
      </x:c>
    </x:row>
    <x:row r="12" ht="15" hidden="0">
      <x:c r="A12" t="s">
        <x:v>456</x:v>
      </x:c>
      <x:c r="B12" t="s">
        <x:v>206</x:v>
      </x:c>
      <x:c r="C12" t="s">
        <x:v>433</x:v>
      </x:c>
      <x:c r="D12" t="s">
        <x:v>441</x:v>
      </x:c>
      <x:c r="E12" t="s">
        <x:v>442</x:v>
      </x:c>
      <x:c r="F12" s="64" t="n">
        <x:v>46225</x:v>
      </x:c>
      <x:c r="G12" s="80" t="s">
        <x:v>436</x:v>
      </x:c>
      <x:c r="H12" t="s">
        <x:v>437</x:v>
      </x:c>
      <x:c r="I12" t="n">
        <x:v>49</x:v>
      </x:c>
      <x:c r="J12" t="s">
        <x:v>412</x:v>
      </x:c>
      <x:c r="K12" t="s">
        <x:v>438</x:v>
      </x:c>
      <x:c r="L12" s="64" t="n">
        <x:v>46274</x:v>
      </x:c>
    </x:row>
    <x:row r="13" ht="15" hidden="0">
      <x:c r="A13" t="s">
        <x:v>457</x:v>
      </x:c>
      <x:c r="B13" t="s">
        <x:v>206</x:v>
      </x:c>
      <x:c r="C13" t="s">
        <x:v>440</x:v>
      </x:c>
      <x:c r="D13" t="s">
        <x:v>445</x:v>
      </x:c>
      <x:c r="E13" t="s">
        <x:v>446</x:v>
      </x:c>
      <x:c r="F13" s="64" t="n">
        <x:v>46243</x:v>
      </x:c>
      <x:c r="G13" s="80" t="s">
        <x:v>436</x:v>
      </x:c>
      <x:c r="H13" t="s">
        <x:v>437</x:v>
      </x:c>
      <x:c r="I13" t="n">
        <x:v>31</x:v>
      </x:c>
      <x:c r="J13" t="s">
        <x:v>412</x:v>
      </x:c>
      <x:c r="K13" t="s">
        <x:v>438</x:v>
      </x:c>
      <x:c r="L13" s="64" t="n">
        <x:v>46274</x:v>
      </x:c>
    </x:row>
    <x:row r="14" ht="15" hidden="0">
      <x:c r="A14" t="s">
        <x:v>458</x:v>
      </x:c>
      <x:c r="B14" t="s">
        <x:v>206</x:v>
      </x:c>
      <x:c r="C14" t="s">
        <x:v>444</x:v>
      </x:c>
      <x:c r="D14" t="s">
        <x:v>435</x:v>
      </x:c>
      <x:c r="E14" t="s">
        <x:v>449</x:v>
      </x:c>
      <x:c r="F14" s="64" t="n">
        <x:v>46244</x:v>
      </x:c>
      <x:c r="G14" s="80" t="s">
        <x:v>436</x:v>
      </x:c>
      <x:c r="H14" t="s">
        <x:v>437</x:v>
      </x:c>
      <x:c r="I14" t="n">
        <x:v>30</x:v>
      </x:c>
      <x:c r="J14" t="s">
        <x:v>412</x:v>
      </x:c>
      <x:c r="K14" t="s">
        <x:v>438</x:v>
      </x:c>
      <x:c r="L14" s="64" t="n">
        <x:v>46274</x:v>
      </x:c>
    </x:row>
    <x:row r="15" ht="15" hidden="0">
      <x:c r="A15" t="s">
        <x:v>459</x:v>
      </x:c>
      <x:c r="B15" t="s">
        <x:v>206</x:v>
      </x:c>
      <x:c r="C15" t="s">
        <x:v>448</x:v>
      </x:c>
      <x:c r="D15" t="s">
        <x:v>442</x:v>
      </x:c>
      <x:c r="E15" t="s">
        <x:v>452</x:v>
      </x:c>
      <x:c r="F15" s="64" t="n">
        <x:v>46262</x:v>
      </x:c>
      <x:c r="G15" s="80" t="s">
        <x:v>436</x:v>
      </x:c>
      <x:c r="H15" t="s">
        <x:v>437</x:v>
      </x:c>
      <x:c r="I15" t="n">
        <x:v>12</x:v>
      </x:c>
      <x:c r="J15" t="s">
        <x:v>412</x:v>
      </x:c>
      <x:c r="K15" t="s">
        <x:v>438</x:v>
      </x:c>
      <x:c r="L15" s="64" t="n">
        <x:v>46274</x:v>
      </x:c>
    </x:row>
    <x:row r="16" ht="15" hidden="0">
      <x:c r="A16" t="s">
        <x:v>460</x:v>
      </x:c>
      <x:c r="B16" t="s">
        <x:v>206</x:v>
      </x:c>
      <x:c r="C16" t="s">
        <x:v>451</x:v>
      </x:c>
      <x:c r="D16" t="s">
        <x:v>446</x:v>
      </x:c>
      <x:c r="E16" t="s">
        <x:v>455</x:v>
      </x:c>
      <x:c r="F16" s="64" t="n">
        <x:v>46281</x:v>
      </x:c>
      <x:c r="G16" s="80" t="s">
        <x:v>436</x:v>
      </x:c>
      <x:c r="H16" t="s">
        <x:v>437</x:v>
      </x:c>
      <x:c r="I16" t="n">
        <x:v>0</x:v>
      </x:c>
      <x:c r="J16" t="s">
        <x:v>412</x:v>
      </x:c>
      <x:c r="K16" t="s">
        <x:v>438</x:v>
      </x:c>
      <x:c r="L16" s="64" t="n">
        <x:v>46274</x:v>
      </x:c>
    </x:row>
    <x:row r="17" ht="15" hidden="0">
      <x:c r="A17" t="s">
        <x:v>461</x:v>
      </x:c>
      <x:c r="B17" t="s">
        <x:v>206</x:v>
      </x:c>
      <x:c r="C17" t="s">
        <x:v>454</x:v>
      </x:c>
      <x:c r="D17" t="s">
        <x:v>449</x:v>
      </x:c>
      <x:c r="E17" t="s">
        <x:v>462</x:v>
      </x:c>
      <x:c r="F17" s="64" t="n">
        <x:v>46290</x:v>
      </x:c>
      <x:c r="G17" s="80" t="s">
        <x:v>436</x:v>
      </x:c>
      <x:c r="H17" t="s">
        <x:v>437</x:v>
      </x:c>
      <x:c r="I17" t="n">
        <x:v>0</x:v>
      </x:c>
      <x:c r="J17" t="s">
        <x:v>395</x:v>
      </x:c>
      <x:c r="K17" t="s">
        <x:v>438</x:v>
      </x:c>
      <x:c r="L17" s="64" t="n">
        <x:v>46274</x:v>
      </x:c>
    </x:row>
    <x:row r="18" ht="15" hidden="0">
      <x:c r="A18" t="s">
        <x:v>463</x:v>
      </x:c>
      <x:c r="B18" t="s">
        <x:v>236</x:v>
      </x:c>
      <x:c r="C18" t="s">
        <x:v>433</x:v>
      </x:c>
      <x:c r="D18" t="s">
        <x:v>445</x:v>
      </x:c>
      <x:c r="E18" t="s">
        <x:v>446</x:v>
      </x:c>
      <x:c r="F18" s="64" t="n">
        <x:v>46227</x:v>
      </x:c>
      <x:c r="G18" s="80" t="s">
        <x:v>436</x:v>
      </x:c>
      <x:c r="H18" t="s">
        <x:v>437</x:v>
      </x:c>
      <x:c r="I18" t="n">
        <x:v>47</x:v>
      </x:c>
      <x:c r="J18" t="s">
        <x:v>412</x:v>
      </x:c>
      <x:c r="K18" t="s">
        <x:v>438</x:v>
      </x:c>
      <x:c r="L18" s="64" t="n">
        <x:v>46274</x:v>
      </x:c>
    </x:row>
    <x:row r="19" ht="15" hidden="0">
      <x:c r="A19" t="s">
        <x:v>464</x:v>
      </x:c>
      <x:c r="B19" t="s">
        <x:v>236</x:v>
      </x:c>
      <x:c r="C19" t="s">
        <x:v>440</x:v>
      </x:c>
      <x:c r="D19" t="s">
        <x:v>435</x:v>
      </x:c>
      <x:c r="E19" t="s">
        <x:v>449</x:v>
      </x:c>
      <x:c r="F19" s="64" t="n">
        <x:v>46230</x:v>
      </x:c>
      <x:c r="G19" s="80" t="s">
        <x:v>436</x:v>
      </x:c>
      <x:c r="H19" t="s">
        <x:v>437</x:v>
      </x:c>
      <x:c r="I19" t="n">
        <x:v>44</x:v>
      </x:c>
      <x:c r="J19" t="s">
        <x:v>412</x:v>
      </x:c>
      <x:c r="K19" t="s">
        <x:v>438</x:v>
      </x:c>
      <x:c r="L19" s="64" t="n">
        <x:v>46274</x:v>
      </x:c>
    </x:row>
    <x:row r="20" ht="15" hidden="0">
      <x:c r="A20" t="s">
        <x:v>465</x:v>
      </x:c>
      <x:c r="B20" t="s">
        <x:v>236</x:v>
      </x:c>
      <x:c r="C20" t="s">
        <x:v>444</x:v>
      </x:c>
      <x:c r="D20" t="s">
        <x:v>442</x:v>
      </x:c>
      <x:c r="E20" t="s">
        <x:v>452</x:v>
      </x:c>
      <x:c r="F20" s="64" t="n">
        <x:v>46248</x:v>
      </x:c>
      <x:c r="G20" s="80" t="s">
        <x:v>436</x:v>
      </x:c>
      <x:c r="H20" t="s">
        <x:v>437</x:v>
      </x:c>
      <x:c r="I20" t="n">
        <x:v>26</x:v>
      </x:c>
      <x:c r="J20" t="s">
        <x:v>395</x:v>
      </x:c>
      <x:c r="K20" t="s">
        <x:v>438</x:v>
      </x:c>
      <x:c r="L20" s="64" t="n">
        <x:v>46274</x:v>
      </x:c>
    </x:row>
    <x:row r="21" ht="15" hidden="0">
      <x:c r="A21" t="s">
        <x:v>466</x:v>
      </x:c>
      <x:c r="B21" t="s">
        <x:v>236</x:v>
      </x:c>
      <x:c r="C21" t="s">
        <x:v>448</x:v>
      </x:c>
      <x:c r="D21" t="s">
        <x:v>446</x:v>
      </x:c>
      <x:c r="E21" t="s">
        <x:v>455</x:v>
      </x:c>
      <x:c r="F21" s="64" t="n">
        <x:v>46272</x:v>
      </x:c>
      <x:c r="G21" s="80" t="s">
        <x:v>436</x:v>
      </x:c>
      <x:c r="H21" t="s">
        <x:v>437</x:v>
      </x:c>
      <x:c r="I21" t="n">
        <x:v>2</x:v>
      </x:c>
      <x:c r="J21" t="s">
        <x:v>412</x:v>
      </x:c>
      <x:c r="K21" t="s">
        <x:v>438</x:v>
      </x:c>
      <x:c r="L21" s="64" t="n">
        <x:v>46274</x:v>
      </x:c>
    </x:row>
    <x:row r="22" ht="15" hidden="0">
      <x:c r="A22" t="s">
        <x:v>467</x:v>
      </x:c>
      <x:c r="B22" t="s">
        <x:v>236</x:v>
      </x:c>
      <x:c r="C22" t="s">
        <x:v>451</x:v>
      </x:c>
      <x:c r="D22" t="s">
        <x:v>449</x:v>
      </x:c>
      <x:c r="E22" t="s">
        <x:v>462</x:v>
      </x:c>
      <x:c r="F22" s="64" t="n">
        <x:v>46271</x:v>
      </x:c>
      <x:c r="G22" s="80" t="s">
        <x:v>436</x:v>
      </x:c>
      <x:c r="H22" t="s">
        <x:v>437</x:v>
      </x:c>
      <x:c r="I22" t="n">
        <x:v>3</x:v>
      </x:c>
      <x:c r="J22" t="s">
        <x:v>412</x:v>
      </x:c>
      <x:c r="K22" t="s">
        <x:v>438</x:v>
      </x:c>
      <x:c r="L22" s="64" t="n">
        <x:v>46274</x:v>
      </x:c>
    </x:row>
    <x:row r="23" ht="15" hidden="0">
      <x:c r="A23" t="s">
        <x:v>468</x:v>
      </x:c>
      <x:c r="B23" t="s">
        <x:v>236</x:v>
      </x:c>
      <x:c r="C23" t="s">
        <x:v>454</x:v>
      </x:c>
      <x:c r="D23" t="s">
        <x:v>452</x:v>
      </x:c>
      <x:c r="E23" t="s">
        <x:v>360</x:v>
      </x:c>
      <x:c r="F23" s="64" t="n">
        <x:v>46296</x:v>
      </x:c>
      <x:c r="G23" s="80" t="s">
        <x:v>436</x:v>
      </x:c>
      <x:c r="H23" t="s">
        <x:v>437</x:v>
      </x:c>
      <x:c r="I23" t="n">
        <x:v>0</x:v>
      </x:c>
      <x:c r="J23" t="s">
        <x:v>395</x:v>
      </x:c>
      <x:c r="K23" t="s">
        <x:v>438</x:v>
      </x:c>
      <x:c r="L23" s="64" t="n">
        <x:v>46274</x:v>
      </x:c>
    </x:row>
    <x:row r="24" ht="15" hidden="0">
      <x:c r="A24" t="s">
        <x:v>469</x:v>
      </x:c>
      <x:c r="B24" t="s">
        <x:v>200</x:v>
      </x:c>
      <x:c r="C24" t="s">
        <x:v>433</x:v>
      </x:c>
      <x:c r="D24" t="s">
        <x:v>435</x:v>
      </x:c>
      <x:c r="E24" t="s">
        <x:v>449</x:v>
      </x:c>
      <x:c r="F24" s="64" t="n">
        <x:v>46222</x:v>
      </x:c>
      <x:c r="G24" s="80" t="s">
        <x:v>436</x:v>
      </x:c>
      <x:c r="H24" t="s">
        <x:v>437</x:v>
      </x:c>
      <x:c r="I24" t="n">
        <x:v>52</x:v>
      </x:c>
      <x:c r="J24" t="s">
        <x:v>412</x:v>
      </x:c>
      <x:c r="K24" t="s">
        <x:v>438</x:v>
      </x:c>
      <x:c r="L24" s="64" t="n">
        <x:v>46274</x:v>
      </x:c>
    </x:row>
    <x:row r="25" ht="15" hidden="0">
      <x:c r="A25" t="s">
        <x:v>470</x:v>
      </x:c>
      <x:c r="B25" t="s">
        <x:v>200</x:v>
      </x:c>
      <x:c r="C25" t="s">
        <x:v>440</x:v>
      </x:c>
      <x:c r="D25" t="s">
        <x:v>442</x:v>
      </x:c>
      <x:c r="E25" t="s">
        <x:v>452</x:v>
      </x:c>
      <x:c r="F25" s="64" t="n">
        <x:v>46232</x:v>
      </x:c>
      <x:c r="G25" s="80" t="s">
        <x:v>436</x:v>
      </x:c>
      <x:c r="H25" t="s">
        <x:v>437</x:v>
      </x:c>
      <x:c r="I25" t="n">
        <x:v>42</x:v>
      </x:c>
      <x:c r="J25" t="s">
        <x:v>395</x:v>
      </x:c>
      <x:c r="K25" t="s">
        <x:v>438</x:v>
      </x:c>
      <x:c r="L25" s="64" t="n">
        <x:v>46274</x:v>
      </x:c>
    </x:row>
    <x:row r="26" ht="15" hidden="0">
      <x:c r="A26" t="s">
        <x:v>471</x:v>
      </x:c>
      <x:c r="B26" t="s">
        <x:v>200</x:v>
      </x:c>
      <x:c r="C26" t="s">
        <x:v>444</x:v>
      </x:c>
      <x:c r="D26" t="s">
        <x:v>446</x:v>
      </x:c>
      <x:c r="E26" t="s">
        <x:v>455</x:v>
      </x:c>
      <x:c r="F26" s="64" t="n">
        <x:v>46256</x:v>
      </x:c>
      <x:c r="G26" s="80" t="s">
        <x:v>436</x:v>
      </x:c>
      <x:c r="H26" t="s">
        <x:v>437</x:v>
      </x:c>
      <x:c r="I26" t="n">
        <x:v>18</x:v>
      </x:c>
      <x:c r="J26" t="s">
        <x:v>395</x:v>
      </x:c>
      <x:c r="K26" t="s">
        <x:v>438</x:v>
      </x:c>
      <x:c r="L26" s="64" t="n">
        <x:v>46274</x:v>
      </x:c>
    </x:row>
    <x:row r="27" ht="15" hidden="0">
      <x:c r="A27" t="s">
        <x:v>472</x:v>
      </x:c>
      <x:c r="B27" t="s">
        <x:v>200</x:v>
      </x:c>
      <x:c r="C27" t="s">
        <x:v>448</x:v>
      </x:c>
      <x:c r="D27" t="s">
        <x:v>449</x:v>
      </x:c>
      <x:c r="E27" t="s">
        <x:v>462</x:v>
      </x:c>
      <x:c r="F27" s="64" t="n">
        <x:v>46270</x:v>
      </x:c>
      <x:c r="G27" s="80" t="s">
        <x:v>436</x:v>
      </x:c>
      <x:c r="H27" t="s">
        <x:v>437</x:v>
      </x:c>
      <x:c r="I27" t="n">
        <x:v>4</x:v>
      </x:c>
      <x:c r="J27" t="s">
        <x:v>395</x:v>
      </x:c>
      <x:c r="K27" t="s">
        <x:v>438</x:v>
      </x:c>
      <x:c r="L27" s="64" t="n">
        <x:v>46274</x:v>
      </x:c>
    </x:row>
    <x:row r="28" ht="15" hidden="0">
      <x:c r="A28" t="s">
        <x:v>473</x:v>
      </x:c>
      <x:c r="B28" t="s">
        <x:v>200</x:v>
      </x:c>
      <x:c r="C28" t="s">
        <x:v>451</x:v>
      </x:c>
      <x:c r="D28" t="s">
        <x:v>452</x:v>
      </x:c>
      <x:c r="E28" t="s">
        <x:v>360</x:v>
      </x:c>
      <x:c r="F28" s="64" t="n">
        <x:v>46281</x:v>
      </x:c>
      <x:c r="G28" s="80" t="s">
        <x:v>436</x:v>
      </x:c>
      <x:c r="H28" t="s">
        <x:v>437</x:v>
      </x:c>
      <x:c r="I28" t="n">
        <x:v>0</x:v>
      </x:c>
      <x:c r="J28" t="s">
        <x:v>412</x:v>
      </x:c>
      <x:c r="K28" t="s">
        <x:v>438</x:v>
      </x:c>
      <x:c r="L28" s="64" t="n">
        <x:v>46274</x:v>
      </x:c>
    </x:row>
    <x:row r="29" ht="15" hidden="0">
      <x:c r="A29" t="s">
        <x:v>474</x:v>
      </x:c>
      <x:c r="B29" t="s">
        <x:v>200</x:v>
      </x:c>
      <x:c r="C29" t="s">
        <x:v>454</x:v>
      </x:c>
      <x:c r="D29" t="s">
        <x:v>455</x:v>
      </x:c>
      <x:c r="E29" t="s">
        <x:v>475</x:v>
      </x:c>
      <x:c r="F29" s="64" t="n">
        <x:v>46289</x:v>
      </x:c>
      <x:c r="G29" s="80" t="s">
        <x:v>436</x:v>
      </x:c>
      <x:c r="H29" t="s">
        <x:v>437</x:v>
      </x:c>
      <x:c r="I29" t="n">
        <x:v>0</x:v>
      </x:c>
      <x:c r="J29" t="s">
        <x:v>395</x:v>
      </x:c>
      <x:c r="K29" t="s">
        <x:v>438</x:v>
      </x:c>
      <x:c r="L29" s="64" t="n">
        <x:v>46274</x:v>
      </x:c>
    </x:row>
    <x:row r="30" ht="15" hidden="0">
      <x:c r="A30" t="s">
        <x:v>476</x:v>
      </x:c>
      <x:c r="B30" t="s">
        <x:v>296</x:v>
      </x:c>
      <x:c r="C30" t="s">
        <x:v>433</x:v>
      </x:c>
      <x:c r="D30" t="s">
        <x:v>442</x:v>
      </x:c>
      <x:c r="E30" t="s">
        <x:v>452</x:v>
      </x:c>
      <x:c r="F30" s="64" t="n">
        <x:v>46232</x:v>
      </x:c>
      <x:c r="G30" s="80" t="s">
        <x:v>436</x:v>
      </x:c>
      <x:c r="H30" t="s">
        <x:v>437</x:v>
      </x:c>
      <x:c r="I30" t="n">
        <x:v>42</x:v>
      </x:c>
      <x:c r="J30" t="s">
        <x:v>395</x:v>
      </x:c>
      <x:c r="K30" t="s">
        <x:v>438</x:v>
      </x:c>
      <x:c r="L30" s="64" t="n">
        <x:v>46274</x:v>
      </x:c>
    </x:row>
    <x:row r="31" ht="15" hidden="0">
      <x:c r="A31" t="s">
        <x:v>477</x:v>
      </x:c>
      <x:c r="B31" t="s">
        <x:v>296</x:v>
      </x:c>
      <x:c r="C31" t="s">
        <x:v>440</x:v>
      </x:c>
      <x:c r="D31" t="s">
        <x:v>446</x:v>
      </x:c>
      <x:c r="E31" t="s">
        <x:v>455</x:v>
      </x:c>
      <x:c r="F31" s="64" t="n">
        <x:v>46235</x:v>
      </x:c>
      <x:c r="G31" s="80" t="s">
        <x:v>436</x:v>
      </x:c>
      <x:c r="H31" t="s">
        <x:v>437</x:v>
      </x:c>
      <x:c r="I31" t="n">
        <x:v>39</x:v>
      </x:c>
      <x:c r="J31" t="s">
        <x:v>412</x:v>
      </x:c>
      <x:c r="K31" t="s">
        <x:v>438</x:v>
      </x:c>
      <x:c r="L31" s="64" t="n">
        <x:v>46274</x:v>
      </x:c>
    </x:row>
    <x:row r="32" ht="15" hidden="0">
      <x:c r="A32" t="s">
        <x:v>478</x:v>
      </x:c>
      <x:c r="B32" t="s">
        <x:v>296</x:v>
      </x:c>
      <x:c r="C32" t="s">
        <x:v>444</x:v>
      </x:c>
      <x:c r="D32" t="s">
        <x:v>449</x:v>
      </x:c>
      <x:c r="E32" t="s">
        <x:v>462</x:v>
      </x:c>
      <x:c r="F32" s="64" t="n">
        <x:v>46247</x:v>
      </x:c>
      <x:c r="G32" s="80" t="s">
        <x:v>436</x:v>
      </x:c>
      <x:c r="H32" t="s">
        <x:v>437</x:v>
      </x:c>
      <x:c r="I32" t="n">
        <x:v>27</x:v>
      </x:c>
      <x:c r="J32" t="s">
        <x:v>412</x:v>
      </x:c>
      <x:c r="K32" t="s">
        <x:v>438</x:v>
      </x:c>
      <x:c r="L32" s="64" t="n">
        <x:v>46274</x:v>
      </x:c>
    </x:row>
    <x:row r="33" ht="15" hidden="0">
      <x:c r="A33" t="s">
        <x:v>479</x:v>
      </x:c>
      <x:c r="B33" t="s">
        <x:v>296</x:v>
      </x:c>
      <x:c r="C33" t="s">
        <x:v>448</x:v>
      </x:c>
      <x:c r="D33" t="s">
        <x:v>452</x:v>
      </x:c>
      <x:c r="E33" t="s">
        <x:v>360</x:v>
      </x:c>
      <x:c r="F33" s="64" t="n">
        <x:v>46266</x:v>
      </x:c>
      <x:c r="G33" s="80" t="s">
        <x:v>436</x:v>
      </x:c>
      <x:c r="H33" t="s">
        <x:v>437</x:v>
      </x:c>
      <x:c r="I33" t="n">
        <x:v>8</x:v>
      </x:c>
      <x:c r="J33" t="s">
        <x:v>412</x:v>
      </x:c>
      <x:c r="K33" t="s">
        <x:v>438</x:v>
      </x:c>
      <x:c r="L33" s="64" t="n">
        <x:v>46274</x:v>
      </x:c>
    </x:row>
    <x:row r="34" ht="15" hidden="0">
      <x:c r="A34" t="s">
        <x:v>480</x:v>
      </x:c>
      <x:c r="B34" t="s">
        <x:v>296</x:v>
      </x:c>
      <x:c r="C34" t="s">
        <x:v>451</x:v>
      </x:c>
      <x:c r="D34" t="s">
        <x:v>455</x:v>
      </x:c>
      <x:c r="E34" t="s">
        <x:v>475</x:v>
      </x:c>
      <x:c r="F34" s="64" t="n">
        <x:v>46288</x:v>
      </x:c>
      <x:c r="G34" s="80" t="s">
        <x:v>436</x:v>
      </x:c>
      <x:c r="H34" t="s">
        <x:v>437</x:v>
      </x:c>
      <x:c r="I34" t="n">
        <x:v>0</x:v>
      </x:c>
      <x:c r="J34" t="s">
        <x:v>412</x:v>
      </x:c>
      <x:c r="K34" t="s">
        <x:v>438</x:v>
      </x:c>
      <x:c r="L34" s="64" t="n">
        <x:v>46274</x:v>
      </x:c>
    </x:row>
    <x:row r="35" ht="15" hidden="0">
      <x:c r="A35" t="s">
        <x:v>481</x:v>
      </x:c>
      <x:c r="B35" t="s">
        <x:v>296</x:v>
      </x:c>
      <x:c r="C35" t="s">
        <x:v>454</x:v>
      </x:c>
      <x:c r="D35" t="s">
        <x:v>462</x:v>
      </x:c>
      <x:c r="E35" t="s">
        <x:v>434</x:v>
      </x:c>
      <x:c r="F35" s="64" t="n">
        <x:v>46291</x:v>
      </x:c>
      <x:c r="G35" s="80" t="s">
        <x:v>436</x:v>
      </x:c>
      <x:c r="H35" t="s">
        <x:v>437</x:v>
      </x:c>
      <x:c r="I35" t="n">
        <x:v>0</x:v>
      </x:c>
      <x:c r="J35" t="s">
        <x:v>395</x:v>
      </x:c>
      <x:c r="K35" t="s">
        <x:v>438</x:v>
      </x:c>
      <x:c r="L35" s="64" t="n">
        <x:v>46274</x:v>
      </x:c>
    </x:row>
  </x:sheetData>
  <x:mergeCells>
    <x:mergeCell ref="A1:L1"/>
    <x:mergeCell ref="A2:L2"/>
  </x:mergeCells>
  <x:hyperlinks>
    <x:hyperlink xmlns:r="http://schemas.openxmlformats.org/officeDocument/2006/relationships" ref="A4" r:id="Re101259b44c7409b"/>
    <x:hyperlink xmlns:r="http://schemas.openxmlformats.org/officeDocument/2006/relationships" ref="B4" r:id="R65e6d2bd79b84e69"/>
    <x:hyperlink xmlns:r="http://schemas.openxmlformats.org/officeDocument/2006/relationships" ref="C4" r:id="R9977bdf62d89438e"/>
    <x:hyperlink xmlns:r="http://schemas.openxmlformats.org/officeDocument/2006/relationships" ref="D4" r:id="R31c6a4fc2d7e4644"/>
    <x:hyperlink xmlns:r="http://schemas.openxmlformats.org/officeDocument/2006/relationships" ref="E4" r:id="Re92f33044bc64a81"/>
    <x:hyperlink xmlns:r="http://schemas.openxmlformats.org/officeDocument/2006/relationships" ref="F4" r:id="Rf6d47cf9ce664371"/>
    <x:hyperlink xmlns:r="http://schemas.openxmlformats.org/officeDocument/2006/relationships" ref="G4" r:id="Rf35d642c387b40c0"/>
    <x:hyperlink xmlns:r="http://schemas.openxmlformats.org/officeDocument/2006/relationships" ref="H4" r:id="R6f194f8677b44bbf"/>
    <x:hyperlink xmlns:r="http://schemas.openxmlformats.org/officeDocument/2006/relationships" ref="I4" r:id="R6a86349aa8794511"/>
    <x:hyperlink xmlns:r="http://schemas.openxmlformats.org/officeDocument/2006/relationships" ref="J4" r:id="Re93ed3c2a6c747d2"/>
    <x:hyperlink xmlns:r="http://schemas.openxmlformats.org/officeDocument/2006/relationships" ref="K4" r:id="R91514db01da24bdd"/>
    <x:hyperlink xmlns:r="http://schemas.openxmlformats.org/officeDocument/2006/relationships" ref="L4" r:id="Raaae63961b224fe4"/>
    <x:hyperlink xmlns:r="http://schemas.openxmlformats.org/officeDocument/2006/relationships" ref="M4" r:id="Re9be665debda4a35"/>
  </x:hyperlinks>
  <x:pageMargins left="0.7" right="0.7" top="0.75" bottom="0.75" header="0.3" footer="0.3"/>
  <x:drawing xmlns:r="http://schemas.openxmlformats.org/officeDocument/2006/relationships" r:id="R798da2a65f874526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hidden="0" customWidth="1"/>
    <x:col min="2" max="2" width="12" hidden="0" customWidth="1"/>
    <x:col min="3" max="3" width="32" hidden="0" customWidth="1"/>
    <x:col min="4" max="5" width="18" hidden="0" customWidth="1"/>
    <x:col min="6" max="9" width="16" hidden="0" customWidth="1"/>
    <x:col min="10" max="12" width="18" hidden="0" customWidth="1"/>
  </x:cols>
  <x:sheetData>
    <x:row r="1" ht="32" hidden="0" customHeight="1">
      <x:c r="A1" s="309" t="s">
        <x:v>482</x:v>
      </x:c>
      <x:c r="B1" s="309"/>
      <x:c r="C1" s="309"/>
      <x:c r="D1" s="309"/>
      <x:c r="E1" s="309"/>
      <x:c r="F1" s="309"/>
      <x:c r="G1" s="309"/>
      <x:c r="H1" s="309"/>
      <x:c r="I1" s="309"/>
      <x:c r="J1" s="309"/>
      <x:c r="K1" s="309"/>
      <x:c r="L1" s="309"/>
      <x:c r="M1" s="311"/>
    </x:row>
    <x:row r="2" ht="22" hidden="0" customHeight="1">
      <x:c r="A2" s="209" t="s">
        <x:v>483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  <x:c r="L2" s="209"/>
      <x:c r="M2" s="216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5" ht="15" hidden="0">
      <x:c r="A5" s="30" t="s">
        <x:v>99</x:v>
      </x:c>
      <x:c r="B5" s="30" t="s">
        <x:v>73</x:v>
      </x:c>
      <x:c r="C5" s="30" t="s">
        <x:v>484</x:v>
      </x:c>
      <x:c r="D5" s="30" t="s">
        <x:v>337</x:v>
      </x:c>
      <x:c r="E5" s="30" t="s">
        <x:v>485</x:v>
      </x:c>
      <x:c r="F5" s="30" t="s">
        <x:v>486</x:v>
      </x:c>
      <x:c r="G5" s="30" t="s">
        <x:v>487</x:v>
      </x:c>
      <x:c r="H5" s="30" t="s">
        <x:v>488</x:v>
      </x:c>
      <x:c r="I5" s="30" t="s">
        <x:v>489</x:v>
      </x:c>
      <x:c r="J5" s="30" t="s">
        <x:v>490</x:v>
      </x:c>
      <x:c r="K5" s="30" t="s">
        <x:v>388</x:v>
      </x:c>
      <x:c r="L5" s="30" t="s">
        <x:v>339</x:v>
      </x:c>
    </x:row>
    <x:row r="6" ht="15" hidden="0">
      <x:c r="A6" t="s">
        <x:v>491</x:v>
      </x:c>
      <x:c r="B6" t="s">
        <x:v>106</x:v>
      </x:c>
      <x:c r="C6" t="s">
        <x:v>492</x:v>
      </x:c>
      <x:c r="D6" t="s">
        <x:v>80</x:v>
      </x:c>
      <x:c r="E6" s="64" t="n">
        <x:v>46274</x:v>
      </x:c>
      <x:c r="F6" t="s">
        <x:v>493</x:v>
      </x:c>
      <x:c r="G6" t="n">
        <x:v>2</x:v>
      </x:c>
      <x:c r="H6" t="n">
        <x:v>1</x:v>
      </x:c>
      <x:c r="I6" t="n">
        <x:v>4</x:v>
      </x:c>
      <x:c r="J6" s="27" t="n">
        <x:v>0.6</x:v>
      </x:c>
      <x:c r="K6" t="s">
        <x:v>393</x:v>
      </x:c>
      <x:c r="L6" s="80" t="s">
        <x:v>436</x:v>
      </x:c>
    </x:row>
    <x:row r="7" ht="15" hidden="0">
      <x:c r="A7" t="s">
        <x:v>494</x:v>
      </x:c>
      <x:c r="B7" t="s">
        <x:v>109</x:v>
      </x:c>
      <x:c r="C7" t="s">
        <x:v>492</x:v>
      </x:c>
      <x:c r="D7" t="s">
        <x:v>80</x:v>
      </x:c>
      <x:c r="E7" s="64" t="n">
        <x:v>46274</x:v>
      </x:c>
      <x:c r="F7" t="s">
        <x:v>493</x:v>
      </x:c>
      <x:c r="G7" t="n">
        <x:v>3.6</x:v>
      </x:c>
      <x:c r="H7" t="n">
        <x:v>1.7</x:v>
      </x:c>
      <x:c r="I7" t="n">
        <x:v>5</x:v>
      </x:c>
      <x:c r="J7" s="27" t="n">
        <x:v>0.9</x:v>
      </x:c>
      <x:c r="K7" t="s">
        <x:v>393</x:v>
      </x:c>
      <x:c r="L7" s="80" t="s">
        <x:v>436</x:v>
      </x:c>
    </x:row>
    <x:row r="8" ht="15" hidden="0">
      <x:c r="A8" t="s">
        <x:v>495</x:v>
      </x:c>
      <x:c r="B8" t="s">
        <x:v>112</x:v>
      </x:c>
      <x:c r="C8" t="s">
        <x:v>492</x:v>
      </x:c>
      <x:c r="D8" t="s">
        <x:v>84</x:v>
      </x:c>
      <x:c r="E8" s="64" t="n">
        <x:v>46274</x:v>
      </x:c>
      <x:c r="F8" t="s">
        <x:v>493</x:v>
      </x:c>
      <x:c r="G8" t="n">
        <x:v>4.5</x:v>
      </x:c>
      <x:c r="H8" t="n">
        <x:v>1.6</x:v>
      </x:c>
      <x:c r="I8" t="n">
        <x:v>6</x:v>
      </x:c>
      <x:c r="J8" s="27" t="n">
        <x:v>0.7</x:v>
      </x:c>
      <x:c r="K8" t="s">
        <x:v>393</x:v>
      </x:c>
      <x:c r="L8" s="80" t="s">
        <x:v>436</x:v>
      </x:c>
    </x:row>
    <x:row r="9" ht="15" hidden="0">
      <x:c r="A9" t="s">
        <x:v>496</x:v>
      </x:c>
      <x:c r="B9" t="s">
        <x:v>115</x:v>
      </x:c>
      <x:c r="C9" t="s">
        <x:v>492</x:v>
      </x:c>
      <x:c r="D9" t="s">
        <x:v>86</x:v>
      </x:c>
      <x:c r="E9" s="64" t="n">
        <x:v>46274</x:v>
      </x:c>
      <x:c r="F9" t="s">
        <x:v>493</x:v>
      </x:c>
      <x:c r="G9" t="n">
        <x:v>7.2</x:v>
      </x:c>
      <x:c r="H9" t="n">
        <x:v>1.4</x:v>
      </x:c>
      <x:c r="I9" t="n">
        <x:v>9</x:v>
      </x:c>
      <x:c r="J9" s="27" t="n">
        <x:v>1.6</x:v>
      </x:c>
      <x:c r="K9" t="s">
        <x:v>393</x:v>
      </x:c>
      <x:c r="L9" s="80" t="s">
        <x:v>436</x:v>
      </x:c>
    </x:row>
    <x:row r="10" ht="15" hidden="0">
      <x:c r="A10" t="s">
        <x:v>497</x:v>
      </x:c>
      <x:c r="B10" t="s">
        <x:v>117</x:v>
      </x:c>
      <x:c r="C10" t="s">
        <x:v>492</x:v>
      </x:c>
      <x:c r="D10" t="s">
        <x:v>88</x:v>
      </x:c>
      <x:c r="E10" s="64" t="n">
        <x:v>46274</x:v>
      </x:c>
      <x:c r="F10" t="s">
        <x:v>493</x:v>
      </x:c>
      <x:c r="G10" t="n">
        <x:v>2.3</x:v>
      </x:c>
      <x:c r="H10" t="n">
        <x:v>1</x:v>
      </x:c>
      <x:c r="I10" t="n">
        <x:v>4</x:v>
      </x:c>
      <x:c r="J10" s="27" t="n">
        <x:v>1.8</x:v>
      </x:c>
      <x:c r="K10" t="s">
        <x:v>393</x:v>
      </x:c>
      <x:c r="L10" s="80" t="s">
        <x:v>436</x:v>
      </x:c>
    </x:row>
    <x:row r="11" ht="15" hidden="0">
      <x:c r="A11" t="s">
        <x:v>498</x:v>
      </x:c>
      <x:c r="B11" t="s">
        <x:v>119</x:v>
      </x:c>
      <x:c r="C11" t="s">
        <x:v>492</x:v>
      </x:c>
      <x:c r="D11" t="s">
        <x:v>90</x:v>
      </x:c>
      <x:c r="E11" s="64" t="n">
        <x:v>46274</x:v>
      </x:c>
      <x:c r="F11" t="s">
        <x:v>493</x:v>
      </x:c>
      <x:c r="G11" t="n">
        <x:v>3.5</x:v>
      </x:c>
      <x:c r="H11" t="n">
        <x:v>1.8</x:v>
      </x:c>
      <x:c r="I11" t="n">
        <x:v>6</x:v>
      </x:c>
      <x:c r="J11" s="27" t="n">
        <x:v>1.5</x:v>
      </x:c>
      <x:c r="K11" t="s">
        <x:v>393</x:v>
      </x:c>
      <x:c r="L11" s="80" t="s">
        <x:v>436</x:v>
      </x:c>
    </x:row>
    <x:row r="12" ht="15" hidden="0">
      <x:c r="A12" t="s">
        <x:v>499</x:v>
      </x:c>
      <x:c r="B12" t="s">
        <x:v>120</x:v>
      </x:c>
      <x:c r="C12" t="s">
        <x:v>492</x:v>
      </x:c>
      <x:c r="D12" t="s">
        <x:v>88</x:v>
      </x:c>
      <x:c r="E12" s="64" t="n">
        <x:v>46274</x:v>
      </x:c>
      <x:c r="F12" t="s">
        <x:v>493</x:v>
      </x:c>
      <x:c r="G12" t="n">
        <x:v>6.6</x:v>
      </x:c>
      <x:c r="H12" t="n">
        <x:v>1.2</x:v>
      </x:c>
      <x:c r="I12" t="n">
        <x:v>8</x:v>
      </x:c>
      <x:c r="J12" s="27" t="n">
        <x:v>1.1</x:v>
      </x:c>
      <x:c r="K12" t="s">
        <x:v>393</x:v>
      </x:c>
      <x:c r="L12" s="80" t="s">
        <x:v>436</x:v>
      </x:c>
    </x:row>
    <x:row r="13" ht="15" hidden="0">
      <x:c r="A13" t="s">
        <x:v>500</x:v>
      </x:c>
      <x:c r="B13" t="s">
        <x:v>121</x:v>
      </x:c>
      <x:c r="C13" t="s">
        <x:v>492</x:v>
      </x:c>
      <x:c r="D13" t="s">
        <x:v>84</x:v>
      </x:c>
      <x:c r="E13" s="64" t="n">
        <x:v>46274</x:v>
      </x:c>
      <x:c r="F13" t="s">
        <x:v>493</x:v>
      </x:c>
      <x:c r="G13" t="n">
        <x:v>9.6</x:v>
      </x:c>
      <x:c r="H13" t="n">
        <x:v>1</x:v>
      </x:c>
      <x:c r="I13" t="n">
        <x:v>11</x:v>
      </x:c>
      <x:c r="J13" s="27" t="n">
        <x:v>0.9</x:v>
      </x:c>
      <x:c r="K13" t="s">
        <x:v>393</x:v>
      </x:c>
      <x:c r="L13" s="80" t="s">
        <x:v>436</x:v>
      </x:c>
    </x:row>
    <x:row r="14" ht="15" hidden="0">
      <x:c r="A14" t="s">
        <x:v>501</x:v>
      </x:c>
      <x:c r="B14" t="s">
        <x:v>122</x:v>
      </x:c>
      <x:c r="C14" t="s">
        <x:v>492</x:v>
      </x:c>
      <x:c r="D14" t="s">
        <x:v>97</x:v>
      </x:c>
      <x:c r="E14" s="64" t="n">
        <x:v>46274</x:v>
      </x:c>
      <x:c r="F14" t="s">
        <x:v>493</x:v>
      </x:c>
      <x:c r="G14" t="n">
        <x:v>6.7</x:v>
      </x:c>
      <x:c r="H14" t="n">
        <x:v>1.6</x:v>
      </x:c>
      <x:c r="I14" t="n">
        <x:v>8</x:v>
      </x:c>
      <x:c r="J14" s="27" t="n">
        <x:v>0.8</x:v>
      </x:c>
      <x:c r="K14" t="s">
        <x:v>393</x:v>
      </x:c>
      <x:c r="L14" s="80" t="s">
        <x:v>436</x:v>
      </x:c>
    </x:row>
    <x:row r="15" ht="15" hidden="0">
      <x:c r="A15" t="s">
        <x:v>502</x:v>
      </x:c>
      <x:c r="B15" t="s">
        <x:v>124</x:v>
      </x:c>
      <x:c r="C15" t="s">
        <x:v>492</x:v>
      </x:c>
      <x:c r="D15" t="s">
        <x:v>95</x:v>
      </x:c>
      <x:c r="E15" s="64" t="n">
        <x:v>46274</x:v>
      </x:c>
      <x:c r="F15" t="s">
        <x:v>493</x:v>
      </x:c>
      <x:c r="G15" t="n">
        <x:v>7.6</x:v>
      </x:c>
      <x:c r="H15" t="n">
        <x:v>1.4</x:v>
      </x:c>
      <x:c r="I15" t="n">
        <x:v>9</x:v>
      </x:c>
      <x:c r="J15" s="27" t="n">
        <x:v>0.4</x:v>
      </x:c>
      <x:c r="K15" t="s">
        <x:v>393</x:v>
      </x:c>
      <x:c r="L15" s="80" t="s">
        <x:v>436</x:v>
      </x:c>
    </x:row>
    <x:row r="16" ht="15" hidden="0">
      <x:c r="A16" t="s">
        <x:v>503</x:v>
      </x:c>
      <x:c r="B16" t="s">
        <x:v>125</x:v>
      </x:c>
      <x:c r="C16" t="s">
        <x:v>492</x:v>
      </x:c>
      <x:c r="D16" t="s">
        <x:v>80</x:v>
      </x:c>
      <x:c r="E16" s="64" t="n">
        <x:v>46274</x:v>
      </x:c>
      <x:c r="F16" t="s">
        <x:v>493</x:v>
      </x:c>
      <x:c r="G16" t="n">
        <x:v>2.3</x:v>
      </x:c>
      <x:c r="H16" t="n">
        <x:v>1.7</x:v>
      </x:c>
      <x:c r="I16" t="n">
        <x:v>4</x:v>
      </x:c>
      <x:c r="J16" s="27" t="n">
        <x:v>0.9</x:v>
      </x:c>
      <x:c r="K16" t="s">
        <x:v>393</x:v>
      </x:c>
      <x:c r="L16" s="80" t="s">
        <x:v>436</x:v>
      </x:c>
    </x:row>
    <x:row r="17" ht="15" hidden="0">
      <x:c r="A17" t="s">
        <x:v>504</x:v>
      </x:c>
      <x:c r="B17" t="s">
        <x:v>127</x:v>
      </x:c>
      <x:c r="C17" t="s">
        <x:v>492</x:v>
      </x:c>
      <x:c r="D17" t="s">
        <x:v>86</x:v>
      </x:c>
      <x:c r="E17" s="64" t="n">
        <x:v>46274</x:v>
      </x:c>
      <x:c r="F17" t="s">
        <x:v>493</x:v>
      </x:c>
      <x:c r="G17" t="n">
        <x:v>2</x:v>
      </x:c>
      <x:c r="H17" t="n">
        <x:v>1.2</x:v>
      </x:c>
      <x:c r="I17" t="n">
        <x:v>3</x:v>
      </x:c>
      <x:c r="J17" s="27" t="n">
        <x:v>0.8</x:v>
      </x:c>
      <x:c r="K17" t="s">
        <x:v>393</x:v>
      </x:c>
      <x:c r="L17" s="80" t="s">
        <x:v>436</x:v>
      </x:c>
    </x:row>
    <x:row r="18" ht="15" hidden="0">
      <x:c r="A18" t="s">
        <x:v>505</x:v>
      </x:c>
      <x:c r="B18" t="s">
        <x:v>130</x:v>
      </x:c>
      <x:c r="C18" t="s">
        <x:v>492</x:v>
      </x:c>
      <x:c r="D18" t="s">
        <x:v>132</x:v>
      </x:c>
      <x:c r="E18" s="64" t="n">
        <x:v>46274</x:v>
      </x:c>
      <x:c r="F18" t="s">
        <x:v>493</x:v>
      </x:c>
      <x:c r="G18" t="n">
        <x:v>2</x:v>
      </x:c>
      <x:c r="H18" t="n">
        <x:v>1</x:v>
      </x:c>
      <x:c r="I18" t="n">
        <x:v>2</x:v>
      </x:c>
      <x:c r="J18" s="27" t="n">
        <x:v>1.1</x:v>
      </x:c>
      <x:c r="K18" t="s">
        <x:v>393</x:v>
      </x:c>
      <x:c r="L18" s="80" t="s">
        <x:v>436</x:v>
      </x:c>
    </x:row>
    <x:row r="19" ht="15" hidden="0">
      <x:c r="A19" t="s">
        <x:v>506</x:v>
      </x:c>
      <x:c r="B19" t="s">
        <x:v>133</x:v>
      </x:c>
      <x:c r="C19" t="s">
        <x:v>492</x:v>
      </x:c>
      <x:c r="D19" t="s">
        <x:v>132</x:v>
      </x:c>
      <x:c r="E19" s="64" t="n">
        <x:v>46274</x:v>
      </x:c>
      <x:c r="F19" t="s">
        <x:v>493</x:v>
      </x:c>
      <x:c r="G19" t="n">
        <x:v>7.5</x:v>
      </x:c>
      <x:c r="H19" t="n">
        <x:v>1.3</x:v>
      </x:c>
      <x:c r="I19" t="n">
        <x:v>10</x:v>
      </x:c>
      <x:c r="J19" s="27" t="n">
        <x:v>1</x:v>
      </x:c>
      <x:c r="K19" t="s">
        <x:v>393</x:v>
      </x:c>
      <x:c r="L19" s="80" t="s">
        <x:v>436</x:v>
      </x:c>
    </x:row>
    <x:row r="20" ht="15" hidden="0">
      <x:c r="A20" t="s">
        <x:v>507</x:v>
      </x:c>
      <x:c r="B20" t="s">
        <x:v>135</x:v>
      </x:c>
      <x:c r="C20" t="s">
        <x:v>492</x:v>
      </x:c>
      <x:c r="D20" t="s">
        <x:v>80</x:v>
      </x:c>
      <x:c r="E20" s="64" t="n">
        <x:v>46274</x:v>
      </x:c>
      <x:c r="F20" t="s">
        <x:v>493</x:v>
      </x:c>
      <x:c r="G20" t="n">
        <x:v>9</x:v>
      </x:c>
      <x:c r="H20" t="n">
        <x:v>1.7</x:v>
      </x:c>
      <x:c r="I20" t="n">
        <x:v>10</x:v>
      </x:c>
      <x:c r="J20" s="27" t="n">
        <x:v>0.6</x:v>
      </x:c>
      <x:c r="K20" t="s">
        <x:v>393</x:v>
      </x:c>
      <x:c r="L20" s="80" t="s">
        <x:v>436</x:v>
      </x:c>
    </x:row>
    <x:row r="21" ht="15" hidden="0">
      <x:c r="A21" t="s">
        <x:v>508</x:v>
      </x:c>
      <x:c r="B21" t="s">
        <x:v>137</x:v>
      </x:c>
      <x:c r="C21" t="s">
        <x:v>492</x:v>
      </x:c>
      <x:c r="D21" t="s">
        <x:v>95</x:v>
      </x:c>
      <x:c r="E21" s="64" t="n">
        <x:v>46274</x:v>
      </x:c>
      <x:c r="F21" t="s">
        <x:v>493</x:v>
      </x:c>
      <x:c r="G21" t="n">
        <x:v>2</x:v>
      </x:c>
      <x:c r="H21" t="n">
        <x:v>1</x:v>
      </x:c>
      <x:c r="I21" t="n">
        <x:v>3</x:v>
      </x:c>
      <x:c r="J21" s="27" t="n">
        <x:v>0.6</x:v>
      </x:c>
      <x:c r="K21" t="s">
        <x:v>393</x:v>
      </x:c>
      <x:c r="L21" s="80" t="s">
        <x:v>436</x:v>
      </x:c>
    </x:row>
    <x:row r="22" ht="15" hidden="0">
      <x:c r="A22" t="s">
        <x:v>509</x:v>
      </x:c>
      <x:c r="B22" t="s">
        <x:v>139</x:v>
      </x:c>
      <x:c r="C22" t="s">
        <x:v>492</x:v>
      </x:c>
      <x:c r="D22" t="s">
        <x:v>90</x:v>
      </x:c>
      <x:c r="E22" s="64" t="n">
        <x:v>46274</x:v>
      </x:c>
      <x:c r="F22" t="s">
        <x:v>493</x:v>
      </x:c>
      <x:c r="G22" t="n">
        <x:v>6.6</x:v>
      </x:c>
      <x:c r="H22" t="n">
        <x:v>1</x:v>
      </x:c>
      <x:c r="I22" t="n">
        <x:v>7</x:v>
      </x:c>
      <x:c r="J22" s="27" t="n">
        <x:v>0.6</x:v>
      </x:c>
      <x:c r="K22" t="s">
        <x:v>393</x:v>
      </x:c>
      <x:c r="L22" s="80" t="s">
        <x:v>436</x:v>
      </x:c>
    </x:row>
    <x:row r="23" ht="15" hidden="0">
      <x:c r="A23" t="s">
        <x:v>510</x:v>
      </x:c>
      <x:c r="B23" t="s">
        <x:v>141</x:v>
      </x:c>
      <x:c r="C23" t="s">
        <x:v>492</x:v>
      </x:c>
      <x:c r="D23" t="s">
        <x:v>97</x:v>
      </x:c>
      <x:c r="E23" s="64" t="n">
        <x:v>46274</x:v>
      </x:c>
      <x:c r="F23" t="s">
        <x:v>493</x:v>
      </x:c>
      <x:c r="G23" t="n">
        <x:v>3.6</x:v>
      </x:c>
      <x:c r="H23" t="n">
        <x:v>1.2</x:v>
      </x:c>
      <x:c r="I23" t="n">
        <x:v>5</x:v>
      </x:c>
      <x:c r="J23" s="27" t="n">
        <x:v>1.4</x:v>
      </x:c>
      <x:c r="K23" t="s">
        <x:v>393</x:v>
      </x:c>
      <x:c r="L23" s="80" t="s">
        <x:v>436</x:v>
      </x:c>
    </x:row>
    <x:row r="24" ht="15" hidden="0">
      <x:c r="A24" t="s">
        <x:v>511</x:v>
      </x:c>
      <x:c r="B24" t="s">
        <x:v>143</x:v>
      </x:c>
      <x:c r="C24" t="s">
        <x:v>492</x:v>
      </x:c>
      <x:c r="D24" t="s">
        <x:v>97</x:v>
      </x:c>
      <x:c r="E24" s="64" t="n">
        <x:v>46274</x:v>
      </x:c>
      <x:c r="F24" t="s">
        <x:v>493</x:v>
      </x:c>
      <x:c r="G24" t="n">
        <x:v>3.1</x:v>
      </x:c>
      <x:c r="H24" t="n">
        <x:v>1</x:v>
      </x:c>
      <x:c r="I24" t="n">
        <x:v>3</x:v>
      </x:c>
      <x:c r="J24" s="27" t="n">
        <x:v>1.5</x:v>
      </x:c>
      <x:c r="K24" t="s">
        <x:v>393</x:v>
      </x:c>
      <x:c r="L24" s="80" t="s">
        <x:v>436</x:v>
      </x:c>
    </x:row>
    <x:row r="25" ht="15" hidden="0">
      <x:c r="A25" t="s">
        <x:v>512</x:v>
      </x:c>
      <x:c r="B25" t="s">
        <x:v>146</x:v>
      </x:c>
      <x:c r="C25" t="s">
        <x:v>492</x:v>
      </x:c>
      <x:c r="D25" t="s">
        <x:v>80</x:v>
      </x:c>
      <x:c r="E25" s="64" t="n">
        <x:v>46274</x:v>
      </x:c>
      <x:c r="F25" t="s">
        <x:v>493</x:v>
      </x:c>
      <x:c r="G25" t="n">
        <x:v>9</x:v>
      </x:c>
      <x:c r="H25" t="n">
        <x:v>1.7</x:v>
      </x:c>
      <x:c r="I25" t="n">
        <x:v>10</x:v>
      </x:c>
      <x:c r="J25" s="27" t="n">
        <x:v>0.7</x:v>
      </x:c>
      <x:c r="K25" t="s">
        <x:v>393</x:v>
      </x:c>
      <x:c r="L25" s="80" t="s">
        <x:v>436</x:v>
      </x:c>
    </x:row>
  </x:sheetData>
  <x:mergeCells>
    <x:mergeCell ref="A1:L1"/>
    <x:mergeCell ref="A2:L2"/>
  </x:mergeCells>
  <x:hyperlinks>
    <x:hyperlink xmlns:r="http://schemas.openxmlformats.org/officeDocument/2006/relationships" ref="A4" r:id="R4e752aef54024d33"/>
    <x:hyperlink xmlns:r="http://schemas.openxmlformats.org/officeDocument/2006/relationships" ref="B4" r:id="R94c607180caa40d0"/>
    <x:hyperlink xmlns:r="http://schemas.openxmlformats.org/officeDocument/2006/relationships" ref="C4" r:id="R57ee7c952bfe4142"/>
    <x:hyperlink xmlns:r="http://schemas.openxmlformats.org/officeDocument/2006/relationships" ref="D4" r:id="R91dfa88b67df4f5b"/>
    <x:hyperlink xmlns:r="http://schemas.openxmlformats.org/officeDocument/2006/relationships" ref="E4" r:id="R98373a60ac814763"/>
    <x:hyperlink xmlns:r="http://schemas.openxmlformats.org/officeDocument/2006/relationships" ref="F4" r:id="R38a305f994384d44"/>
    <x:hyperlink xmlns:r="http://schemas.openxmlformats.org/officeDocument/2006/relationships" ref="G4" r:id="R8b6ab598881747d0"/>
    <x:hyperlink xmlns:r="http://schemas.openxmlformats.org/officeDocument/2006/relationships" ref="H4" r:id="R2c6a06e408144807"/>
    <x:hyperlink xmlns:r="http://schemas.openxmlformats.org/officeDocument/2006/relationships" ref="I4" r:id="Rf7ff9b7cc3214f66"/>
    <x:hyperlink xmlns:r="http://schemas.openxmlformats.org/officeDocument/2006/relationships" ref="J4" r:id="Rc1449bcc01fb4503"/>
    <x:hyperlink xmlns:r="http://schemas.openxmlformats.org/officeDocument/2006/relationships" ref="K4" r:id="Rbfcc57b52d634a18"/>
    <x:hyperlink xmlns:r="http://schemas.openxmlformats.org/officeDocument/2006/relationships" ref="L4" r:id="Rc2bb11b616724ecf"/>
    <x:hyperlink xmlns:r="http://schemas.openxmlformats.org/officeDocument/2006/relationships" ref="M4" r:id="Rfb5bcef3c0de4e28"/>
  </x:hyperlinks>
  <x:pageMargins left="0.7" right="0.7" top="0.75" bottom="0.75" header="0.3" footer="0.3"/>
  <x:drawing xmlns:r="http://schemas.openxmlformats.org/officeDocument/2006/relationships" r:id="Rf566dee6f1a741b6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hidden="0" customWidth="1"/>
    <x:col min="2" max="2" width="25" hidden="0" customWidth="1"/>
    <x:col min="3" max="4" width="16" hidden="0" customWidth="1"/>
    <x:col min="5" max="5" width="12" hidden="0" customWidth="1"/>
    <x:col min="6" max="6" width="14" hidden="0" customWidth="1"/>
    <x:col min="7" max="7" width="18" hidden="0" customWidth="1"/>
    <x:col min="8" max="10" width="12" hidden="0" customWidth="1"/>
    <x:col min="11" max="12" width="13" hidden="0" customWidth="1"/>
    <x:col min="13" max="13" width="14" hidden="0" customWidth="1"/>
    <x:col min="14" max="16" width="11" hidden="0" customWidth="1"/>
    <x:col min="17" max="17" width="14" hidden="0" customWidth="1"/>
    <x:col min="18" max="18" width="16" hidden="0" customWidth="1"/>
    <x:col min="19" max="25" width="12" hidden="0" customWidth="1"/>
    <x:col min="26" max="26" width="13" hidden="0" customWidth="1"/>
  </x:cols>
  <x:sheetData>
    <x:row r="1" ht="30" hidden="0" customHeight="1">
      <x:c r="A1" s="1" t="s">
        <x:v>513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t="str">
        <x:v>DATA QUALITY HELPER</x:v>
      </x:c>
    </x:row>
    <x:row r="2" ht="21.75" hidden="0" customHeight="1">
      <x:c r="A2" s="2" t="s">
        <x:v>514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t="str">
        <x:v>Duplicate flag: 1 when an ID repeats.</x:v>
      </x:c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5" ht="41.75" hidden="0">
      <x:c r="A5" s="82" t="s">
        <x:v>374</x:v>
      </x:c>
      <x:c r="B5" s="82" t="s">
        <x:v>515</x:v>
      </x:c>
      <x:c r="C5" s="82" t="s">
        <x:v>54</x:v>
      </x:c>
      <x:c r="D5" s="82" t="s">
        <x:v>516</x:v>
      </x:c>
      <x:c r="E5" s="82" t="s">
        <x:v>102</x:v>
      </x:c>
      <x:c r="F5" s="82" t="s">
        <x:v>101</x:v>
      </x:c>
      <x:c r="G5" s="82" t="s">
        <x:v>517</x:v>
      </x:c>
      <x:c r="H5" s="82" t="s">
        <x:v>518</x:v>
      </x:c>
      <x:c r="I5" s="82" t="s">
        <x:v>370</x:v>
      </x:c>
      <x:c r="J5" s="82" t="s">
        <x:v>371</x:v>
      </x:c>
      <x:c r="K5" s="82" t="s">
        <x:v>55</x:v>
      </x:c>
      <x:c r="L5" s="82" t="s">
        <x:v>56</x:v>
      </x:c>
      <x:c r="M5" s="82" t="s">
        <x:v>57</x:v>
      </x:c>
      <x:c r="N5" s="82" t="s">
        <x:v>103</x:v>
      </x:c>
      <x:c r="O5" s="82" t="s">
        <x:v>519</x:v>
      </x:c>
      <x:c r="P5" s="82" t="s">
        <x:v>520</x:v>
      </x:c>
      <x:c r="Q5" s="82" t="s">
        <x:v>521</x:v>
      </x:c>
      <x:c r="R5" s="82" t="s">
        <x:v>522</x:v>
      </x:c>
      <x:c r="S5" s="82" t="s">
        <x:v>523</x:v>
      </x:c>
      <x:c r="T5" s="82" t="s">
        <x:v>100</x:v>
      </x:c>
      <x:c r="U5" s="82" t="s">
        <x:v>524</x:v>
      </x:c>
      <x:c r="V5" s="82" t="s">
        <x:v>525</x:v>
      </x:c>
      <x:c r="W5" s="82" t="s">
        <x:v>75</x:v>
      </x:c>
      <x:c r="X5" s="82" t="s">
        <x:v>526</x:v>
      </x:c>
      <x:c r="Y5" s="82" t="s">
        <x:v>527</x:v>
      </x:c>
      <x:c r="Z5" s="278" t="str">
        <x:v>Duplicate ID Flag</x:v>
      </x:c>
    </x:row>
    <x:row r="6" ht="15" hidden="0">
      <x:c r="A6" s="83" t="s">
        <x:v>264</x:v>
      </x:c>
      <x:c r="B6" s="83" t="s">
        <x:v>265</x:v>
      </x:c>
      <x:c r="C6" s="83" t="s">
        <x:v>67</x:v>
      </x:c>
      <x:c r="D6" s="83" t="s">
        <x:v>528</x:v>
      </x:c>
      <x:c r="E6" s="83" t="s">
        <x:v>114</x:v>
      </x:c>
      <x:c r="F6" s="83" t="s">
        <x:v>113</x:v>
      </x:c>
      <x:c r="G6" s="83" t="s">
        <x:v>97</x:v>
      </x:c>
      <x:c r="H6" s="84" t="n">
        <x:v>103.5</x:v>
      </x:c>
      <x:c r="I6" s="85" t="n">
        <x:v>46204</x:v>
      </x:c>
      <x:c r="J6" s="85" t="n">
        <x:v>46295</x:v>
      </x:c>
      <x:c r="K6" s="84" t="n">
        <x:v>119.4</x:v>
      </x:c>
      <x:c r="L6" s="84" t="n">
        <x:v>32.1</x:v>
      </x:c>
      <x:c r="M6" s="84" t="n">
        <x:v>45.6</x:v>
      </x:c>
      <x:c r="N6" s="83" t="n">
        <x:v>36</x:v>
      </x:c>
      <x:c r="O6" s="86" t="n">
        <x:v>0.974187599545379</x:v>
      </x:c>
      <x:c r="P6" s="87" t="n">
        <x:v>69</x:v>
      </x:c>
      <x:c r="Q6" s="83" t="n">
        <x:v>67</x:v>
      </x:c>
      <x:c r="R6" s="83" t="s">
        <x:v>528</x:v>
      </x:c>
      <x:c r="S6" s="86" t="n">
        <x:v>0.268821608834117</x:v>
      </x:c>
      <x:c r="T6" s="88" t="n">
        <x:f aca="0">IFERROR(AVERAGEIF('11_Task_Data'!$A$6:$A$605,A6,'11_Task_Data'!$I$6:$I$605),0)</x:f>
        <x:v>65.16666666666667</x:v>
      </x:c>
      <x:c r="U6" s="89" t="n">
        <x:f aca="0">COUNTIFS('11_Task_Data'!$A$6:$A$605,A6,'11_Task_Data'!$J$6:$J$605,"Blocked")+COUNTIFS('11_Task_Data'!$A$6:$A$605,A6,'11_Task_Data'!$K$6:$K$605,"&lt;&gt;"&amp;"")</x:f>
        <x:v>1</x:v>
      </x:c>
      <x:c r="V6" s="89" t="n">
        <x:f aca="0">COUNTIFS('11_Task_Data'!$A$6:$A$605,A6,'11_Task_Data'!$L$6:$L$605,"YES")</x:f>
        <x:v>0</x:v>
      </x:c>
      <x:c r="W6" s="89" t="n">
        <x:v>7</x:v>
      </x:c>
      <x:c r="X6" s="90" t="s">
        <x:v>63</x:v>
      </x:c>
      <x:c r="Y6" s="89" t="str">
        <x:f aca="0">IF(COUNTA(A6:S6)=19,"PASS","CHECK")</x:f>
        <x:v>PASS</x:v>
      </x:c>
      <x:c r="Z6" s="278" t="n">
        <x:f>IF(COUNTIF($A$6:$A$105,A6)&gt;1,1,0)</x:f>
        <x:v>0</x:v>
      </x:c>
    </x:row>
    <x:row r="7" ht="15" hidden="0">
      <x:c r="A7" s="83" t="s">
        <x:v>206</x:v>
      </x:c>
      <x:c r="B7" s="83" t="s">
        <x:v>207</x:v>
      </x:c>
      <x:c r="C7" s="83" t="s">
        <x:v>67</x:v>
      </x:c>
      <x:c r="D7" s="83" t="s">
        <x:v>529</x:v>
      </x:c>
      <x:c r="E7" s="83" t="s">
        <x:v>111</x:v>
      </x:c>
      <x:c r="F7" s="83" t="s">
        <x:v>116</x:v>
      </x:c>
      <x:c r="G7" s="83" t="s">
        <x:v>160</x:v>
      </x:c>
      <x:c r="H7" s="84" t="n">
        <x:v>161.2</x:v>
      </x:c>
      <x:c r="I7" s="85" t="n">
        <x:v>46205</x:v>
      </x:c>
      <x:c r="J7" s="85" t="n">
        <x:v>46288</x:v>
      </x:c>
      <x:c r="K7" s="84" t="n">
        <x:v>239.3</x:v>
      </x:c>
      <x:c r="L7" s="84" t="n">
        <x:v>51.6</x:v>
      </x:c>
      <x:c r="M7" s="84" t="n">
        <x:v>35.6</x:v>
      </x:c>
      <x:c r="N7" s="83" t="n">
        <x:v>19</x:v>
      </x:c>
      <x:c r="O7" s="86" t="n">
        <x:v>0.922213697281822</x:v>
      </x:c>
      <x:c r="P7" s="87" t="n">
        <x:v>42</x:v>
      </x:c>
      <x:c r="Q7" s="83" t="n">
        <x:v>90</x:v>
      </x:c>
      <x:c r="R7" s="83" t="s">
        <x:v>530</x:v>
      </x:c>
      <x:c r="S7" s="86" t="n">
        <x:v>0.215459457189762</x:v>
      </x:c>
      <x:c r="T7" s="88" t="n">
        <x:f aca="0">IFERROR(AVERAGEIF('11_Task_Data'!$A$6:$A$605,A7,'11_Task_Data'!$I$6:$I$605),0)</x:f>
        <x:v>45.333333333333336</x:v>
      </x:c>
      <x:c r="U7" s="89" t="n">
        <x:f aca="0">COUNTIFS('11_Task_Data'!$A$6:$A$605,A7,'11_Task_Data'!$J$6:$J$605,"Blocked")+COUNTIFS('11_Task_Data'!$A$6:$A$605,A7,'11_Task_Data'!$K$6:$K$605,"&lt;&gt;"&amp;"")</x:f>
        <x:v>1</x:v>
      </x:c>
      <x:c r="V7" s="89" t="n">
        <x:f aca="0">COUNTIFS('11_Task_Data'!$A$6:$A$605,A7,'11_Task_Data'!$L$6:$L$605,"YES")</x:f>
        <x:v>0</x:v>
      </x:c>
      <x:c r="W7" s="89" t="n">
        <x:v>12</x:v>
      </x:c>
      <x:c r="X7" s="90" t="s">
        <x:v>65</x:v>
      </x:c>
      <x:c r="Y7" s="89" t="str">
        <x:f aca="0">IF(COUNTA(A7:S7)=19,"PASS","CHECK")</x:f>
        <x:v>PASS</x:v>
      </x:c>
      <x:c r="Z7" s="278" t="n">
        <x:f>IF(COUNTIF($A$6:$A$105,A7)&gt;1,1,0)</x:f>
        <x:v>0</x:v>
      </x:c>
    </x:row>
    <x:row r="8" ht="15" hidden="0">
      <x:c r="A8" s="83" t="s">
        <x:v>236</x:v>
      </x:c>
      <x:c r="B8" s="83" t="s">
        <x:v>237</x:v>
      </x:c>
      <x:c r="C8" s="83" t="s">
        <x:v>69</x:v>
      </x:c>
      <x:c r="D8" s="83" t="s">
        <x:v>531</x:v>
      </x:c>
      <x:c r="E8" s="83" t="s">
        <x:v>129</x:v>
      </x:c>
      <x:c r="F8" s="83" t="s">
        <x:v>110</x:v>
      </x:c>
      <x:c r="G8" s="83" t="s">
        <x:v>80</x:v>
      </x:c>
      <x:c r="H8" s="84" t="n">
        <x:v>56</x:v>
      </x:c>
      <x:c r="I8" s="85" t="n">
        <x:v>46206</x:v>
      </x:c>
      <x:c r="J8" s="85" t="n">
        <x:v>46320</x:v>
      </x:c>
      <x:c r="K8" s="84" t="n">
        <x:v>129.4</x:v>
      </x:c>
      <x:c r="L8" s="84" t="n">
        <x:v>28.9</x:v>
      </x:c>
      <x:c r="M8" s="84" t="n">
        <x:v>40.3</x:v>
      </x:c>
      <x:c r="N8" s="83" t="n">
        <x:v>15</x:v>
      </x:c>
      <x:c r="O8" s="86" t="n">
        <x:v>0.923700783766573</x:v>
      </x:c>
      <x:c r="P8" s="87" t="n">
        <x:v>22</x:v>
      </x:c>
      <x:c r="Q8" s="83" t="n">
        <x:v>58</x:v>
      </x:c>
      <x:c r="R8" s="83" t="s">
        <x:v>532</x:v>
      </x:c>
      <x:c r="S8" s="86" t="n">
        <x:v>0.223350346392372</x:v>
      </x:c>
      <x:c r="T8" s="88" t="n">
        <x:f aca="0">IFERROR(AVERAGEIF('11_Task_Data'!$A$6:$A$605,A8,'11_Task_Data'!$I$6:$I$605),0)</x:f>
        <x:v>64</x:v>
      </x:c>
      <x:c r="U8" s="89" t="n">
        <x:f aca="0">COUNTIFS('11_Task_Data'!$A$6:$A$605,A8,'11_Task_Data'!$J$6:$J$605,"Blocked")+COUNTIFS('11_Task_Data'!$A$6:$A$605,A8,'11_Task_Data'!$K$6:$K$605,"&lt;&gt;"&amp;"")</x:f>
        <x:v>2</x:v>
      </x:c>
      <x:c r="V8" s="89" t="n">
        <x:f aca="0">COUNTIFS('11_Task_Data'!$A$6:$A$605,A8,'11_Task_Data'!$L$6:$L$605,"YES")</x:f>
        <x:v>0</x:v>
      </x:c>
      <x:c r="W8" s="89" t="n">
        <x:v>7</x:v>
      </x:c>
      <x:c r="X8" s="90" t="s">
        <x:v>65</x:v>
      </x:c>
      <x:c r="Y8" s="89" t="str">
        <x:f aca="0">IF(COUNTA(A8:S8)=19,"PASS","CHECK")</x:f>
        <x:v>PASS</x:v>
      </x:c>
      <x:c r="Z8" s="278" t="n">
        <x:f>IF(COUNTIF($A$6:$A$105,A8)&gt;1,1,0)</x:f>
        <x:v>0</x:v>
      </x:c>
    </x:row>
    <x:row r="9" ht="15" hidden="0">
      <x:c r="A9" s="83" t="s">
        <x:v>200</x:v>
      </x:c>
      <x:c r="B9" s="83" t="s">
        <x:v>201</x:v>
      </x:c>
      <x:c r="C9" s="83" t="s">
        <x:v>70</x:v>
      </x:c>
      <x:c r="D9" s="83" t="s">
        <x:v>533</x:v>
      </x:c>
      <x:c r="E9" s="83" t="s">
        <x:v>111</x:v>
      </x:c>
      <x:c r="F9" s="83" t="s">
        <x:v>110</x:v>
      </x:c>
      <x:c r="G9" s="83" t="s">
        <x:v>132</x:v>
      </x:c>
      <x:c r="H9" s="84" t="n">
        <x:v>121.4</x:v>
      </x:c>
      <x:c r="I9" s="85" t="n">
        <x:v>46207</x:v>
      </x:c>
      <x:c r="J9" s="85" t="n">
        <x:v>46310</x:v>
      </x:c>
      <x:c r="K9" s="84" t="n">
        <x:v>141.7</x:v>
      </x:c>
      <x:c r="L9" s="84" t="n">
        <x:v>19.8</x:v>
      </x:c>
      <x:c r="M9" s="84" t="n">
        <x:v>44.7</x:v>
      </x:c>
      <x:c r="N9" s="83" t="n">
        <x:v>30</x:v>
      </x:c>
      <x:c r="O9" s="86" t="n">
        <x:v>0.738015080663331</x:v>
      </x:c>
      <x:c r="P9" s="87" t="n">
        <x:v>43</x:v>
      </x:c>
      <x:c r="Q9" s="83" t="n">
        <x:v>56</x:v>
      </x:c>
      <x:c r="R9" s="83" t="s">
        <x:v>528</x:v>
      </x:c>
      <x:c r="S9" s="86" t="n">
        <x:v>0.139959628334068</x:v>
      </x:c>
      <x:c r="T9" s="88" t="n">
        <x:f aca="0">IFERROR(AVERAGEIF('11_Task_Data'!$A$6:$A$605,A9,'11_Task_Data'!$I$6:$I$605),0)</x:f>
        <x:v>19.833333333333332</x:v>
      </x:c>
      <x:c r="U9" s="89" t="n">
        <x:f aca="0">COUNTIFS('11_Task_Data'!$A$6:$A$605,A9,'11_Task_Data'!$J$6:$J$605,"Blocked")+COUNTIFS('11_Task_Data'!$A$6:$A$605,A9,'11_Task_Data'!$K$6:$K$605,"&lt;&gt;"&amp;"")</x:f>
        <x:v>1</x:v>
      </x:c>
      <x:c r="V9" s="89" t="n">
        <x:f aca="0">COUNTIFS('11_Task_Data'!$A$6:$A$605,A9,'11_Task_Data'!$L$6:$L$605,"YES")</x:f>
        <x:v>0</x:v>
      </x:c>
      <x:c r="W9" s="89" t="n">
        <x:v>16</x:v>
      </x:c>
      <x:c r="X9" s="90" t="s">
        <x:v>65</x:v>
      </x:c>
      <x:c r="Y9" s="89" t="str">
        <x:f aca="0">IF(COUNTA(A9:S9)=19,"PASS","CHECK")</x:f>
        <x:v>PASS</x:v>
      </x:c>
      <x:c r="Z9" s="278" t="n">
        <x:f>IF(COUNTIF($A$6:$A$105,A9)&gt;1,1,0)</x:f>
        <x:v>0</x:v>
      </x:c>
    </x:row>
    <x:row r="10" ht="15" hidden="0">
      <x:c r="A10" s="83" t="s">
        <x:v>296</x:v>
      </x:c>
      <x:c r="B10" s="83" t="s">
        <x:v>297</x:v>
      </x:c>
      <x:c r="C10" s="83" t="s">
        <x:v>68</x:v>
      </x:c>
      <x:c r="D10" s="83" t="s">
        <x:v>531</x:v>
      </x:c>
      <x:c r="E10" s="83" t="s">
        <x:v>111</x:v>
      </x:c>
      <x:c r="F10" s="83" t="s">
        <x:v>116</x:v>
      </x:c>
      <x:c r="G10" s="83" t="s">
        <x:v>86</x:v>
      </x:c>
      <x:c r="H10" s="84" t="n">
        <x:v>53.4</x:v>
      </x:c>
      <x:c r="I10" s="85" t="n">
        <x:v>46208</x:v>
      </x:c>
      <x:c r="J10" s="85" t="n">
        <x:v>46335</x:v>
      </x:c>
      <x:c r="K10" s="84" t="n">
        <x:v>110.7</x:v>
      </x:c>
      <x:c r="L10" s="84" t="n">
        <x:v>23.8</x:v>
      </x:c>
      <x:c r="M10" s="84" t="n">
        <x:v>5.6</x:v>
      </x:c>
      <x:c r="N10" s="83" t="n">
        <x:v>31</x:v>
      </x:c>
      <x:c r="O10" s="86" t="n">
        <x:v>0.71170546609439</x:v>
      </x:c>
      <x:c r="P10" s="87" t="n">
        <x:v>33</x:v>
      </x:c>
      <x:c r="Q10" s="83" t="n">
        <x:v>80</x:v>
      </x:c>
      <x:c r="R10" s="83" t="s">
        <x:v>534</x:v>
      </x:c>
      <x:c r="S10" s="86" t="n">
        <x:v>0.214946125349265</x:v>
      </x:c>
      <x:c r="T10" s="88" t="n">
        <x:f aca="0">IFERROR(AVERAGEIF('11_Task_Data'!$A$6:$A$605,A10,'11_Task_Data'!$I$6:$I$605),0)</x:f>
        <x:v>85.33333333333333</x:v>
      </x:c>
      <x:c r="U10" s="89" t="n">
        <x:f aca="0">COUNTIFS('11_Task_Data'!$A$6:$A$605,A10,'11_Task_Data'!$J$6:$J$605,"Blocked")+COUNTIFS('11_Task_Data'!$A$6:$A$605,A10,'11_Task_Data'!$K$6:$K$605,"&lt;&gt;"&amp;"")</x:f>
        <x:v>2</x:v>
      </x:c>
      <x:c r="V10" s="89" t="n">
        <x:f aca="0">COUNTIFS('11_Task_Data'!$A$6:$A$605,A10,'11_Task_Data'!$L$6:$L$605,"YES")</x:f>
        <x:v>0</x:v>
      </x:c>
      <x:c r="W10" s="89" t="n">
        <x:v>3</x:v>
      </x:c>
      <x:c r="X10" s="90" t="s">
        <x:v>63</x:v>
      </x:c>
      <x:c r="Y10" s="89" t="str">
        <x:f aca="0">IF(COUNTA(A10:S10)=19,"PASS","CHECK")</x:f>
        <x:v>PASS</x:v>
      </x:c>
      <x:c r="Z10" s="278" t="n">
        <x:f>IF(COUNTIF($A$6:$A$105,A10)&gt;1,1,0)</x:f>
        <x:v>0</x:v>
      </x:c>
    </x:row>
    <x:row r="11" ht="15" hidden="0">
      <x:c r="A11" s="83" t="s">
        <x:v>185</x:v>
      </x:c>
      <x:c r="B11" s="83" t="s">
        <x:v>186</x:v>
      </x:c>
      <x:c r="C11" s="83" t="s">
        <x:v>67</x:v>
      </x:c>
      <x:c r="D11" s="83" t="s">
        <x:v>531</x:v>
      </x:c>
      <x:c r="E11" s="83" t="s">
        <x:v>114</x:v>
      </x:c>
      <x:c r="F11" s="83" t="s">
        <x:v>113</x:v>
      </x:c>
      <x:c r="G11" s="83" t="s">
        <x:v>97</x:v>
      </x:c>
      <x:c r="H11" s="84" t="n">
        <x:v>113.4</x:v>
      </x:c>
      <x:c r="I11" s="85" t="n">
        <x:v>46209</x:v>
      </x:c>
      <x:c r="J11" s="85" t="n">
        <x:v>46293</x:v>
      </x:c>
      <x:c r="K11" s="84" t="n">
        <x:v>241.9</x:v>
      </x:c>
      <x:c r="L11" s="84" t="n">
        <x:v>56.4</x:v>
      </x:c>
      <x:c r="M11" s="84" t="n">
        <x:v>13</x:v>
      </x:c>
      <x:c r="N11" s="83" t="n">
        <x:v>13</x:v>
      </x:c>
      <x:c r="O11" s="86" t="n">
        <x:v>0.66303121140483</x:v>
      </x:c>
      <x:c r="P11" s="87" t="n">
        <x:v>53</x:v>
      </x:c>
      <x:c r="Q11" s="83" t="n">
        <x:v>80</x:v>
      </x:c>
      <x:c r="R11" s="83" t="s">
        <x:v>532</x:v>
      </x:c>
      <x:c r="S11" s="86" t="n">
        <x:v>0.232962107958856</x:v>
      </x:c>
      <x:c r="T11" s="88" t="n">
        <x:f aca="0">IFERROR(AVERAGEIF('11_Task_Data'!$A$6:$A$605,A11,'11_Task_Data'!$I$6:$I$605),0)</x:f>
        <x:v>60</x:v>
      </x:c>
      <x:c r="U11" s="89" t="n">
        <x:f aca="0">COUNTIFS('11_Task_Data'!$A$6:$A$605,A11,'11_Task_Data'!$J$6:$J$605,"Blocked")+COUNTIFS('11_Task_Data'!$A$6:$A$605,A11,'11_Task_Data'!$K$6:$K$605,"&lt;&gt;"&amp;"")</x:f>
        <x:v>3</x:v>
      </x:c>
      <x:c r="V11" s="89" t="n">
        <x:f aca="0">COUNTIFS('11_Task_Data'!$A$6:$A$605,A11,'11_Task_Data'!$L$6:$L$605,"YES")</x:f>
        <x:v>0</x:v>
      </x:c>
      <x:c r="W11" s="89" t="n">
        <x:v>8</x:v>
      </x:c>
      <x:c r="X11" s="90" t="s">
        <x:v>65</x:v>
      </x:c>
      <x:c r="Y11" s="89" t="str">
        <x:f aca="0">IF(COUNTA(A11:S11)=19,"PASS","CHECK")</x:f>
        <x:v>PASS</x:v>
      </x:c>
      <x:c r="Z11" s="278" t="n">
        <x:f>IF(COUNTIF($A$6:$A$105,A11)&gt;1,1,0)</x:f>
        <x:v>0</x:v>
      </x:c>
    </x:row>
    <x:row r="12" ht="15" hidden="0">
      <x:c r="A12" s="83" t="s">
        <x:v>152</x:v>
      </x:c>
      <x:c r="B12" s="83" t="s">
        <x:v>153</x:v>
      </x:c>
      <x:c r="C12" s="83" t="s">
        <x:v>123</x:v>
      </x:c>
      <x:c r="D12" s="83" t="s">
        <x:v>535</x:v>
      </x:c>
      <x:c r="E12" s="83" t="s">
        <x:v>111</x:v>
      </x:c>
      <x:c r="F12" s="83" t="s">
        <x:v>110</x:v>
      </x:c>
      <x:c r="G12" s="83" t="s">
        <x:v>97</x:v>
      </x:c>
      <x:c r="H12" s="84" t="n">
        <x:v>116.8</x:v>
      </x:c>
      <x:c r="I12" s="85" t="n">
        <x:v>46210</x:v>
      </x:c>
      <x:c r="J12" s="85" t="n">
        <x:v>46298</x:v>
      </x:c>
      <x:c r="K12" s="84" t="n">
        <x:v>187.9</x:v>
      </x:c>
      <x:c r="L12" s="84" t="n">
        <x:v>61.8</x:v>
      </x:c>
      <x:c r="M12" s="84" t="n">
        <x:v>47.7</x:v>
      </x:c>
      <x:c r="N12" s="83" t="n">
        <x:v>8</x:v>
      </x:c>
      <x:c r="O12" s="86" t="n">
        <x:v>0.870097343226836</x:v>
      </x:c>
      <x:c r="P12" s="87" t="n">
        <x:v>74</x:v>
      </x:c>
      <x:c r="Q12" s="83" t="n">
        <x:v>58</x:v>
      </x:c>
      <x:c r="R12" s="83" t="s">
        <x:v>528</x:v>
      </x:c>
      <x:c r="S12" s="86" t="n">
        <x:v>0.328824123338775</x:v>
      </x:c>
      <x:c r="T12" s="88" t="n">
        <x:f aca="0">IFERROR(AVERAGEIF('11_Task_Data'!$A$6:$A$605,A12,'11_Task_Data'!$I$6:$I$605),0)</x:f>
        <x:v>35.666666666666664</x:v>
      </x:c>
      <x:c r="U12" s="89" t="n">
        <x:f aca="0">COUNTIFS('11_Task_Data'!$A$6:$A$605,A12,'11_Task_Data'!$J$6:$J$605,"Blocked")+COUNTIFS('11_Task_Data'!$A$6:$A$605,A12,'11_Task_Data'!$K$6:$K$605,"&lt;&gt;"&amp;"")</x:f>
        <x:v>6</x:v>
      </x:c>
      <x:c r="V12" s="89" t="n">
        <x:f aca="0">COUNTIFS('11_Task_Data'!$A$6:$A$605,A12,'11_Task_Data'!$L$6:$L$605,"YES")</x:f>
        <x:v>3</x:v>
      </x:c>
      <x:c r="W12" s="89" t="n">
        <x:v>17</x:v>
      </x:c>
      <x:c r="X12" s="90" t="s">
        <x:v>65</x:v>
      </x:c>
      <x:c r="Y12" s="89" t="str">
        <x:f aca="0">IF(COUNTA(A12:S12)=19,"PASS","CHECK")</x:f>
        <x:v>PASS</x:v>
      </x:c>
      <x:c r="Z12" s="278" t="n">
        <x:f>IF(COUNTIF($A$6:$A$105,A12)&gt;1,1,0)</x:f>
        <x:v>0</x:v>
      </x:c>
    </x:row>
    <x:row r="13" ht="15" hidden="0">
      <x:c r="A13" s="83" t="s">
        <x:v>304</x:v>
      </x:c>
      <x:c r="B13" s="83" t="s">
        <x:v>305</x:v>
      </x:c>
      <x:c r="C13" s="83" t="s">
        <x:v>69</x:v>
      </x:c>
      <x:c r="D13" s="83" t="s">
        <x:v>535</x:v>
      </x:c>
      <x:c r="E13" s="83" t="s">
        <x:v>145</x:v>
      </x:c>
      <x:c r="F13" s="83" t="s">
        <x:v>118</x:v>
      </x:c>
      <x:c r="G13" s="83" t="s">
        <x:v>80</x:v>
      </x:c>
      <x:c r="H13" s="84" t="n">
        <x:v>167</x:v>
      </x:c>
      <x:c r="I13" s="85" t="n">
        <x:v>46211</x:v>
      </x:c>
      <x:c r="J13" s="85" t="n">
        <x:v>46351</x:v>
      </x:c>
      <x:c r="K13" s="84" t="n">
        <x:v>311.3</x:v>
      </x:c>
      <x:c r="L13" s="84" t="n">
        <x:v>84.3</x:v>
      </x:c>
      <x:c r="M13" s="84" t="n">
        <x:v>42.5</x:v>
      </x:c>
      <x:c r="N13" s="83" t="n">
        <x:v>27</x:v>
      </x:c>
      <x:c r="O13" s="86" t="n">
        <x:v>1.00214855678602</x:v>
      </x:c>
      <x:c r="P13" s="87" t="n">
        <x:v>15</x:v>
      </x:c>
      <x:c r="Q13" s="83" t="n">
        <x:v>82</x:v>
      </x:c>
      <x:c r="R13" s="83" t="s">
        <x:v>528</x:v>
      </x:c>
      <x:c r="S13" s="86" t="n">
        <x:v>0.270792902518909</x:v>
      </x:c>
      <x:c r="T13" s="88" t="n">
        <x:f aca="0">IFERROR(AVERAGEIF('11_Task_Data'!$A$6:$A$605,A13,'11_Task_Data'!$I$6:$I$605),0)</x:f>
        <x:v>83.16666666666667</x:v>
      </x:c>
      <x:c r="U13" s="89" t="n">
        <x:f aca="0">COUNTIFS('11_Task_Data'!$A$6:$A$605,A13,'11_Task_Data'!$J$6:$J$605,"Blocked")+COUNTIFS('11_Task_Data'!$A$6:$A$605,A13,'11_Task_Data'!$K$6:$K$605,"&lt;&gt;"&amp;"")</x:f>
        <x:v>1</x:v>
      </x:c>
      <x:c r="V13" s="89" t="n">
        <x:f aca="0">COUNTIFS('11_Task_Data'!$A$6:$A$605,A13,'11_Task_Data'!$L$6:$L$605,"YES")</x:f>
        <x:v>0</x:v>
      </x:c>
      <x:c r="W13" s="89" t="n">
        <x:v>3</x:v>
      </x:c>
      <x:c r="X13" s="90" t="s">
        <x:v>63</x:v>
      </x:c>
      <x:c r="Y13" s="89" t="str">
        <x:f aca="0">IF(COUNTA(A13:S13)=19,"PASS","CHECK")</x:f>
        <x:v>PASS</x:v>
      </x:c>
      <x:c r="Z13" s="278" t="n">
        <x:f>IF(COUNTIF($A$6:$A$105,A13)&gt;1,1,0)</x:f>
        <x:v>0</x:v>
      </x:c>
    </x:row>
    <x:row r="14" ht="15" hidden="0">
      <x:c r="A14" s="83" t="s">
        <x:v>179</x:v>
      </x:c>
      <x:c r="B14" s="83" t="s">
        <x:v>180</x:v>
      </x:c>
      <x:c r="C14" s="83" t="s">
        <x:v>69</x:v>
      </x:c>
      <x:c r="D14" s="83" t="s">
        <x:v>531</x:v>
      </x:c>
      <x:c r="E14" s="83" t="s">
        <x:v>129</x:v>
      </x:c>
      <x:c r="F14" s="83" t="s">
        <x:v>113</x:v>
      </x:c>
      <x:c r="G14" s="83" t="s">
        <x:v>160</x:v>
      </x:c>
      <x:c r="H14" s="84" t="n">
        <x:v>40.6</x:v>
      </x:c>
      <x:c r="I14" s="85" t="n">
        <x:v>46212</x:v>
      </x:c>
      <x:c r="J14" s="85" t="n">
        <x:v>46300</x:v>
      </x:c>
      <x:c r="K14" s="84" t="n">
        <x:v>54.1</x:v>
      </x:c>
      <x:c r="L14" s="84" t="n">
        <x:v>16.1</x:v>
      </x:c>
      <x:c r="M14" s="84" t="n">
        <x:v>19</x:v>
      </x:c>
      <x:c r="N14" s="83" t="n">
        <x:v>28</x:v>
      </x:c>
      <x:c r="O14" s="86" t="n">
        <x:v>0.630500906577114</x:v>
      </x:c>
      <x:c r="P14" s="87" t="n">
        <x:v>56</x:v>
      </x:c>
      <x:c r="Q14" s="83" t="n">
        <x:v>68</x:v>
      </x:c>
      <x:c r="R14" s="83" t="s">
        <x:v>534</x:v>
      </x:c>
      <x:c r="S14" s="86" t="n">
        <x:v>0.298501807715641</x:v>
      </x:c>
      <x:c r="T14" s="88" t="n">
        <x:f aca="0">IFERROR(AVERAGEIF('11_Task_Data'!$A$6:$A$605,A14,'11_Task_Data'!$I$6:$I$605),0)</x:f>
        <x:v>22.166666666666668</x:v>
      </x:c>
      <x:c r="U14" s="89" t="n">
        <x:f aca="0">COUNTIFS('11_Task_Data'!$A$6:$A$605,A14,'11_Task_Data'!$J$6:$J$605,"Blocked")+COUNTIFS('11_Task_Data'!$A$6:$A$605,A14,'11_Task_Data'!$K$6:$K$605,"&lt;&gt;"&amp;"")</x:f>
        <x:v>2</x:v>
      </x:c>
      <x:c r="V14" s="89" t="n">
        <x:f aca="0">COUNTIFS('11_Task_Data'!$A$6:$A$605,A14,'11_Task_Data'!$L$6:$L$605,"YES")</x:f>
        <x:v>0</x:v>
      </x:c>
      <x:c r="W14" s="89" t="n">
        <x:v>16</x:v>
      </x:c>
      <x:c r="X14" s="90" t="s">
        <x:v>65</x:v>
      </x:c>
      <x:c r="Y14" s="89" t="str">
        <x:f aca="0">IF(COUNTA(A14:S14)=19,"PASS","CHECK")</x:f>
        <x:v>PASS</x:v>
      </x:c>
      <x:c r="Z14" s="278" t="n">
        <x:f>IF(COUNTIF($A$6:$A$105,A14)&gt;1,1,0)</x:f>
        <x:v>0</x:v>
      </x:c>
    </x:row>
    <x:row r="15" ht="15" hidden="0">
      <x:c r="A15" s="83" t="s">
        <x:v>169</x:v>
      </x:c>
      <x:c r="B15" s="83" t="s">
        <x:v>170</x:v>
      </x:c>
      <x:c r="C15" s="83" t="s">
        <x:v>68</x:v>
      </x:c>
      <x:c r="D15" s="83" t="s">
        <x:v>535</x:v>
      </x:c>
      <x:c r="E15" s="83" t="s">
        <x:v>129</x:v>
      </x:c>
      <x:c r="F15" s="83" t="s">
        <x:v>110</x:v>
      </x:c>
      <x:c r="G15" s="83" t="s">
        <x:v>86</x:v>
      </x:c>
      <x:c r="H15" s="84" t="n">
        <x:v>54</x:v>
      </x:c>
      <x:c r="I15" s="85" t="n">
        <x:v>46213</x:v>
      </x:c>
      <x:c r="J15" s="85" t="n">
        <x:v>46324</x:v>
      </x:c>
      <x:c r="K15" s="84" t="n">
        <x:v>113.8</x:v>
      </x:c>
      <x:c r="L15" s="84" t="n">
        <x:v>36</x:v>
      </x:c>
      <x:c r="M15" s="84" t="n">
        <x:v>34</x:v>
      </x:c>
      <x:c r="N15" s="83" t="n">
        <x:v>25</x:v>
      </x:c>
      <x:c r="O15" s="86" t="n">
        <x:v>0.794630091553497</x:v>
      </x:c>
      <x:c r="P15" s="87" t="n">
        <x:v>61</x:v>
      </x:c>
      <x:c r="Q15" s="83" t="n">
        <x:v>57</x:v>
      </x:c>
      <x:c r="R15" s="83" t="s">
        <x:v>530</x:v>
      </x:c>
      <x:c r="S15" s="86" t="n">
        <x:v>0.31653150739458</x:v>
      </x:c>
      <x:c r="T15" s="88" t="n">
        <x:f aca="0">IFERROR(AVERAGEIF('11_Task_Data'!$A$6:$A$605,A15,'11_Task_Data'!$I$6:$I$605),0)</x:f>
        <x:v>77.66666666666667</x:v>
      </x:c>
      <x:c r="U15" s="89" t="n">
        <x:f aca="0">COUNTIFS('11_Task_Data'!$A$6:$A$605,A15,'11_Task_Data'!$J$6:$J$605,"Blocked")+COUNTIFS('11_Task_Data'!$A$6:$A$605,A15,'11_Task_Data'!$K$6:$K$605,"&lt;&gt;"&amp;"")</x:f>
        <x:v>1</x:v>
      </x:c>
      <x:c r="V15" s="89" t="n">
        <x:f aca="0">COUNTIFS('11_Task_Data'!$A$6:$A$605,A15,'11_Task_Data'!$L$6:$L$605,"YES")</x:f>
        <x:v>0</x:v>
      </x:c>
      <x:c r="W15" s="89" t="n">
        <x:v>4</x:v>
      </x:c>
      <x:c r="X15" s="90" t="s">
        <x:v>65</x:v>
      </x:c>
      <x:c r="Y15" s="89" t="str">
        <x:f aca="0">IF(COUNTA(A15:S15)=19,"PASS","CHECK")</x:f>
        <x:v>PASS</x:v>
      </x:c>
      <x:c r="Z15" s="278" t="n">
        <x:f>IF(COUNTIF($A$6:$A$105,A15)&gt;1,1,0)</x:f>
        <x:v>0</x:v>
      </x:c>
    </x:row>
    <x:row r="16" ht="15" hidden="0">
      <x:c r="A16" s="83" t="s">
        <x:v>130</x:v>
      </x:c>
      <x:c r="B16" s="83" t="s">
        <x:v>131</x:v>
      </x:c>
      <x:c r="C16" s="83" t="s">
        <x:v>64</x:v>
      </x:c>
      <x:c r="D16" s="83" t="s">
        <x:v>529</x:v>
      </x:c>
      <x:c r="E16" s="83" t="s">
        <x:v>114</x:v>
      </x:c>
      <x:c r="F16" s="83" t="s">
        <x:v>110</x:v>
      </x:c>
      <x:c r="G16" s="83" t="s">
        <x:v>132</x:v>
      </x:c>
      <x:c r="H16" s="84" t="n">
        <x:v>114.1</x:v>
      </x:c>
      <x:c r="I16" s="85" t="n">
        <x:v>46214</x:v>
      </x:c>
      <x:c r="J16" s="85" t="n">
        <x:v>46363</x:v>
      </x:c>
      <x:c r="K16" s="84" t="n">
        <x:v>236.2</x:v>
      </x:c>
      <x:c r="L16" s="84" t="n">
        <x:v>53.7</x:v>
      </x:c>
      <x:c r="M16" s="84" t="n">
        <x:v>12.3</x:v>
      </x:c>
      <x:c r="N16" s="83" t="n">
        <x:v>17</x:v>
      </x:c>
      <x:c r="O16" s="86" t="n">
        <x:v>0.991106858756309</x:v>
      </x:c>
      <x:c r="P16" s="87" t="n">
        <x:v>80</x:v>
      </x:c>
      <x:c r="Q16" s="83" t="n">
        <x:v>82</x:v>
      </x:c>
      <x:c r="R16" s="83" t="s">
        <x:v>528</x:v>
      </x:c>
      <x:c r="S16" s="86" t="n">
        <x:v>0.227149940681181</x:v>
      </x:c>
      <x:c r="T16" s="88" t="n">
        <x:f aca="0">IFERROR(AVERAGEIF('11_Task_Data'!$A$6:$A$605,A16,'11_Task_Data'!$I$6:$I$605),0)</x:f>
        <x:v>88</x:v>
      </x:c>
      <x:c r="U16" s="89" t="n">
        <x:f aca="0">COUNTIFS('11_Task_Data'!$A$6:$A$605,A16,'11_Task_Data'!$J$6:$J$605,"Blocked")+COUNTIFS('11_Task_Data'!$A$6:$A$605,A16,'11_Task_Data'!$K$6:$K$605,"&lt;&gt;"&amp;"")</x:f>
        <x:v>2</x:v>
      </x:c>
      <x:c r="V16" s="89" t="n">
        <x:f aca="0">COUNTIFS('11_Task_Data'!$A$6:$A$605,A16,'11_Task_Data'!$L$6:$L$605,"YES")</x:f>
        <x:v>0</x:v>
      </x:c>
      <x:c r="W16" s="89" t="n">
        <x:v>2</x:v>
      </x:c>
      <x:c r="X16" s="90" t="s">
        <x:v>65</x:v>
      </x:c>
      <x:c r="Y16" s="89" t="str">
        <x:f aca="0">IF(COUNTA(A16:S16)=19,"PASS","CHECK")</x:f>
        <x:v>PASS</x:v>
      </x:c>
      <x:c r="Z16" s="278" t="n">
        <x:f>IF(COUNTIF($A$6:$A$105,A16)&gt;1,1,0)</x:f>
        <x:v>0</x:v>
      </x:c>
    </x:row>
    <x:row r="17" ht="15" hidden="0">
      <x:c r="A17" s="83" t="s">
        <x:v>163</x:v>
      </x:c>
      <x:c r="B17" s="83" t="s">
        <x:v>164</x:v>
      </x:c>
      <x:c r="C17" s="83" t="s">
        <x:v>67</x:v>
      </x:c>
      <x:c r="D17" s="83" t="s">
        <x:v>535</x:v>
      </x:c>
      <x:c r="E17" s="83" t="s">
        <x:v>129</x:v>
      </x:c>
      <x:c r="F17" s="83" t="s">
        <x:v>107</x:v>
      </x:c>
      <x:c r="G17" s="83" t="s">
        <x:v>97</x:v>
      </x:c>
      <x:c r="H17" s="84" t="n">
        <x:v>102.8</x:v>
      </x:c>
      <x:c r="I17" s="85" t="n">
        <x:v>46215</x:v>
      </x:c>
      <x:c r="J17" s="85" t="n">
        <x:v>46287</x:v>
      </x:c>
      <x:c r="K17" s="84" t="n">
        <x:v>136.1</x:v>
      </x:c>
      <x:c r="L17" s="84" t="n">
        <x:v>17.1</x:v>
      </x:c>
      <x:c r="M17" s="84" t="n">
        <x:v>8</x:v>
      </x:c>
      <x:c r="N17" s="83" t="n">
        <x:v>38</x:v>
      </x:c>
      <x:c r="O17" s="86" t="n">
        <x:v>0.917694729089214</x:v>
      </x:c>
      <x:c r="P17" s="87" t="n">
        <x:v>68</x:v>
      </x:c>
      <x:c r="Q17" s="83" t="n">
        <x:v>72</x:v>
      </x:c>
      <x:c r="R17" s="83" t="s">
        <x:v>532</x:v>
      </x:c>
      <x:c r="S17" s="86" t="n">
        <x:v>0.12577780422784</x:v>
      </x:c>
      <x:c r="T17" s="88" t="n">
        <x:f aca="0">IFERROR(AVERAGEIF('11_Task_Data'!$A$6:$A$605,A17,'11_Task_Data'!$I$6:$I$605),0)</x:f>
        <x:v>36.166666666666664</x:v>
      </x:c>
      <x:c r="U17" s="89" t="n">
        <x:f aca="0">COUNTIFS('11_Task_Data'!$A$6:$A$605,A17,'11_Task_Data'!$J$6:$J$605,"Blocked")+COUNTIFS('11_Task_Data'!$A$6:$A$605,A17,'11_Task_Data'!$K$6:$K$605,"&lt;&gt;"&amp;"")</x:f>
        <x:v>7</x:v>
      </x:c>
      <x:c r="V17" s="89" t="n">
        <x:f aca="0">COUNTIFS('11_Task_Data'!$A$6:$A$605,A17,'11_Task_Data'!$L$6:$L$605,"YES")</x:f>
        <x:v>3</x:v>
      </x:c>
      <x:c r="W17" s="89" t="n">
        <x:v>17</x:v>
      </x:c>
      <x:c r="X17" s="90" t="s">
        <x:v>65</x:v>
      </x:c>
      <x:c r="Y17" s="89" t="str">
        <x:f aca="0">IF(COUNTA(A17:S17)=19,"PASS","CHECK")</x:f>
        <x:v>PASS</x:v>
      </x:c>
      <x:c r="Z17" s="278" t="n">
        <x:f>IF(COUNTIF($A$6:$A$105,A17)&gt;1,1,0)</x:f>
        <x:v>0</x:v>
      </x:c>
    </x:row>
    <x:row r="18" ht="15" hidden="0">
      <x:c r="A18" s="83" t="s">
        <x:v>302</x:v>
      </x:c>
      <x:c r="B18" s="83" t="s">
        <x:v>303</x:v>
      </x:c>
      <x:c r="C18" s="83" t="s">
        <x:v>69</x:v>
      </x:c>
      <x:c r="D18" s="83" t="s">
        <x:v>535</x:v>
      </x:c>
      <x:c r="E18" s="83" t="s">
        <x:v>114</x:v>
      </x:c>
      <x:c r="F18" s="83" t="s">
        <x:v>116</x:v>
      </x:c>
      <x:c r="G18" s="83" t="s">
        <x:v>88</x:v>
      </x:c>
      <x:c r="H18" s="84" t="n">
        <x:v>138.9</x:v>
      </x:c>
      <x:c r="I18" s="85" t="n">
        <x:v>46216</x:v>
      </x:c>
      <x:c r="J18" s="85" t="n">
        <x:v>46308</x:v>
      </x:c>
      <x:c r="K18" s="84" t="n">
        <x:v>161.1</x:v>
      </x:c>
      <x:c r="L18" s="84" t="n">
        <x:v>43.7</x:v>
      </x:c>
      <x:c r="M18" s="84" t="n">
        <x:v>34.5</x:v>
      </x:c>
      <x:c r="N18" s="83" t="n">
        <x:v>18</x:v>
      </x:c>
      <x:c r="O18" s="86" t="n">
        <x:v>0.930577900838279</x:v>
      </x:c>
      <x:c r="P18" s="87" t="n">
        <x:v>24</x:v>
      </x:c>
      <x:c r="Q18" s="83" t="n">
        <x:v>66</x:v>
      </x:c>
      <x:c r="R18" s="83" t="s">
        <x:v>532</x:v>
      </x:c>
      <x:c r="S18" s="86" t="n">
        <x:v>0.270969898594773</x:v>
      </x:c>
      <x:c r="T18" s="88" t="n">
        <x:f aca="0">IFERROR(AVERAGEIF('11_Task_Data'!$A$6:$A$605,A18,'11_Task_Data'!$I$6:$I$605),0)</x:f>
        <x:v>64.33333333333333</x:v>
      </x:c>
      <x:c r="U18" s="89" t="n">
        <x:f aca="0">COUNTIFS('11_Task_Data'!$A$6:$A$605,A18,'11_Task_Data'!$J$6:$J$605,"Blocked")+COUNTIFS('11_Task_Data'!$A$6:$A$605,A18,'11_Task_Data'!$K$6:$K$605,"&lt;&gt;"&amp;"")</x:f>
        <x:v>1</x:v>
      </x:c>
      <x:c r="V18" s="89" t="n">
        <x:f aca="0">COUNTIFS('11_Task_Data'!$A$6:$A$605,A18,'11_Task_Data'!$L$6:$L$605,"YES")</x:f>
        <x:v>0</x:v>
      </x:c>
      <x:c r="W18" s="89" t="n">
        <x:v>7</x:v>
      </x:c>
      <x:c r="X18" s="90" t="s">
        <x:v>63</x:v>
      </x:c>
      <x:c r="Y18" s="89" t="str">
        <x:f aca="0">IF(COUNTA(A18:S18)=19,"PASS","CHECK")</x:f>
        <x:v>PASS</x:v>
      </x:c>
      <x:c r="Z18" s="278" t="n">
        <x:f>IF(COUNTIF($A$6:$A$105,A18)&gt;1,1,0)</x:f>
        <x:v>0</x:v>
      </x:c>
    </x:row>
    <x:row r="19" ht="15" hidden="0">
      <x:c r="A19" s="83" t="s">
        <x:v>216</x:v>
      </x:c>
      <x:c r="B19" s="83" t="s">
        <x:v>217</x:v>
      </x:c>
      <x:c r="C19" s="83" t="s">
        <x:v>68</x:v>
      </x:c>
      <x:c r="D19" s="83" t="s">
        <x:v>533</x:v>
      </x:c>
      <x:c r="E19" s="83" t="s">
        <x:v>111</x:v>
      </x:c>
      <x:c r="F19" s="83" t="s">
        <x:v>118</x:v>
      </x:c>
      <x:c r="G19" s="83" t="s">
        <x:v>160</x:v>
      </x:c>
      <x:c r="H19" s="84" t="n">
        <x:v>111.5</x:v>
      </x:c>
      <x:c r="I19" s="85" t="n">
        <x:v>46217</x:v>
      </x:c>
      <x:c r="J19" s="85" t="n">
        <x:v>46297</x:v>
      </x:c>
      <x:c r="K19" s="84" t="n">
        <x:v>149</x:v>
      </x:c>
      <x:c r="L19" s="84" t="n">
        <x:v>28</x:v>
      </x:c>
      <x:c r="M19" s="84" t="n">
        <x:v>14.8</x:v>
      </x:c>
      <x:c r="N19" s="83" t="n">
        <x:v>11</x:v>
      </x:c>
      <x:c r="O19" s="86" t="n">
        <x:v>0.956620164215429</x:v>
      </x:c>
      <x:c r="P19" s="87" t="n">
        <x:v>38</x:v>
      </x:c>
      <x:c r="Q19" s="83" t="n">
        <x:v>91</x:v>
      </x:c>
      <x:c r="R19" s="83" t="s">
        <x:v>528</x:v>
      </x:c>
      <x:c r="S19" s="86" t="n">
        <x:v>0.188072532507506</x:v>
      </x:c>
      <x:c r="T19" s="88" t="n">
        <x:f aca="0">IFERROR(AVERAGEIF('11_Task_Data'!$A$6:$A$605,A19,'11_Task_Data'!$I$6:$I$605),0)</x:f>
        <x:v>31</x:v>
      </x:c>
      <x:c r="U19" s="89" t="n">
        <x:f aca="0">COUNTIFS('11_Task_Data'!$A$6:$A$605,A19,'11_Task_Data'!$J$6:$J$605,"Blocked")+COUNTIFS('11_Task_Data'!$A$6:$A$605,A19,'11_Task_Data'!$K$6:$K$605,"&lt;&gt;"&amp;"")</x:f>
        <x:v>3</x:v>
      </x:c>
      <x:c r="V19" s="89" t="n">
        <x:f aca="0">COUNTIFS('11_Task_Data'!$A$6:$A$605,A19,'11_Task_Data'!$L$6:$L$605,"YES")</x:f>
        <x:v>0</x:v>
      </x:c>
      <x:c r="W19" s="89" t="n">
        <x:v>15</x:v>
      </x:c>
      <x:c r="X19" s="90" t="s">
        <x:v>65</x:v>
      </x:c>
      <x:c r="Y19" s="89" t="str">
        <x:f aca="0">IF(COUNTA(A19:S19)=19,"PASS","CHECK")</x:f>
        <x:v>PASS</x:v>
      </x:c>
      <x:c r="Z19" s="278" t="n">
        <x:f>IF(COUNTIF($A$6:$A$105,A19)&gt;1,1,0)</x:f>
        <x:v>0</x:v>
      </x:c>
    </x:row>
    <x:row r="20" ht="15" hidden="0">
      <x:c r="A20" s="83" t="s">
        <x:v>125</x:v>
      </x:c>
      <x:c r="B20" s="83" t="s">
        <x:v>126</x:v>
      </x:c>
      <x:c r="C20" s="83" t="s">
        <x:v>62</x:v>
      </x:c>
      <x:c r="D20" s="83" t="s">
        <x:v>528</x:v>
      </x:c>
      <x:c r="E20" s="83" t="s">
        <x:v>108</x:v>
      </x:c>
      <x:c r="F20" s="83" t="s">
        <x:v>110</x:v>
      </x:c>
      <x:c r="G20" s="83" t="s">
        <x:v>80</x:v>
      </x:c>
      <x:c r="H20" s="84" t="n">
        <x:v>91.4</x:v>
      </x:c>
      <x:c r="I20" s="85" t="n">
        <x:v>46218</x:v>
      </x:c>
      <x:c r="J20" s="85" t="n">
        <x:v>46278</x:v>
      </x:c>
      <x:c r="K20" s="84" t="n">
        <x:v>178.7</x:v>
      </x:c>
      <x:c r="L20" s="84" t="n">
        <x:v>22.8</x:v>
      </x:c>
      <x:c r="M20" s="84" t="n">
        <x:v>47.3</x:v>
      </x:c>
      <x:c r="N20" s="83" t="n">
        <x:v>34</x:v>
      </x:c>
      <x:c r="O20" s="86" t="n">
        <x:v>0.645859220886673</x:v>
      </x:c>
      <x:c r="P20" s="87" t="n">
        <x:v>81</x:v>
      </x:c>
      <x:c r="Q20" s="83" t="n">
        <x:v>58</x:v>
      </x:c>
      <x:c r="R20" s="83" t="s">
        <x:v>528</x:v>
      </x:c>
      <x:c r="S20" s="86" t="n">
        <x:v>0.127808558346957</x:v>
      </x:c>
      <x:c r="T20" s="88" t="n">
        <x:f aca="0">IFERROR(AVERAGEIF('11_Task_Data'!$A$6:$A$605,A20,'11_Task_Data'!$I$6:$I$605),0)</x:f>
        <x:v>81.16666666666667</x:v>
      </x:c>
      <x:c r="U20" s="89" t="n">
        <x:f aca="0">COUNTIFS('11_Task_Data'!$A$6:$A$605,A20,'11_Task_Data'!$J$6:$J$605,"Blocked")+COUNTIFS('11_Task_Data'!$A$6:$A$605,A20,'11_Task_Data'!$K$6:$K$605,"&lt;&gt;"&amp;"")</x:f>
        <x:v>2</x:v>
      </x:c>
      <x:c r="V20" s="89" t="n">
        <x:f aca="0">COUNTIFS('11_Task_Data'!$A$6:$A$605,A20,'11_Task_Data'!$L$6:$L$605,"YES")</x:f>
        <x:v>3</x:v>
      </x:c>
      <x:c r="W20" s="89" t="n">
        <x:v>6</x:v>
      </x:c>
      <x:c r="X20" s="90" t="s">
        <x:v>65</x:v>
      </x:c>
      <x:c r="Y20" s="89" t="str">
        <x:f aca="0">IF(COUNTA(A20:S20)=19,"PASS","CHECK")</x:f>
        <x:v>PASS</x:v>
      </x:c>
      <x:c r="Z20" s="278" t="n">
        <x:f>IF(COUNTIF($A$6:$A$105,A20)&gt;1,1,0)</x:f>
        <x:v>0</x:v>
      </x:c>
    </x:row>
    <x:row r="21" ht="15" hidden="0">
      <x:c r="A21" s="83" t="s">
        <x:v>286</x:v>
      </x:c>
      <x:c r="B21" s="83" t="s">
        <x:v>287</x:v>
      </x:c>
      <x:c r="C21" s="83" t="s">
        <x:v>71</x:v>
      </x:c>
      <x:c r="D21" s="83" t="s">
        <x:v>533</x:v>
      </x:c>
      <x:c r="E21" s="83" t="s">
        <x:v>145</x:v>
      </x:c>
      <x:c r="F21" s="83" t="s">
        <x:v>107</x:v>
      </x:c>
      <x:c r="G21" s="83" t="s">
        <x:v>80</x:v>
      </x:c>
      <x:c r="H21" s="84" t="n">
        <x:v>172.5</x:v>
      </x:c>
      <x:c r="I21" s="85" t="n">
        <x:v>46219</x:v>
      </x:c>
      <x:c r="J21" s="85" t="n">
        <x:v>46371</x:v>
      </x:c>
      <x:c r="K21" s="84" t="n">
        <x:v>240.2</x:v>
      </x:c>
      <x:c r="L21" s="84" t="n">
        <x:v>47</x:v>
      </x:c>
      <x:c r="M21" s="84" t="n">
        <x:v>32.1</x:v>
      </x:c>
      <x:c r="N21" s="83" t="n">
        <x:v>37</x:v>
      </x:c>
      <x:c r="O21" s="86" t="n">
        <x:v>1.02672510400653</x:v>
      </x:c>
      <x:c r="P21" s="87" t="n">
        <x:v>48</x:v>
      </x:c>
      <x:c r="Q21" s="83" t="n">
        <x:v>76</x:v>
      </x:c>
      <x:c r="R21" s="83" t="s">
        <x:v>528</x:v>
      </x:c>
      <x:c r="S21" s="86" t="n">
        <x:v>0.19584200371253</x:v>
      </x:c>
      <x:c r="T21" s="88" t="n">
        <x:f aca="0">IFERROR(AVERAGEIF('11_Task_Data'!$A$6:$A$605,A21,'11_Task_Data'!$I$6:$I$605),0)</x:f>
        <x:v>88.83333333333333</x:v>
      </x:c>
      <x:c r="U21" s="89" t="n">
        <x:f aca="0">COUNTIFS('11_Task_Data'!$A$6:$A$605,A21,'11_Task_Data'!$J$6:$J$605,"Blocked")+COUNTIFS('11_Task_Data'!$A$6:$A$605,A21,'11_Task_Data'!$K$6:$K$605,"&lt;&gt;"&amp;"")</x:f>
        <x:v>2</x:v>
      </x:c>
      <x:c r="V21" s="89" t="n">
        <x:f aca="0">COUNTIFS('11_Task_Data'!$A$6:$A$605,A21,'11_Task_Data'!$L$6:$L$605,"YES")</x:f>
        <x:v>0</x:v>
      </x:c>
      <x:c r="W21" s="89" t="n">
        <x:v>2</x:v>
      </x:c>
      <x:c r="X21" s="90" t="s">
        <x:v>63</x:v>
      </x:c>
      <x:c r="Y21" s="89" t="str">
        <x:f aca="0">IF(COUNTA(A21:S21)=19,"PASS","CHECK")</x:f>
        <x:v>PASS</x:v>
      </x:c>
      <x:c r="Z21" s="278" t="n">
        <x:f>IF(COUNTIF($A$6:$A$105,A21)&gt;1,1,0)</x:f>
        <x:v>0</x:v>
      </x:c>
    </x:row>
    <x:row r="22" ht="15" hidden="0">
      <x:c r="A22" s="83" t="s">
        <x:v>187</x:v>
      </x:c>
      <x:c r="B22" s="83" t="s">
        <x:v>188</x:v>
      </x:c>
      <x:c r="C22" s="83" t="s">
        <x:v>123</x:v>
      </x:c>
      <x:c r="D22" s="83" t="s">
        <x:v>535</x:v>
      </x:c>
      <x:c r="E22" s="83" t="s">
        <x:v>108</x:v>
      </x:c>
      <x:c r="F22" s="83" t="s">
        <x:v>116</x:v>
      </x:c>
      <x:c r="G22" s="83" t="s">
        <x:v>97</x:v>
      </x:c>
      <x:c r="H22" s="84" t="n">
        <x:v>113.3</x:v>
      </x:c>
      <x:c r="I22" s="85" t="n">
        <x:v>46220</x:v>
      </x:c>
      <x:c r="J22" s="85" t="n">
        <x:v>46317</x:v>
      </x:c>
      <x:c r="K22" s="84" t="n">
        <x:v>171.2</x:v>
      </x:c>
      <x:c r="L22" s="84" t="n">
        <x:v>34.1</x:v>
      </x:c>
      <x:c r="M22" s="84" t="n">
        <x:v>12.7</x:v>
      </x:c>
      <x:c r="N22" s="83" t="n">
        <x:v>30</x:v>
      </x:c>
      <x:c r="O22" s="86" t="n">
        <x:v>0.823297216173507</x:v>
      </x:c>
      <x:c r="P22" s="87" t="n">
        <x:v>52</x:v>
      </x:c>
      <x:c r="Q22" s="83" t="n">
        <x:v>69</x:v>
      </x:c>
      <x:c r="R22" s="83" t="s">
        <x:v>532</x:v>
      </x:c>
      <x:c r="S22" s="86" t="n">
        <x:v>0.199093966046877</x:v>
      </x:c>
      <x:c r="T22" s="88" t="n">
        <x:f aca="0">IFERROR(AVERAGEIF('11_Task_Data'!$A$6:$A$605,A22,'11_Task_Data'!$I$6:$I$605),0)</x:f>
        <x:v>57</x:v>
      </x:c>
      <x:c r="U22" s="89" t="n">
        <x:f aca="0">COUNTIFS('11_Task_Data'!$A$6:$A$605,A22,'11_Task_Data'!$J$6:$J$605,"Blocked")+COUNTIFS('11_Task_Data'!$A$6:$A$605,A22,'11_Task_Data'!$K$6:$K$605,"&lt;&gt;"&amp;"")</x:f>
        <x:v>2</x:v>
      </x:c>
      <x:c r="V22" s="89" t="n">
        <x:f aca="0">COUNTIFS('11_Task_Data'!$A$6:$A$605,A22,'11_Task_Data'!$L$6:$L$605,"YES")</x:f>
        <x:v>0</x:v>
      </x:c>
      <x:c r="W22" s="89" t="n">
        <x:v>9</x:v>
      </x:c>
      <x:c r="X22" s="90" t="s">
        <x:v>65</x:v>
      </x:c>
      <x:c r="Y22" s="89" t="str">
        <x:f aca="0">IF(COUNTA(A22:S22)=19,"PASS","CHECK")</x:f>
        <x:v>PASS</x:v>
      </x:c>
      <x:c r="Z22" s="278" t="n">
        <x:f>IF(COUNTIF($A$6:$A$105,A22)&gt;1,1,0)</x:f>
        <x:v>0</x:v>
      </x:c>
    </x:row>
    <x:row r="23" ht="15" hidden="0">
      <x:c r="A23" s="83" t="s">
        <x:v>272</x:v>
      </x:c>
      <x:c r="B23" s="83" t="s">
        <x:v>273</x:v>
      </x:c>
      <x:c r="C23" s="83" t="s">
        <x:v>70</x:v>
      </x:c>
      <x:c r="D23" s="83" t="s">
        <x:v>531</x:v>
      </x:c>
      <x:c r="E23" s="83" t="s">
        <x:v>111</x:v>
      </x:c>
      <x:c r="F23" s="83" t="s">
        <x:v>118</x:v>
      </x:c>
      <x:c r="G23" s="83" t="s">
        <x:v>95</x:v>
      </x:c>
      <x:c r="H23" s="84" t="n">
        <x:v>104.1</x:v>
      </x:c>
      <x:c r="I23" s="85" t="n">
        <x:v>46221</x:v>
      </x:c>
      <x:c r="J23" s="85" t="n">
        <x:v>46291</x:v>
      </x:c>
      <x:c r="K23" s="84" t="n">
        <x:v>162.7</x:v>
      </x:c>
      <x:c r="L23" s="84" t="n">
        <x:v>25.3</x:v>
      </x:c>
      <x:c r="M23" s="84" t="n">
        <x:v>54.5</x:v>
      </x:c>
      <x:c r="N23" s="83" t="n">
        <x:v>17</x:v>
      </x:c>
      <x:c r="O23" s="86" t="n">
        <x:v>0.862138404116907</x:v>
      </x:c>
      <x:c r="P23" s="87" t="n">
        <x:v>59</x:v>
      </x:c>
      <x:c r="Q23" s="83" t="n">
        <x:v>97</x:v>
      </x:c>
      <x:c r="R23" s="83" t="s">
        <x:v>534</x:v>
      </x:c>
      <x:c r="S23" s="86" t="n">
        <x:v>0.155304738646588</x:v>
      </x:c>
      <x:c r="T23" s="88" t="n">
        <x:f aca="0">IFERROR(AVERAGEIF('11_Task_Data'!$A$6:$A$605,A23,'11_Task_Data'!$I$6:$I$605),0)</x:f>
        <x:v>79.33333333333333</x:v>
      </x:c>
      <x:c r="U23" s="89" t="n">
        <x:f aca="0">COUNTIFS('11_Task_Data'!$A$6:$A$605,A23,'11_Task_Data'!$J$6:$J$605,"Blocked")+COUNTIFS('11_Task_Data'!$A$6:$A$605,A23,'11_Task_Data'!$K$6:$K$605,"&lt;&gt;"&amp;"")</x:f>
        <x:v>1</x:v>
      </x:c>
      <x:c r="V23" s="89" t="n">
        <x:f aca="0">COUNTIFS('11_Task_Data'!$A$6:$A$605,A23,'11_Task_Data'!$L$6:$L$605,"YES")</x:f>
        <x:v>0</x:v>
      </x:c>
      <x:c r="W23" s="89" t="n">
        <x:v>7</x:v>
      </x:c>
      <x:c r="X23" s="90" t="s">
        <x:v>63</x:v>
      </x:c>
      <x:c r="Y23" s="89" t="str">
        <x:f aca="0">IF(COUNTA(A23:S23)=19,"PASS","CHECK")</x:f>
        <x:v>PASS</x:v>
      </x:c>
      <x:c r="Z23" s="278" t="n">
        <x:f>IF(COUNTIF($A$6:$A$105,A23)&gt;1,1,0)</x:f>
        <x:v>0</x:v>
      </x:c>
    </x:row>
    <x:row r="24" ht="15" hidden="0">
      <x:c r="A24" s="83" t="s">
        <x:v>106</x:v>
      </x:c>
      <x:c r="B24" s="83" t="s">
        <x:v>82</x:v>
      </x:c>
      <x:c r="C24" s="83" t="s">
        <x:v>64</x:v>
      </x:c>
      <x:c r="D24" s="83" t="s">
        <x:v>105</x:v>
      </x:c>
      <x:c r="E24" s="83" t="s">
        <x:v>108</x:v>
      </x:c>
      <x:c r="F24" s="83" t="s">
        <x:v>107</x:v>
      </x:c>
      <x:c r="G24" s="83" t="s">
        <x:v>80</x:v>
      </x:c>
      <x:c r="H24" s="84" t="n">
        <x:v>55.4</x:v>
      </x:c>
      <x:c r="I24" s="85" t="n">
        <x:v>46222</x:v>
      </x:c>
      <x:c r="J24" s="85" t="n">
        <x:v>46345</x:v>
      </x:c>
      <x:c r="K24" s="84" t="n">
        <x:v>86.3</x:v>
      </x:c>
      <x:c r="L24" s="84" t="n">
        <x:v>22.4</x:v>
      </x:c>
      <x:c r="M24" s="84" t="n">
        <x:v>49</x:v>
      </x:c>
      <x:c r="N24" s="83" t="n">
        <x:v>10</x:v>
      </x:c>
      <x:c r="O24" s="86" t="n">
        <x:v>0.970864081264324</x:v>
      </x:c>
      <x:c r="P24" s="87" t="n">
        <x:v>92</x:v>
      </x:c>
      <x:c r="Q24" s="83" t="n">
        <x:v>87</x:v>
      </x:c>
      <x:c r="R24" s="83" t="s">
        <x:v>528</x:v>
      </x:c>
      <x:c r="S24" s="86" t="n">
        <x:v>0.259607869303178</x:v>
      </x:c>
      <x:c r="T24" s="88" t="n">
        <x:f aca="0">IFERROR(AVERAGEIF('11_Task_Data'!$A$6:$A$605,A24,'11_Task_Data'!$I$6:$I$605),0)</x:f>
        <x:v>84.83333333333333</x:v>
      </x:c>
      <x:c r="U24" s="89" t="n">
        <x:f aca="0">COUNTIFS('11_Task_Data'!$A$6:$A$605,A24,'11_Task_Data'!$J$6:$J$605,"Blocked")+COUNTIFS('11_Task_Data'!$A$6:$A$605,A24,'11_Task_Data'!$K$6:$K$605,"&lt;&gt;"&amp;"")</x:f>
        <x:v>1</x:v>
      </x:c>
      <x:c r="V24" s="89" t="n">
        <x:f aca="0">COUNTIFS('11_Task_Data'!$A$6:$A$605,A24,'11_Task_Data'!$L$6:$L$605,"YES")</x:f>
        <x:v>3</x:v>
      </x:c>
      <x:c r="W24" s="89" t="n">
        <x:v>6</x:v>
      </x:c>
      <x:c r="X24" s="90" t="s">
        <x:v>65</x:v>
      </x:c>
      <x:c r="Y24" s="89" t="str">
        <x:f aca="0">IF(COUNTA(A24:S24)=19,"PASS","CHECK")</x:f>
        <x:v>PASS</x:v>
      </x:c>
      <x:c r="Z24" s="278" t="n">
        <x:f>IF(COUNTIF($A$6:$A$105,A24)&gt;1,1,0)</x:f>
        <x:v>0</x:v>
      </x:c>
    </x:row>
    <x:row r="25" ht="15" hidden="0">
      <x:c r="A25" s="83" t="s">
        <x:v>260</x:v>
      </x:c>
      <x:c r="B25" s="83" t="s">
        <x:v>261</x:v>
      </x:c>
      <x:c r="C25" s="83" t="s">
        <x:v>69</x:v>
      </x:c>
      <x:c r="D25" s="83" t="s">
        <x:v>529</x:v>
      </x:c>
      <x:c r="E25" s="83" t="s">
        <x:v>108</x:v>
      </x:c>
      <x:c r="F25" s="83" t="s">
        <x:v>113</x:v>
      </x:c>
      <x:c r="G25" s="83" t="s">
        <x:v>193</x:v>
      </x:c>
      <x:c r="H25" s="84" t="n">
        <x:v>142.5</x:v>
      </x:c>
      <x:c r="I25" s="85" t="n">
        <x:v>46223</x:v>
      </x:c>
      <x:c r="J25" s="85" t="n">
        <x:v>46329</x:v>
      </x:c>
      <x:c r="K25" s="84" t="n">
        <x:v>281.4</x:v>
      </x:c>
      <x:c r="L25" s="84" t="n">
        <x:v>43.6</x:v>
      </x:c>
      <x:c r="M25" s="84" t="n">
        <x:v>11.6</x:v>
      </x:c>
      <x:c r="N25" s="83" t="n">
        <x:v>19</x:v>
      </x:c>
      <x:c r="O25" s="86" t="n">
        <x:v>0.984357709327144</x:v>
      </x:c>
      <x:c r="P25" s="87" t="n">
        <x:v>72</x:v>
      </x:c>
      <x:c r="Q25" s="83" t="n">
        <x:v>91</x:v>
      </x:c>
      <x:c r="R25" s="83" t="s">
        <x:v>532</x:v>
      </x:c>
      <x:c r="S25" s="86" t="n">
        <x:v>0.154779307278698</x:v>
      </x:c>
      <x:c r="T25" s="88" t="n">
        <x:f aca="0">IFERROR(AVERAGEIF('11_Task_Data'!$A$6:$A$605,A25,'11_Task_Data'!$I$6:$I$605),0)</x:f>
        <x:v>73</x:v>
      </x:c>
      <x:c r="U25" s="89" t="n">
        <x:f aca="0">COUNTIFS('11_Task_Data'!$A$6:$A$605,A25,'11_Task_Data'!$J$6:$J$605,"Blocked")+COUNTIFS('11_Task_Data'!$A$6:$A$605,A25,'11_Task_Data'!$K$6:$K$605,"&lt;&gt;"&amp;"")</x:f>
        <x:v>2</x:v>
      </x:c>
      <x:c r="V25" s="89" t="n">
        <x:f aca="0">COUNTIFS('11_Task_Data'!$A$6:$A$605,A25,'11_Task_Data'!$L$6:$L$605,"YES")</x:f>
        <x:v>0</x:v>
      </x:c>
      <x:c r="W25" s="89" t="n">
        <x:v>7</x:v>
      </x:c>
      <x:c r="X25" s="90" t="s">
        <x:v>63</x:v>
      </x:c>
      <x:c r="Y25" s="89" t="str">
        <x:f aca="0">IF(COUNTA(A25:S25)=19,"PASS","CHECK")</x:f>
        <x:v>PASS</x:v>
      </x:c>
      <x:c r="Z25" s="278" t="n">
        <x:f>IF(COUNTIF($A$6:$A$105,A25)&gt;1,1,0)</x:f>
        <x:v>0</x:v>
      </x:c>
    </x:row>
    <x:row r="26" ht="15" hidden="0">
      <x:c r="A26" s="83" t="s">
        <x:v>222</x:v>
      </x:c>
      <x:c r="B26" s="83" t="s">
        <x:v>223</x:v>
      </x:c>
      <x:c r="C26" s="83" t="s">
        <x:v>67</x:v>
      </x:c>
      <x:c r="D26" s="83" t="s">
        <x:v>529</x:v>
      </x:c>
      <x:c r="E26" s="83" t="s">
        <x:v>108</x:v>
      </x:c>
      <x:c r="F26" s="83" t="s">
        <x:v>110</x:v>
      </x:c>
      <x:c r="G26" s="83" t="s">
        <x:v>132</x:v>
      </x:c>
      <x:c r="H26" s="84" t="n">
        <x:v>66.2</x:v>
      </x:c>
      <x:c r="I26" s="85" t="n">
        <x:v>46224</x:v>
      </x:c>
      <x:c r="J26" s="85" t="n">
        <x:v>46349</x:v>
      </x:c>
      <x:c r="K26" s="84" t="n">
        <x:v>83</x:v>
      </x:c>
      <x:c r="L26" s="84" t="n">
        <x:v>16.9</x:v>
      </x:c>
      <x:c r="M26" s="84" t="n">
        <x:v>63.5</x:v>
      </x:c>
      <x:c r="N26" s="83" t="n">
        <x:v>19</x:v>
      </x:c>
      <x:c r="O26" s="86" t="n">
        <x:v>0.949244905914495</x:v>
      </x:c>
      <x:c r="P26" s="87" t="n">
        <x:v>31</x:v>
      </x:c>
      <x:c r="Q26" s="83" t="n">
        <x:v>82</x:v>
      </x:c>
      <x:c r="R26" s="83" t="s">
        <x:v>528</x:v>
      </x:c>
      <x:c r="S26" s="86" t="n">
        <x:v>0.203971406431915</x:v>
      </x:c>
      <x:c r="T26" s="88" t="n">
        <x:f aca="0">IFERROR(AVERAGEIF('11_Task_Data'!$A$6:$A$605,A26,'11_Task_Data'!$I$6:$I$605),0)</x:f>
        <x:v>44.166666666666664</x:v>
      </x:c>
      <x:c r="U26" s="89" t="n">
        <x:f aca="0">COUNTIFS('11_Task_Data'!$A$6:$A$605,A26,'11_Task_Data'!$J$6:$J$605,"Blocked")+COUNTIFS('11_Task_Data'!$A$6:$A$605,A26,'11_Task_Data'!$K$6:$K$605,"&lt;&gt;"&amp;"")</x:f>
        <x:v>3</x:v>
      </x:c>
      <x:c r="V26" s="89" t="n">
        <x:f aca="0">COUNTIFS('11_Task_Data'!$A$6:$A$605,A26,'11_Task_Data'!$L$6:$L$605,"YES")</x:f>
        <x:v>0</x:v>
      </x:c>
      <x:c r="W26" s="89" t="n">
        <x:v>11</x:v>
      </x:c>
      <x:c r="X26" s="90" t="s">
        <x:v>65</x:v>
      </x:c>
      <x:c r="Y26" s="89" t="str">
        <x:f aca="0">IF(COUNTA(A26:S26)=19,"PASS","CHECK")</x:f>
        <x:v>PASS</x:v>
      </x:c>
      <x:c r="Z26" s="278" t="n">
        <x:f>IF(COUNTIF($A$6:$A$105,A26)&gt;1,1,0)</x:f>
        <x:v>0</x:v>
      </x:c>
    </x:row>
    <x:row r="27" ht="15" hidden="0">
      <x:c r="A27" s="83" t="s">
        <x:v>234</x:v>
      </x:c>
      <x:c r="B27" s="83" t="s">
        <x:v>235</x:v>
      </x:c>
      <x:c r="C27" s="83" t="s">
        <x:v>69</x:v>
      </x:c>
      <x:c r="D27" s="83" t="s">
        <x:v>529</x:v>
      </x:c>
      <x:c r="E27" s="83" t="s">
        <x:v>111</x:v>
      </x:c>
      <x:c r="F27" s="83" t="s">
        <x:v>113</x:v>
      </x:c>
      <x:c r="G27" s="83" t="s">
        <x:v>132</x:v>
      </x:c>
      <x:c r="H27" s="84" t="n">
        <x:v>120.2</x:v>
      </x:c>
      <x:c r="I27" s="85" t="n">
        <x:v>46225</x:v>
      </x:c>
      <x:c r="J27" s="85" t="n">
        <x:v>46285</x:v>
      </x:c>
      <x:c r="K27" s="84" t="n">
        <x:v>200.3</x:v>
      </x:c>
      <x:c r="L27" s="84" t="n">
        <x:v>26.8</x:v>
      </x:c>
      <x:c r="M27" s="84" t="n">
        <x:v>14.9</x:v>
      </x:c>
      <x:c r="N27" s="83" t="n">
        <x:v>7</x:v>
      </x:c>
      <x:c r="O27" s="86" t="n">
        <x:v>0.736876892297394</x:v>
      </x:c>
      <x:c r="P27" s="87" t="n">
        <x:v>23</x:v>
      </x:c>
      <x:c r="Q27" s="83" t="n">
        <x:v>97</x:v>
      </x:c>
      <x:c r="R27" s="83" t="s">
        <x:v>532</x:v>
      </x:c>
      <x:c r="S27" s="86" t="n">
        <x:v>0.133596299732215</x:v>
      </x:c>
      <x:c r="T27" s="88" t="n">
        <x:f aca="0">IFERROR(AVERAGEIF('11_Task_Data'!$A$6:$A$605,A27,'11_Task_Data'!$I$6:$I$605),0)</x:f>
        <x:v>25</x:v>
      </x:c>
      <x:c r="U27" s="89" t="n">
        <x:f aca="0">COUNTIFS('11_Task_Data'!$A$6:$A$605,A27,'11_Task_Data'!$J$6:$J$605,"Blocked")+COUNTIFS('11_Task_Data'!$A$6:$A$605,A27,'11_Task_Data'!$K$6:$K$605,"&lt;&gt;"&amp;"")</x:f>
        <x:v>3</x:v>
      </x:c>
      <x:c r="V27" s="89" t="n">
        <x:f aca="0">COUNTIFS('11_Task_Data'!$A$6:$A$605,A27,'11_Task_Data'!$L$6:$L$605,"YES")</x:f>
        <x:v>0</x:v>
      </x:c>
      <x:c r="W27" s="89" t="n">
        <x:v>18</x:v>
      </x:c>
      <x:c r="X27" s="90" t="s">
        <x:v>65</x:v>
      </x:c>
      <x:c r="Y27" s="89" t="str">
        <x:f aca="0">IF(COUNTA(A27:S27)=19,"PASS","CHECK")</x:f>
        <x:v>PASS</x:v>
      </x:c>
      <x:c r="Z27" s="278" t="n">
        <x:f>IF(COUNTIF($A$6:$A$105,A27)&gt;1,1,0)</x:f>
        <x:v>0</x:v>
      </x:c>
    </x:row>
    <x:row r="28" ht="15" hidden="0">
      <x:c r="A28" s="83" t="s">
        <x:v>276</x:v>
      </x:c>
      <x:c r="B28" s="83" t="s">
        <x:v>277</x:v>
      </x:c>
      <x:c r="C28" s="83" t="s">
        <x:v>64</x:v>
      </x:c>
      <x:c r="D28" s="83" t="s">
        <x:v>528</x:v>
      </x:c>
      <x:c r="E28" s="83" t="s">
        <x:v>145</x:v>
      </x:c>
      <x:c r="F28" s="83" t="s">
        <x:v>118</x:v>
      </x:c>
      <x:c r="G28" s="83" t="s">
        <x:v>88</x:v>
      </x:c>
      <x:c r="H28" s="84" t="n">
        <x:v>35.3</x:v>
      </x:c>
      <x:c r="I28" s="85" t="n">
        <x:v>46226</x:v>
      </x:c>
      <x:c r="J28" s="85" t="n">
        <x:v>46286</x:v>
      </x:c>
      <x:c r="K28" s="84" t="n">
        <x:v>66.1</x:v>
      </x:c>
      <x:c r="L28" s="84" t="n">
        <x:v>15.1</x:v>
      </x:c>
      <x:c r="M28" s="84" t="n">
        <x:v>34.3</x:v>
      </x:c>
      <x:c r="N28" s="83" t="n">
        <x:v>14</x:v>
      </x:c>
      <x:c r="O28" s="86" t="n">
        <x:v>0.959371376542316</x:v>
      </x:c>
      <x:c r="P28" s="87" t="n">
        <x:v>58</x:v>
      </x:c>
      <x:c r="Q28" s="83" t="n">
        <x:v>71</x:v>
      </x:c>
      <x:c r="R28" s="83" t="s">
        <x:v>532</x:v>
      </x:c>
      <x:c r="S28" s="86" t="n">
        <x:v>0.228921491419227</x:v>
      </x:c>
      <x:c r="T28" s="88" t="n">
        <x:f aca="0">IFERROR(AVERAGEIF('11_Task_Data'!$A$6:$A$605,A28,'11_Task_Data'!$I$6:$I$605),0)</x:f>
        <x:v>81.16666666666667</x:v>
      </x:c>
      <x:c r="U28" s="89" t="n">
        <x:f aca="0">COUNTIFS('11_Task_Data'!$A$6:$A$605,A28,'11_Task_Data'!$J$6:$J$605,"Blocked")+COUNTIFS('11_Task_Data'!$A$6:$A$605,A28,'11_Task_Data'!$K$6:$K$605,"&lt;&gt;"&amp;"")</x:f>
        <x:v>0</x:v>
      </x:c>
      <x:c r="V28" s="89" t="n">
        <x:f aca="0">COUNTIFS('11_Task_Data'!$A$6:$A$605,A28,'11_Task_Data'!$L$6:$L$605,"YES")</x:f>
        <x:v>0</x:v>
      </x:c>
      <x:c r="W28" s="89" t="n">
        <x:v>4</x:v>
      </x:c>
      <x:c r="X28" s="90" t="s">
        <x:v>63</x:v>
      </x:c>
      <x:c r="Y28" s="89" t="str">
        <x:f aca="0">IF(COUNTA(A28:S28)=19,"PASS","CHECK")</x:f>
        <x:v>PASS</x:v>
      </x:c>
      <x:c r="Z28" s="278" t="n">
        <x:f>IF(COUNTIF($A$6:$A$105,A28)&gt;1,1,0)</x:f>
        <x:v>0</x:v>
      </x:c>
    </x:row>
    <x:row r="29" ht="15" hidden="0">
      <x:c r="A29" s="83" t="s">
        <x:v>133</x:v>
      </x:c>
      <x:c r="B29" s="83" t="s">
        <x:v>134</x:v>
      </x:c>
      <x:c r="C29" s="83" t="s">
        <x:v>67</x:v>
      </x:c>
      <x:c r="D29" s="83" t="s">
        <x:v>533</x:v>
      </x:c>
      <x:c r="E29" s="83" t="s">
        <x:v>114</x:v>
      </x:c>
      <x:c r="F29" s="83" t="s">
        <x:v>118</x:v>
      </x:c>
      <x:c r="G29" s="83" t="s">
        <x:v>132</x:v>
      </x:c>
      <x:c r="H29" s="84" t="n">
        <x:v>100.8</x:v>
      </x:c>
      <x:c r="I29" s="85" t="n">
        <x:v>46227</x:v>
      </x:c>
      <x:c r="J29" s="85" t="n">
        <x:v>46284</x:v>
      </x:c>
      <x:c r="K29" s="84" t="n">
        <x:v>224</x:v>
      </x:c>
      <x:c r="L29" s="84" t="n">
        <x:v>75.9</x:v>
      </x:c>
      <x:c r="M29" s="84" t="n">
        <x:v>19.8</x:v>
      </x:c>
      <x:c r="N29" s="83" t="n">
        <x:v>26</x:v>
      </x:c>
      <x:c r="O29" s="86" t="n">
        <x:v>0.966267356751292</x:v>
      </x:c>
      <x:c r="P29" s="87" t="n">
        <x:v>79</x:v>
      </x:c>
      <x:c r="Q29" s="83" t="n">
        <x:v>98</x:v>
      </x:c>
      <x:c r="R29" s="83" t="s">
        <x:v>532</x:v>
      </x:c>
      <x:c r="S29" s="86" t="n">
        <x:v>0.338824840998547</x:v>
      </x:c>
      <x:c r="T29" s="88" t="n">
        <x:f aca="0">IFERROR(AVERAGEIF('11_Task_Data'!$A$6:$A$605,A29,'11_Task_Data'!$I$6:$I$605),0)</x:f>
        <x:v>40</x:v>
      </x:c>
      <x:c r="U29" s="89" t="n">
        <x:f aca="0">COUNTIFS('11_Task_Data'!$A$6:$A$605,A29,'11_Task_Data'!$J$6:$J$605,"Blocked")+COUNTIFS('11_Task_Data'!$A$6:$A$605,A29,'11_Task_Data'!$K$6:$K$605,"&lt;&gt;"&amp;"")</x:f>
        <x:v>6</x:v>
      </x:c>
      <x:c r="V29" s="89" t="n">
        <x:f aca="0">COUNTIFS('11_Task_Data'!$A$6:$A$605,A29,'11_Task_Data'!$L$6:$L$605,"YES")</x:f>
        <x:v>3</x:v>
      </x:c>
      <x:c r="W29" s="89" t="n">
        <x:v>19</x:v>
      </x:c>
      <x:c r="X29" s="90" t="s">
        <x:v>65</x:v>
      </x:c>
      <x:c r="Y29" s="89" t="str">
        <x:f aca="0">IF(COUNTA(A29:S29)=19,"PASS","CHECK")</x:f>
        <x:v>PASS</x:v>
      </x:c>
      <x:c r="Z29" s="278" t="n">
        <x:f>IF(COUNTIF($A$6:$A$105,A29)&gt;1,1,0)</x:f>
        <x:v>0</x:v>
      </x:c>
    </x:row>
    <x:row r="30" ht="15" hidden="0">
      <x:c r="A30" s="83" t="s">
        <x:v>238</x:v>
      </x:c>
      <x:c r="B30" s="83" t="s">
        <x:v>239</x:v>
      </x:c>
      <x:c r="C30" s="83" t="s">
        <x:v>66</x:v>
      </x:c>
      <x:c r="D30" s="83" t="s">
        <x:v>533</x:v>
      </x:c>
      <x:c r="E30" s="83" t="s">
        <x:v>129</x:v>
      </x:c>
      <x:c r="F30" s="83" t="s">
        <x:v>110</x:v>
      </x:c>
      <x:c r="G30" s="83" t="s">
        <x:v>80</x:v>
      </x:c>
      <x:c r="H30" s="84" t="n">
        <x:v>114.4</x:v>
      </x:c>
      <x:c r="I30" s="85" t="n">
        <x:v>46228</x:v>
      </x:c>
      <x:c r="J30" s="85" t="n">
        <x:v>46314</x:v>
      </x:c>
      <x:c r="K30" s="84" t="n">
        <x:v>245.2</x:v>
      </x:c>
      <x:c r="L30" s="84" t="n">
        <x:v>59.9</x:v>
      </x:c>
      <x:c r="M30" s="84" t="n">
        <x:v>37.5</x:v>
      </x:c>
      <x:c r="N30" s="83" t="n">
        <x:v>12</x:v>
      </x:c>
      <x:c r="O30" s="86" t="n">
        <x:v>0.723912192361783</x:v>
      </x:c>
      <x:c r="P30" s="87" t="n">
        <x:v>19</x:v>
      </x:c>
      <x:c r="Q30" s="83" t="n">
        <x:v>57</x:v>
      </x:c>
      <x:c r="R30" s="83" t="s">
        <x:v>530</x:v>
      </x:c>
      <x:c r="S30" s="86" t="n">
        <x:v>0.244330990543976</x:v>
      </x:c>
      <x:c r="T30" s="88" t="n">
        <x:f aca="0">IFERROR(AVERAGEIF('11_Task_Data'!$A$6:$A$605,A30,'11_Task_Data'!$I$6:$I$605),0)</x:f>
        <x:v>66.66666666666667</x:v>
      </x:c>
      <x:c r="U30" s="89" t="n">
        <x:f aca="0">COUNTIFS('11_Task_Data'!$A$6:$A$605,A30,'11_Task_Data'!$J$6:$J$605,"Blocked")+COUNTIFS('11_Task_Data'!$A$6:$A$605,A30,'11_Task_Data'!$K$6:$K$605,"&lt;&gt;"&amp;"")</x:f>
        <x:v>1</x:v>
      </x:c>
      <x:c r="V30" s="89" t="n">
        <x:f aca="0">COUNTIFS('11_Task_Data'!$A$6:$A$605,A30,'11_Task_Data'!$L$6:$L$605,"YES")</x:f>
        <x:v>0</x:v>
      </x:c>
      <x:c r="W30" s="89" t="n">
        <x:v>7</x:v>
      </x:c>
      <x:c r="X30" s="90" t="s">
        <x:v>65</x:v>
      </x:c>
      <x:c r="Y30" s="89" t="str">
        <x:f aca="0">IF(COUNTA(A30:S30)=19,"PASS","CHECK")</x:f>
        <x:v>PASS</x:v>
      </x:c>
      <x:c r="Z30" s="278" t="n">
        <x:f>IF(COUNTIF($A$6:$A$105,A30)&gt;1,1,0)</x:f>
        <x:v>0</x:v>
      </x:c>
    </x:row>
    <x:row r="31" ht="15" hidden="0">
      <x:c r="A31" s="83" t="s">
        <x:v>298</x:v>
      </x:c>
      <x:c r="B31" s="83" t="s">
        <x:v>299</x:v>
      </x:c>
      <x:c r="C31" s="83" t="s">
        <x:v>67</x:v>
      </x:c>
      <x:c r="D31" s="83" t="s">
        <x:v>531</x:v>
      </x:c>
      <x:c r="E31" s="83" t="s">
        <x:v>129</x:v>
      </x:c>
      <x:c r="F31" s="83" t="s">
        <x:v>110</x:v>
      </x:c>
      <x:c r="G31" s="83" t="s">
        <x:v>86</x:v>
      </x:c>
      <x:c r="H31" s="84" t="n">
        <x:v>135.2</x:v>
      </x:c>
      <x:c r="I31" s="85" t="n">
        <x:v>46229</x:v>
      </x:c>
      <x:c r="J31" s="85" t="n">
        <x:v>46366</x:v>
      </x:c>
      <x:c r="K31" s="84" t="n">
        <x:v>164.5</x:v>
      </x:c>
      <x:c r="L31" s="84" t="n">
        <x:v>26.6</x:v>
      </x:c>
      <x:c r="M31" s="84" t="n">
        <x:v>34.1</x:v>
      </x:c>
      <x:c r="N31" s="83" t="n">
        <x:v>18</x:v>
      </x:c>
      <x:c r="O31" s="86" t="n">
        <x:v>0.980798424918125</x:v>
      </x:c>
      <x:c r="P31" s="87" t="n">
        <x:v>33</x:v>
      </x:c>
      <x:c r="Q31" s="83" t="n">
        <x:v>90</x:v>
      </x:c>
      <x:c r="R31" s="83" t="s">
        <x:v>528</x:v>
      </x:c>
      <x:c r="S31" s="86" t="n">
        <x:v>0.161445588892816</x:v>
      </x:c>
      <x:c r="T31" s="88" t="n">
        <x:f aca="0">IFERROR(AVERAGEIF('11_Task_Data'!$A$6:$A$605,A31,'11_Task_Data'!$I$6:$I$605),0)</x:f>
        <x:v>86.5</x:v>
      </x:c>
      <x:c r="U31" s="89" t="n">
        <x:f aca="0">COUNTIFS('11_Task_Data'!$A$6:$A$605,A31,'11_Task_Data'!$J$6:$J$605,"Blocked")+COUNTIFS('11_Task_Data'!$A$6:$A$605,A31,'11_Task_Data'!$K$6:$K$605,"&lt;&gt;"&amp;"")</x:f>
        <x:v>2</x:v>
      </x:c>
      <x:c r="V31" s="89" t="n">
        <x:f aca="0">COUNTIFS('11_Task_Data'!$A$6:$A$605,A31,'11_Task_Data'!$L$6:$L$605,"YES")</x:f>
        <x:v>0</x:v>
      </x:c>
      <x:c r="W31" s="89" t="n">
        <x:v>4</x:v>
      </x:c>
      <x:c r="X31" s="90" t="s">
        <x:v>63</x:v>
      </x:c>
      <x:c r="Y31" s="89" t="str">
        <x:f aca="0">IF(COUNTA(A31:S31)=19,"PASS","CHECK")</x:f>
        <x:v>PASS</x:v>
      </x:c>
      <x:c r="Z31" s="278" t="n">
        <x:f>IF(COUNTIF($A$6:$A$105,A31)&gt;1,1,0)</x:f>
        <x:v>0</x:v>
      </x:c>
    </x:row>
    <x:row r="32" ht="15" hidden="0">
      <x:c r="A32" s="83" t="s">
        <x:v>208</x:v>
      </x:c>
      <x:c r="B32" s="83" t="s">
        <x:v>209</x:v>
      </x:c>
      <x:c r="C32" s="83" t="s">
        <x:v>67</x:v>
      </x:c>
      <x:c r="D32" s="83" t="s">
        <x:v>528</x:v>
      </x:c>
      <x:c r="E32" s="83" t="s">
        <x:v>111</x:v>
      </x:c>
      <x:c r="F32" s="83" t="s">
        <x:v>113</x:v>
      </x:c>
      <x:c r="G32" s="83" t="s">
        <x:v>193</x:v>
      </x:c>
      <x:c r="H32" s="84" t="n">
        <x:v>152.2</x:v>
      </x:c>
      <x:c r="I32" s="85" t="n">
        <x:v>46230</x:v>
      </x:c>
      <x:c r="J32" s="85" t="n">
        <x:v>46378</x:v>
      </x:c>
      <x:c r="K32" s="84" t="n">
        <x:v>244.7</x:v>
      </x:c>
      <x:c r="L32" s="84" t="n">
        <x:v>55.3</x:v>
      </x:c>
      <x:c r="M32" s="84" t="n">
        <x:v>21.3</x:v>
      </x:c>
      <x:c r="N32" s="83" t="n">
        <x:v>8</x:v>
      </x:c>
      <x:c r="O32" s="86" t="n">
        <x:v>0.72453054607109</x:v>
      </x:c>
      <x:c r="P32" s="87" t="n">
        <x:v>42</x:v>
      </x:c>
      <x:c r="Q32" s="83" t="n">
        <x:v>70</x:v>
      </x:c>
      <x:c r="R32" s="83" t="s">
        <x:v>532</x:v>
      </x:c>
      <x:c r="S32" s="86" t="n">
        <x:v>0.225818227478123</x:v>
      </x:c>
      <x:c r="T32" s="88" t="n">
        <x:f aca="0">IFERROR(AVERAGEIF('11_Task_Data'!$A$6:$A$605,A32,'11_Task_Data'!$I$6:$I$605),0)</x:f>
        <x:v>43</x:v>
      </x:c>
      <x:c r="U32" s="89" t="n">
        <x:f aca="0">COUNTIFS('11_Task_Data'!$A$6:$A$605,A32,'11_Task_Data'!$J$6:$J$605,"Blocked")+COUNTIFS('11_Task_Data'!$A$6:$A$605,A32,'11_Task_Data'!$K$6:$K$605,"&lt;&gt;"&amp;"")</x:f>
        <x:v>2</x:v>
      </x:c>
      <x:c r="V32" s="89" t="n">
        <x:f aca="0">COUNTIFS('11_Task_Data'!$A$6:$A$605,A32,'11_Task_Data'!$L$6:$L$605,"YES")</x:f>
        <x:v>0</x:v>
      </x:c>
      <x:c r="W32" s="89" t="n">
        <x:v>11</x:v>
      </x:c>
      <x:c r="X32" s="90" t="s">
        <x:v>65</x:v>
      </x:c>
      <x:c r="Y32" s="89" t="str">
        <x:f aca="0">IF(COUNTA(A32:S32)=19,"PASS","CHECK")</x:f>
        <x:v>PASS</x:v>
      </x:c>
      <x:c r="Z32" s="278" t="n">
        <x:f>IF(COUNTIF($A$6:$A$105,A32)&gt;1,1,0)</x:f>
        <x:v>0</x:v>
      </x:c>
    </x:row>
    <x:row r="33" ht="15" hidden="0">
      <x:c r="A33" s="83" t="s">
        <x:v>244</x:v>
      </x:c>
      <x:c r="B33" s="83" t="s">
        <x:v>245</x:v>
      </x:c>
      <x:c r="C33" s="83" t="s">
        <x:v>60</x:v>
      </x:c>
      <x:c r="D33" s="83" t="s">
        <x:v>531</x:v>
      </x:c>
      <x:c r="E33" s="83" t="s">
        <x:v>114</x:v>
      </x:c>
      <x:c r="F33" s="83" t="s">
        <x:v>107</x:v>
      </x:c>
      <x:c r="G33" s="83" t="s">
        <x:v>132</x:v>
      </x:c>
      <x:c r="H33" s="84" t="n">
        <x:v>145.5</x:v>
      </x:c>
      <x:c r="I33" s="85" t="n">
        <x:v>46231</x:v>
      </x:c>
      <x:c r="J33" s="85" t="n">
        <x:v>46293</x:v>
      </x:c>
      <x:c r="K33" s="84" t="n">
        <x:v>328.8</x:v>
      </x:c>
      <x:c r="L33" s="84" t="n">
        <x:v>67.3</x:v>
      </x:c>
      <x:c r="M33" s="84" t="n">
        <x:v>34.6</x:v>
      </x:c>
      <x:c r="N33" s="83" t="n">
        <x:v>22</x:v>
      </x:c>
      <x:c r="O33" s="86" t="n">
        <x:v>0.733111663290384</x:v>
      </x:c>
      <x:c r="P33" s="87" t="n">
        <x:v>17</x:v>
      </x:c>
      <x:c r="Q33" s="83" t="n">
        <x:v>60</x:v>
      </x:c>
      <x:c r="R33" s="83" t="s">
        <x:v>534</x:v>
      </x:c>
      <x:c r="S33" s="86" t="n">
        <x:v>0.204663533014482</x:v>
      </x:c>
      <x:c r="T33" s="88" t="n">
        <x:f aca="0">IFERROR(AVERAGEIF('11_Task_Data'!$A$6:$A$605,A33,'11_Task_Data'!$I$6:$I$605),0)</x:f>
        <x:v>67.83333333333333</x:v>
      </x:c>
      <x:c r="U33" s="89" t="n">
        <x:f aca="0">COUNTIFS('11_Task_Data'!$A$6:$A$605,A33,'11_Task_Data'!$J$6:$J$605,"Blocked")+COUNTIFS('11_Task_Data'!$A$6:$A$605,A33,'11_Task_Data'!$K$6:$K$605,"&lt;&gt;"&amp;"")</x:f>
        <x:v>4</x:v>
      </x:c>
      <x:c r="V33" s="89" t="n">
        <x:f aca="0">COUNTIFS('11_Task_Data'!$A$6:$A$605,A33,'11_Task_Data'!$L$6:$L$605,"YES")</x:f>
        <x:v>0</x:v>
      </x:c>
      <x:c r="W33" s="89" t="n">
        <x:v>6</x:v>
      </x:c>
      <x:c r="X33" s="90" t="s">
        <x:v>65</x:v>
      </x:c>
      <x:c r="Y33" s="89" t="str">
        <x:f aca="0">IF(COUNTA(A33:S33)=19,"PASS","CHECK")</x:f>
        <x:v>PASS</x:v>
      </x:c>
      <x:c r="Z33" s="278" t="n">
        <x:f>IF(COUNTIF($A$6:$A$105,A33)&gt;1,1,0)</x:f>
        <x:v>0</x:v>
      </x:c>
    </x:row>
    <x:row r="34" ht="15" hidden="0">
      <x:c r="A34" s="83" t="s">
        <x:v>230</x:v>
      </x:c>
      <x:c r="B34" s="83" t="s">
        <x:v>231</x:v>
      </x:c>
      <x:c r="C34" s="83" t="s">
        <x:v>67</x:v>
      </x:c>
      <x:c r="D34" s="83" t="s">
        <x:v>531</x:v>
      </x:c>
      <x:c r="E34" s="83" t="s">
        <x:v>111</x:v>
      </x:c>
      <x:c r="F34" s="83" t="s">
        <x:v>116</x:v>
      </x:c>
      <x:c r="G34" s="83" t="s">
        <x:v>86</x:v>
      </x:c>
      <x:c r="H34" s="84" t="n">
        <x:v>99.4</x:v>
      </x:c>
      <x:c r="I34" s="85" t="n">
        <x:v>46232</x:v>
      </x:c>
      <x:c r="J34" s="85" t="n">
        <x:v>46326</x:v>
      </x:c>
      <x:c r="K34" s="84" t="n">
        <x:v>140.7</x:v>
      </x:c>
      <x:c r="L34" s="84" t="n">
        <x:v>28.6</x:v>
      </x:c>
      <x:c r="M34" s="84" t="n">
        <x:v>48.8</x:v>
      </x:c>
      <x:c r="N34" s="83" t="n">
        <x:v>17</x:v>
      </x:c>
      <x:c r="O34" s="86" t="n">
        <x:v>0.623032860705436</x:v>
      </x:c>
      <x:c r="P34" s="87" t="n">
        <x:v>28</x:v>
      </x:c>
      <x:c r="Q34" s="83" t="n">
        <x:v>55</x:v>
      </x:c>
      <x:c r="R34" s="83" t="s">
        <x:v>528</x:v>
      </x:c>
      <x:c r="S34" s="86" t="n">
        <x:v>0.203134286447139</x:v>
      </x:c>
      <x:c r="T34" s="88" t="n">
        <x:f aca="0">IFERROR(AVERAGEIF('11_Task_Data'!$A$6:$A$605,A34,'11_Task_Data'!$I$6:$I$605),0)</x:f>
        <x:v>45.666666666666664</x:v>
      </x:c>
      <x:c r="U34" s="89" t="n">
        <x:f aca="0">COUNTIFS('11_Task_Data'!$A$6:$A$605,A34,'11_Task_Data'!$J$6:$J$605,"Blocked")+COUNTIFS('11_Task_Data'!$A$6:$A$605,A34,'11_Task_Data'!$K$6:$K$605,"&lt;&gt;"&amp;"")</x:f>
        <x:v>2</x:v>
      </x:c>
      <x:c r="V34" s="89" t="n">
        <x:f aca="0">COUNTIFS('11_Task_Data'!$A$6:$A$605,A34,'11_Task_Data'!$L$6:$L$605,"YES")</x:f>
        <x:v>0</x:v>
      </x:c>
      <x:c r="W34" s="89" t="n">
        <x:v>11</x:v>
      </x:c>
      <x:c r="X34" s="90" t="s">
        <x:v>65</x:v>
      </x:c>
      <x:c r="Y34" s="89" t="str">
        <x:f aca="0">IF(COUNTA(A34:S34)=19,"PASS","CHECK")</x:f>
        <x:v>PASS</x:v>
      </x:c>
      <x:c r="Z34" s="278" t="n">
        <x:f>IF(COUNTIF($A$6:$A$105,A34)&gt;1,1,0)</x:f>
        <x:v>0</x:v>
      </x:c>
    </x:row>
    <x:row r="35" ht="15" hidden="0">
      <x:c r="A35" s="83" t="s">
        <x:v>282</x:v>
      </x:c>
      <x:c r="B35" s="83" t="s">
        <x:v>283</x:v>
      </x:c>
      <x:c r="C35" s="83" t="s">
        <x:v>67</x:v>
      </x:c>
      <x:c r="D35" s="83" t="s">
        <x:v>533</x:v>
      </x:c>
      <x:c r="E35" s="83" t="s">
        <x:v>145</x:v>
      </x:c>
      <x:c r="F35" s="83" t="s">
        <x:v>113</x:v>
      </x:c>
      <x:c r="G35" s="83" t="s">
        <x:v>88</x:v>
      </x:c>
      <x:c r="H35" s="84" t="n">
        <x:v>77.1</x:v>
      </x:c>
      <x:c r="I35" s="85" t="n">
        <x:v>46233</x:v>
      </x:c>
      <x:c r="J35" s="85" t="n">
        <x:v>46329</x:v>
      </x:c>
      <x:c r="K35" s="84" t="n">
        <x:v>89.4</x:v>
      </x:c>
      <x:c r="L35" s="84" t="n">
        <x:v>20.8</x:v>
      </x:c>
      <x:c r="M35" s="84" t="n">
        <x:v>14.9</x:v>
      </x:c>
      <x:c r="N35" s="83" t="n">
        <x:v>9</x:v>
      </x:c>
      <x:c r="O35" s="86" t="n">
        <x:v>0.662827475056759</x:v>
      </x:c>
      <x:c r="P35" s="87" t="n">
        <x:v>49</x:v>
      </x:c>
      <x:c r="Q35" s="83" t="n">
        <x:v>82</x:v>
      </x:c>
      <x:c r="R35" s="83" t="s">
        <x:v>528</x:v>
      </x:c>
      <x:c r="S35" s="86" t="n">
        <x:v>0.232556293204285</x:v>
      </x:c>
      <x:c r="T35" s="88" t="n">
        <x:f aca="0">IFERROR(AVERAGEIF('11_Task_Data'!$A$6:$A$605,A35,'11_Task_Data'!$I$6:$I$605),0)</x:f>
        <x:v>79.66666666666667</x:v>
      </x:c>
      <x:c r="U35" s="89" t="n">
        <x:f aca="0">COUNTIFS('11_Task_Data'!$A$6:$A$605,A35,'11_Task_Data'!$J$6:$J$605,"Blocked")+COUNTIFS('11_Task_Data'!$A$6:$A$605,A35,'11_Task_Data'!$K$6:$K$605,"&lt;&gt;"&amp;"")</x:f>
        <x:v>1</x:v>
      </x:c>
      <x:c r="V35" s="89" t="n">
        <x:f aca="0">COUNTIFS('11_Task_Data'!$A$6:$A$605,A35,'11_Task_Data'!$L$6:$L$605,"YES")</x:f>
        <x:v>0</x:v>
      </x:c>
      <x:c r="W35" s="89" t="n">
        <x:v>4</x:v>
      </x:c>
      <x:c r="X35" s="90" t="s">
        <x:v>63</x:v>
      </x:c>
      <x:c r="Y35" s="89" t="str">
        <x:f aca="0">IF(COUNTA(A35:S35)=19,"PASS","CHECK")</x:f>
        <x:v>PASS</x:v>
      </x:c>
      <x:c r="Z35" s="278" t="n">
        <x:f>IF(COUNTIF($A$6:$A$105,A35)&gt;1,1,0)</x:f>
        <x:v>0</x:v>
      </x:c>
    </x:row>
    <x:row r="36" ht="15" hidden="0">
      <x:c r="A36" s="83" t="s">
        <x:v>171</x:v>
      </x:c>
      <x:c r="B36" s="83" t="s">
        <x:v>172</x:v>
      </x:c>
      <x:c r="C36" s="83" t="s">
        <x:v>62</x:v>
      </x:c>
      <x:c r="D36" s="83" t="s">
        <x:v>531</x:v>
      </x:c>
      <x:c r="E36" s="83" t="s">
        <x:v>114</x:v>
      </x:c>
      <x:c r="F36" s="83" t="s">
        <x:v>107</x:v>
      </x:c>
      <x:c r="G36" s="83" t="s">
        <x:v>80</x:v>
      </x:c>
      <x:c r="H36" s="84" t="n">
        <x:v>96.2</x:v>
      </x:c>
      <x:c r="I36" s="85" t="n">
        <x:v>46234</x:v>
      </x:c>
      <x:c r="J36" s="85" t="n">
        <x:v>46361</x:v>
      </x:c>
      <x:c r="K36" s="84" t="n">
        <x:v>136.9</x:v>
      </x:c>
      <x:c r="L36" s="84" t="n">
        <x:v>37.6</x:v>
      </x:c>
      <x:c r="M36" s="84" t="n">
        <x:v>26.3</x:v>
      </x:c>
      <x:c r="N36" s="83" t="n">
        <x:v>29</x:v>
      </x:c>
      <x:c r="O36" s="86" t="n">
        <x:v>0.997547472916629</x:v>
      </x:c>
      <x:c r="P36" s="87" t="n">
        <x:v>59</x:v>
      </x:c>
      <x:c r="Q36" s="83" t="n">
        <x:v>62</x:v>
      </x:c>
      <x:c r="R36" s="83" t="s">
        <x:v>530</x:v>
      </x:c>
      <x:c r="S36" s="86" t="n">
        <x:v>0.274581046857372</x:v>
      </x:c>
      <x:c r="T36" s="88" t="n">
        <x:f aca="0">IFERROR(AVERAGEIF('11_Task_Data'!$A$6:$A$605,A36,'11_Task_Data'!$I$6:$I$605),0)</x:f>
        <x:v>70.33333333333333</x:v>
      </x:c>
      <x:c r="U36" s="89" t="n">
        <x:f aca="0">COUNTIFS('11_Task_Data'!$A$6:$A$605,A36,'11_Task_Data'!$J$6:$J$605,"Blocked")+COUNTIFS('11_Task_Data'!$A$6:$A$605,A36,'11_Task_Data'!$K$6:$K$605,"&lt;&gt;"&amp;"")</x:f>
        <x:v>1</x:v>
      </x:c>
      <x:c r="V36" s="89" t="n">
        <x:f aca="0">COUNTIFS('11_Task_Data'!$A$6:$A$605,A36,'11_Task_Data'!$L$6:$L$605,"YES")</x:f>
        <x:v>0</x:v>
      </x:c>
      <x:c r="W36" s="89" t="n">
        <x:v>6</x:v>
      </x:c>
      <x:c r="X36" s="90" t="s">
        <x:v>65</x:v>
      </x:c>
      <x:c r="Y36" s="89" t="str">
        <x:f aca="0">IF(COUNTA(A36:S36)=19,"PASS","CHECK")</x:f>
        <x:v>PASS</x:v>
      </x:c>
      <x:c r="Z36" s="278" t="n">
        <x:f>IF(COUNTIF($A$6:$A$105,A36)&gt;1,1,0)</x:f>
        <x:v>0</x:v>
      </x:c>
    </x:row>
    <x:row r="37" ht="15" hidden="0">
      <x:c r="A37" s="83" t="s">
        <x:v>246</x:v>
      </x:c>
      <x:c r="B37" s="83" t="s">
        <x:v>247</x:v>
      </x:c>
      <x:c r="C37" s="83" t="s">
        <x:v>62</x:v>
      </x:c>
      <x:c r="D37" s="83" t="s">
        <x:v>533</x:v>
      </x:c>
      <x:c r="E37" s="83" t="s">
        <x:v>111</x:v>
      </x:c>
      <x:c r="F37" s="83" t="s">
        <x:v>110</x:v>
      </x:c>
      <x:c r="G37" s="83" t="s">
        <x:v>90</x:v>
      </x:c>
      <x:c r="H37" s="84" t="n">
        <x:v>159.9</x:v>
      </x:c>
      <x:c r="I37" s="85" t="n">
        <x:v>46235</x:v>
      </x:c>
      <x:c r="J37" s="85" t="n">
        <x:v>46354</x:v>
      </x:c>
      <x:c r="K37" s="84" t="n">
        <x:v>207.6</x:v>
      </x:c>
      <x:c r="L37" s="84" t="n">
        <x:v>59</x:v>
      </x:c>
      <x:c r="M37" s="84" t="n">
        <x:v>29.6</x:v>
      </x:c>
      <x:c r="N37" s="83" t="n">
        <x:v>8</x:v>
      </x:c>
      <x:c r="O37" s="86" t="n">
        <x:v>0.731117391344624</x:v>
      </x:c>
      <x:c r="P37" s="87" t="n">
        <x:v>17</x:v>
      </x:c>
      <x:c r="Q37" s="83" t="n">
        <x:v>85</x:v>
      </x:c>
      <x:c r="R37" s="83" t="s">
        <x:v>532</x:v>
      </x:c>
      <x:c r="S37" s="86" t="n">
        <x:v>0.284219009671475</x:v>
      </x:c>
      <x:c r="T37" s="88" t="n">
        <x:f aca="0">IFERROR(AVERAGEIF('11_Task_Data'!$A$6:$A$605,A37,'11_Task_Data'!$I$6:$I$605),0)</x:f>
        <x:v>22</x:v>
      </x:c>
      <x:c r="U37" s="89" t="n">
        <x:f aca="0">COUNTIFS('11_Task_Data'!$A$6:$A$605,A37,'11_Task_Data'!$J$6:$J$605,"Blocked")+COUNTIFS('11_Task_Data'!$A$6:$A$605,A37,'11_Task_Data'!$K$6:$K$605,"&lt;&gt;"&amp;"")</x:f>
        <x:v>0</x:v>
      </x:c>
      <x:c r="V37" s="89" t="n">
        <x:f aca="0">COUNTIFS('11_Task_Data'!$A$6:$A$605,A37,'11_Task_Data'!$L$6:$L$605,"YES")</x:f>
        <x:v>0</x:v>
      </x:c>
      <x:c r="W37" s="89" t="n">
        <x:v>16</x:v>
      </x:c>
      <x:c r="X37" s="90" t="s">
        <x:v>65</x:v>
      </x:c>
      <x:c r="Y37" s="89" t="str">
        <x:f aca="0">IF(COUNTA(A37:S37)=19,"PASS","CHECK")</x:f>
        <x:v>PASS</x:v>
      </x:c>
      <x:c r="Z37" s="278" t="n">
        <x:f>IF(COUNTIF($A$6:$A$105,A37)&gt;1,1,0)</x:f>
        <x:v>0</x:v>
      </x:c>
    </x:row>
    <x:row r="38" ht="15" hidden="0">
      <x:c r="A38" s="83" t="s">
        <x:v>252</x:v>
      </x:c>
      <x:c r="B38" s="83" t="s">
        <x:v>253</x:v>
      </x:c>
      <x:c r="C38" s="83" t="s">
        <x:v>68</x:v>
      </x:c>
      <x:c r="D38" s="83" t="s">
        <x:v>528</x:v>
      </x:c>
      <x:c r="E38" s="83" t="s">
        <x:v>108</x:v>
      </x:c>
      <x:c r="F38" s="83" t="s">
        <x:v>118</x:v>
      </x:c>
      <x:c r="G38" s="83" t="s">
        <x:v>84</x:v>
      </x:c>
      <x:c r="H38" s="84" t="n">
        <x:v>136.9</x:v>
      </x:c>
      <x:c r="I38" s="85" t="n">
        <x:v>46236</x:v>
      </x:c>
      <x:c r="J38" s="85" t="n">
        <x:v>46321</x:v>
      </x:c>
      <x:c r="K38" s="84" t="n">
        <x:v>220.5</x:v>
      </x:c>
      <x:c r="L38" s="84" t="n">
        <x:v>55.2</x:v>
      </x:c>
      <x:c r="M38" s="84" t="n">
        <x:v>33</x:v>
      </x:c>
      <x:c r="N38" s="83" t="n">
        <x:v>22</x:v>
      </x:c>
      <x:c r="O38" s="86" t="n">
        <x:v>0.777759003680369</x:v>
      </x:c>
      <x:c r="P38" s="87" t="n">
        <x:v>15</x:v>
      </x:c>
      <x:c r="Q38" s="83" t="n">
        <x:v>85</x:v>
      </x:c>
      <x:c r="R38" s="83" t="s">
        <x:v>530</x:v>
      </x:c>
      <x:c r="S38" s="86" t="n">
        <x:v>0.250245845094065</x:v>
      </x:c>
      <x:c r="T38" s="88" t="n">
        <x:f aca="0">IFERROR(AVERAGEIF('11_Task_Data'!$A$6:$A$605,A38,'11_Task_Data'!$I$6:$I$605),0)</x:f>
        <x:v>40.5</x:v>
      </x:c>
      <x:c r="U38" s="89" t="n">
        <x:f aca="0">COUNTIFS('11_Task_Data'!$A$6:$A$605,A38,'11_Task_Data'!$J$6:$J$605,"Blocked")+COUNTIFS('11_Task_Data'!$A$6:$A$605,A38,'11_Task_Data'!$K$6:$K$605,"&lt;&gt;"&amp;"")</x:f>
        <x:v>1</x:v>
      </x:c>
      <x:c r="V38" s="89" t="n">
        <x:f aca="0">COUNTIFS('11_Task_Data'!$A$6:$A$605,A38,'11_Task_Data'!$L$6:$L$605,"YES")</x:f>
        <x:v>0</x:v>
      </x:c>
      <x:c r="W38" s="89" t="n">
        <x:v>12</x:v>
      </x:c>
      <x:c r="X38" s="90" t="s">
        <x:v>65</x:v>
      </x:c>
      <x:c r="Y38" s="89" t="str">
        <x:f aca="0">IF(COUNTA(A38:S38)=19,"PASS","CHECK")</x:f>
        <x:v>PASS</x:v>
      </x:c>
      <x:c r="Z38" s="278" t="n">
        <x:f>IF(COUNTIF($A$6:$A$105,A38)&gt;1,1,0)</x:f>
        <x:v>0</x:v>
      </x:c>
    </x:row>
    <x:row r="39" ht="15" hidden="0">
      <x:c r="A39" s="83" t="s">
        <x:v>173</x:v>
      </x:c>
      <x:c r="B39" s="83" t="s">
        <x:v>174</x:v>
      </x:c>
      <x:c r="C39" s="83" t="s">
        <x:v>123</x:v>
      </x:c>
      <x:c r="D39" s="83" t="s">
        <x:v>531</x:v>
      </x:c>
      <x:c r="E39" s="83" t="s">
        <x:v>114</x:v>
      </x:c>
      <x:c r="F39" s="83" t="s">
        <x:v>118</x:v>
      </x:c>
      <x:c r="G39" s="83" t="s">
        <x:v>160</x:v>
      </x:c>
      <x:c r="H39" s="84" t="n">
        <x:v>123.8</x:v>
      </x:c>
      <x:c r="I39" s="85" t="n">
        <x:v>46237</x:v>
      </x:c>
      <x:c r="J39" s="85" t="n">
        <x:v>46345</x:v>
      </x:c>
      <x:c r="K39" s="84" t="n">
        <x:v>144.9</x:v>
      </x:c>
      <x:c r="L39" s="84" t="n">
        <x:v>30.4</x:v>
      </x:c>
      <x:c r="M39" s="84" t="n">
        <x:v>43.9</x:v>
      </x:c>
      <x:c r="N39" s="83" t="n">
        <x:v>19</x:v>
      </x:c>
      <x:c r="O39" s="86" t="n">
        <x:v>0.682225075677277</x:v>
      </x:c>
      <x:c r="P39" s="87" t="n">
        <x:v>58</x:v>
      </x:c>
      <x:c r="Q39" s="83" t="n">
        <x:v>55</x:v>
      </x:c>
      <x:c r="R39" s="83" t="s">
        <x:v>528</x:v>
      </x:c>
      <x:c r="S39" s="86" t="n">
        <x:v>0.209945936383359</x:v>
      </x:c>
      <x:c r="T39" s="88" t="n">
        <x:f aca="0">IFERROR(AVERAGEIF('11_Task_Data'!$A$6:$A$605,A39,'11_Task_Data'!$I$6:$I$605),0)</x:f>
        <x:v>88.33333333333333</x:v>
      </x:c>
      <x:c r="U39" s="89" t="n">
        <x:f aca="0">COUNTIFS('11_Task_Data'!$A$6:$A$605,A39,'11_Task_Data'!$J$6:$J$605,"Blocked")+COUNTIFS('11_Task_Data'!$A$6:$A$605,A39,'11_Task_Data'!$K$6:$K$605,"&lt;&gt;"&amp;"")</x:f>
        <x:v>1</x:v>
      </x:c>
      <x:c r="V39" s="89" t="n">
        <x:f aca="0">COUNTIFS('11_Task_Data'!$A$6:$A$605,A39,'11_Task_Data'!$L$6:$L$605,"YES")</x:f>
        <x:v>0</x:v>
      </x:c>
      <x:c r="W39" s="89" t="n">
        <x:v>2</x:v>
      </x:c>
      <x:c r="X39" s="90" t="s">
        <x:v>65</x:v>
      </x:c>
      <x:c r="Y39" s="89" t="str">
        <x:f aca="0">IF(COUNTA(A39:S39)=19,"PASS","CHECK")</x:f>
        <x:v>PASS</x:v>
      </x:c>
      <x:c r="Z39" s="278" t="n">
        <x:f>IF(COUNTIF($A$6:$A$105,A39)&gt;1,1,0)</x:f>
        <x:v>0</x:v>
      </x:c>
    </x:row>
    <x:row r="40" ht="15" hidden="0">
      <x:c r="A40" s="83" t="s">
        <x:v>120</x:v>
      </x:c>
      <x:c r="B40" s="83" t="s">
        <x:v>93</x:v>
      </x:c>
      <x:c r="C40" s="83" t="s">
        <x:v>70</x:v>
      </x:c>
      <x:c r="D40" s="83" t="s">
        <x:v>531</x:v>
      </x:c>
      <x:c r="E40" s="83" t="s">
        <x:v>108</x:v>
      </x:c>
      <x:c r="F40" s="83" t="s">
        <x:v>116</x:v>
      </x:c>
      <x:c r="G40" s="83" t="s">
        <x:v>88</x:v>
      </x:c>
      <x:c r="H40" s="84" t="n">
        <x:v>110.1</x:v>
      </x:c>
      <x:c r="I40" s="85" t="n">
        <x:v>46238</x:v>
      </x:c>
      <x:c r="J40" s="85" t="n">
        <x:v>46371</x:v>
      </x:c>
      <x:c r="K40" s="84" t="n">
        <x:v>211.5</x:v>
      </x:c>
      <x:c r="L40" s="84" t="n">
        <x:v>58.7</x:v>
      </x:c>
      <x:c r="M40" s="84" t="n">
        <x:v>58.5</x:v>
      </x:c>
      <x:c r="N40" s="83" t="n">
        <x:v>24</x:v>
      </x:c>
      <x:c r="O40" s="86" t="n">
        <x:v>0.773670172849652</x:v>
      </x:c>
      <x:c r="P40" s="87" t="n">
        <x:v>86</x:v>
      </x:c>
      <x:c r="Q40" s="83" t="n">
        <x:v>58</x:v>
      </x:c>
      <x:c r="R40" s="83" t="s">
        <x:v>532</x:v>
      </x:c>
      <x:c r="S40" s="86" t="n">
        <x:v>0.27741741074359</x:v>
      </x:c>
      <x:c r="T40" s="88" t="n">
        <x:f aca="0">IFERROR(AVERAGEIF('11_Task_Data'!$A$6:$A$605,A40,'11_Task_Data'!$I$6:$I$605),0)</x:f>
        <x:v>47.166666666666664</x:v>
      </x:c>
      <x:c r="U40" s="89" t="n">
        <x:f aca="0">COUNTIFS('11_Task_Data'!$A$6:$A$605,A40,'11_Task_Data'!$J$6:$J$605,"Blocked")+COUNTIFS('11_Task_Data'!$A$6:$A$605,A40,'11_Task_Data'!$K$6:$K$605,"&lt;&gt;"&amp;"")</x:f>
        <x:v>3</x:v>
      </x:c>
      <x:c r="V40" s="89" t="n">
        <x:f aca="0">COUNTIFS('11_Task_Data'!$A$6:$A$605,A40,'11_Task_Data'!$L$6:$L$605,"YES")</x:f>
        <x:v>3</x:v>
      </x:c>
      <x:c r="W40" s="89" t="n">
        <x:v>14</x:v>
      </x:c>
      <x:c r="X40" s="90" t="s">
        <x:v>65</x:v>
      </x:c>
      <x:c r="Y40" s="89" t="str">
        <x:f aca="0">IF(COUNTA(A40:S40)=19,"PASS","CHECK")</x:f>
        <x:v>PASS</x:v>
      </x:c>
      <x:c r="Z40" s="278" t="n">
        <x:f>IF(COUNTIF($A$6:$A$105,A40)&gt;1,1,0)</x:f>
        <x:v>0</x:v>
      </x:c>
    </x:row>
    <x:row r="41" ht="15" hidden="0">
      <x:c r="A41" s="83" t="s">
        <x:v>224</x:v>
      </x:c>
      <x:c r="B41" s="83" t="s">
        <x:v>225</x:v>
      </x:c>
      <x:c r="C41" s="83" t="s">
        <x:v>123</x:v>
      </x:c>
      <x:c r="D41" s="83" t="s">
        <x:v>535</x:v>
      </x:c>
      <x:c r="E41" s="83" t="s">
        <x:v>145</x:v>
      </x:c>
      <x:c r="F41" s="83" t="s">
        <x:v>118</x:v>
      </x:c>
      <x:c r="G41" s="83" t="s">
        <x:v>97</x:v>
      </x:c>
      <x:c r="H41" s="84" t="n">
        <x:v>56.6</x:v>
      </x:c>
      <x:c r="I41" s="85" t="n">
        <x:v>46239</x:v>
      </x:c>
      <x:c r="J41" s="85" t="n">
        <x:v>46333</x:v>
      </x:c>
      <x:c r="K41" s="84" t="n">
        <x:v>96.7</x:v>
      </x:c>
      <x:c r="L41" s="84" t="n">
        <x:v>16.5</x:v>
      </x:c>
      <x:c r="M41" s="84" t="n">
        <x:v>63.3</x:v>
      </x:c>
      <x:c r="N41" s="83" t="n">
        <x:v>36</x:v>
      </x:c>
      <x:c r="O41" s="86" t="n">
        <x:v>0.689278021150891</x:v>
      </x:c>
      <x:c r="P41" s="87" t="n">
        <x:v>31</x:v>
      </x:c>
      <x:c r="Q41" s="83" t="n">
        <x:v>67</x:v>
      </x:c>
      <x:c r="R41" s="83" t="s">
        <x:v>534</x:v>
      </x:c>
      <x:c r="S41" s="86" t="n">
        <x:v>0.170439548908059</x:v>
      </x:c>
      <x:c r="T41" s="88" t="n">
        <x:f aca="0">IFERROR(AVERAGEIF('11_Task_Data'!$A$6:$A$605,A41,'11_Task_Data'!$I$6:$I$605),0)</x:f>
        <x:v>46.833333333333336</x:v>
      </x:c>
      <x:c r="U41" s="89" t="n">
        <x:f aca="0">COUNTIFS('11_Task_Data'!$A$6:$A$605,A41,'11_Task_Data'!$J$6:$J$605,"Blocked")+COUNTIFS('11_Task_Data'!$A$6:$A$605,A41,'11_Task_Data'!$K$6:$K$605,"&lt;&gt;"&amp;"")</x:f>
        <x:v>1</x:v>
      </x:c>
      <x:c r="V41" s="89" t="n">
        <x:f aca="0">COUNTIFS('11_Task_Data'!$A$6:$A$605,A41,'11_Task_Data'!$L$6:$L$605,"YES")</x:f>
        <x:v>0</x:v>
      </x:c>
      <x:c r="W41" s="89" t="n">
        <x:v>11</x:v>
      </x:c>
      <x:c r="X41" s="90" t="s">
        <x:v>65</x:v>
      </x:c>
      <x:c r="Y41" s="89" t="str">
        <x:f aca="0">IF(COUNTA(A41:S41)=19,"PASS","CHECK")</x:f>
        <x:v>PASS</x:v>
      </x:c>
      <x:c r="Z41" s="278" t="n">
        <x:f>IF(COUNTIF($A$6:$A$105,A41)&gt;1,1,0)</x:f>
        <x:v>0</x:v>
      </x:c>
    </x:row>
    <x:row r="42" ht="15" hidden="0">
      <x:c r="A42" s="83" t="s">
        <x:v>266</x:v>
      </x:c>
      <x:c r="B42" s="83" t="s">
        <x:v>267</x:v>
      </x:c>
      <x:c r="C42" s="83" t="s">
        <x:v>68</x:v>
      </x:c>
      <x:c r="D42" s="83" t="s">
        <x:v>533</x:v>
      </x:c>
      <x:c r="E42" s="83" t="s">
        <x:v>111</x:v>
      </x:c>
      <x:c r="F42" s="83" t="s">
        <x:v>118</x:v>
      </x:c>
      <x:c r="G42" s="83" t="s">
        <x:v>193</x:v>
      </x:c>
      <x:c r="H42" s="84" t="n">
        <x:v>88.7</x:v>
      </x:c>
      <x:c r="I42" s="85" t="n">
        <x:v>46240</x:v>
      </x:c>
      <x:c r="J42" s="85" t="n">
        <x:v>46362</x:v>
      </x:c>
      <x:c r="K42" s="84" t="n">
        <x:v>166.5</x:v>
      </x:c>
      <x:c r="L42" s="84" t="n">
        <x:v>52.1</x:v>
      </x:c>
      <x:c r="M42" s="84" t="n">
        <x:v>47.9</x:v>
      </x:c>
      <x:c r="N42" s="83" t="n">
        <x:v>33</x:v>
      </x:c>
      <x:c r="O42" s="86" t="n">
        <x:v>0.915101802164802</x:v>
      </x:c>
      <x:c r="P42" s="87" t="n">
        <x:v>66</x:v>
      </x:c>
      <x:c r="Q42" s="83" t="n">
        <x:v>88</x:v>
      </x:c>
      <x:c r="R42" s="83" t="s">
        <x:v>528</x:v>
      </x:c>
      <x:c r="S42" s="86" t="n">
        <x:v>0.313184917550312</x:v>
      </x:c>
      <x:c r="T42" s="88" t="n">
        <x:f aca="0">IFERROR(AVERAGEIF('11_Task_Data'!$A$6:$A$605,A42,'11_Task_Data'!$I$6:$I$605),0)</x:f>
        <x:v>74.83333333333333</x:v>
      </x:c>
      <x:c r="U42" s="89" t="n">
        <x:f aca="0">COUNTIFS('11_Task_Data'!$A$6:$A$605,A42,'11_Task_Data'!$J$6:$J$605,"Blocked")+COUNTIFS('11_Task_Data'!$A$6:$A$605,A42,'11_Task_Data'!$K$6:$K$605,"&lt;&gt;"&amp;"")</x:f>
        <x:v>2</x:v>
      </x:c>
      <x:c r="V42" s="89" t="n">
        <x:f aca="0">COUNTIFS('11_Task_Data'!$A$6:$A$605,A42,'11_Task_Data'!$L$6:$L$605,"YES")</x:f>
        <x:v>0</x:v>
      </x:c>
      <x:c r="W42" s="89" t="n">
        <x:v>6</x:v>
      </x:c>
      <x:c r="X42" s="90" t="s">
        <x:v>63</x:v>
      </x:c>
      <x:c r="Y42" s="89" t="str">
        <x:f aca="0">IF(COUNTA(A42:S42)=19,"PASS","CHECK")</x:f>
        <x:v>PASS</x:v>
      </x:c>
      <x:c r="Z42" s="278" t="n">
        <x:f>IF(COUNTIF($A$6:$A$105,A42)&gt;1,1,0)</x:f>
        <x:v>0</x:v>
      </x:c>
    </x:row>
    <x:row r="43" ht="15" hidden="0">
      <x:c r="A43" s="83" t="s">
        <x:v>280</x:v>
      </x:c>
      <x:c r="B43" s="83" t="s">
        <x:v>281</x:v>
      </x:c>
      <x:c r="C43" s="83" t="s">
        <x:v>123</x:v>
      </x:c>
      <x:c r="D43" s="83" t="s">
        <x:v>531</x:v>
      </x:c>
      <x:c r="E43" s="83" t="s">
        <x:v>111</x:v>
      </x:c>
      <x:c r="F43" s="83" t="s">
        <x:v>110</x:v>
      </x:c>
      <x:c r="G43" s="83" t="s">
        <x:v>80</x:v>
      </x:c>
      <x:c r="H43" s="84" t="n">
        <x:v>104.7</x:v>
      </x:c>
      <x:c r="I43" s="85" t="n">
        <x:v>46241</x:v>
      </x:c>
      <x:c r="J43" s="85" t="n">
        <x:v>46372</x:v>
      </x:c>
      <x:c r="K43" s="84" t="n">
        <x:v>242.5</x:v>
      </x:c>
      <x:c r="L43" s="84" t="n">
        <x:v>57.6</x:v>
      </x:c>
      <x:c r="M43" s="84" t="n">
        <x:v>42.9</x:v>
      </x:c>
      <x:c r="N43" s="83" t="n">
        <x:v>20</x:v>
      </x:c>
      <x:c r="O43" s="86" t="n">
        <x:v>0.670453635286291</x:v>
      </x:c>
      <x:c r="P43" s="87" t="n">
        <x:v>51</x:v>
      </x:c>
      <x:c r="Q43" s="83" t="n">
        <x:v>81</x:v>
      </x:c>
      <x:c r="R43" s="83" t="s">
        <x:v>532</x:v>
      </x:c>
      <x:c r="S43" s="86" t="n">
        <x:v>0.237354271806976</x:v>
      </x:c>
      <x:c r="T43" s="88" t="n">
        <x:f aca="0">IFERROR(AVERAGEIF('11_Task_Data'!$A$6:$A$605,A43,'11_Task_Data'!$I$6:$I$605),0)</x:f>
        <x:v>75.83333333333333</x:v>
      </x:c>
      <x:c r="U43" s="89" t="n">
        <x:f aca="0">COUNTIFS('11_Task_Data'!$A$6:$A$605,A43,'11_Task_Data'!$J$6:$J$605,"Blocked")+COUNTIFS('11_Task_Data'!$A$6:$A$605,A43,'11_Task_Data'!$K$6:$K$605,"&lt;&gt;"&amp;"")</x:f>
        <x:v>4</x:v>
      </x:c>
      <x:c r="V43" s="89" t="n">
        <x:f aca="0">COUNTIFS('11_Task_Data'!$A$6:$A$605,A43,'11_Task_Data'!$L$6:$L$605,"YES")</x:f>
        <x:v>0</x:v>
      </x:c>
      <x:c r="W43" s="89" t="n">
        <x:v>5</x:v>
      </x:c>
      <x:c r="X43" s="90" t="s">
        <x:v>63</x:v>
      </x:c>
      <x:c r="Y43" s="89" t="str">
        <x:f aca="0">IF(COUNTA(A43:S43)=19,"PASS","CHECK")</x:f>
        <x:v>PASS</x:v>
      </x:c>
      <x:c r="Z43" s="278" t="n">
        <x:f>IF(COUNTIF($A$6:$A$105,A43)&gt;1,1,0)</x:f>
        <x:v>0</x:v>
      </x:c>
    </x:row>
    <x:row r="44" ht="15" hidden="0">
      <x:c r="A44" s="83" t="s">
        <x:v>278</x:v>
      </x:c>
      <x:c r="B44" s="83" t="s">
        <x:v>279</x:v>
      </x:c>
      <x:c r="C44" s="83" t="s">
        <x:v>69</x:v>
      </x:c>
      <x:c r="D44" s="83" t="s">
        <x:v>531</x:v>
      </x:c>
      <x:c r="E44" s="83" t="s">
        <x:v>129</x:v>
      </x:c>
      <x:c r="F44" s="83" t="s">
        <x:v>118</x:v>
      </x:c>
      <x:c r="G44" s="83" t="s">
        <x:v>84</x:v>
      </x:c>
      <x:c r="H44" s="84" t="n">
        <x:v>133.4</x:v>
      </x:c>
      <x:c r="I44" s="85" t="n">
        <x:v>46242</x:v>
      </x:c>
      <x:c r="J44" s="85" t="n">
        <x:v>46311</x:v>
      </x:c>
      <x:c r="K44" s="84" t="n">
        <x:v>269.8</x:v>
      </x:c>
      <x:c r="L44" s="84" t="n">
        <x:v>74.1</x:v>
      </x:c>
      <x:c r="M44" s="84" t="n">
        <x:v>53.6</x:v>
      </x:c>
      <x:c r="N44" s="83" t="n">
        <x:v>16</x:v>
      </x:c>
      <x:c r="O44" s="86" t="n">
        <x:v>0.980852337058473</x:v>
      </x:c>
      <x:c r="P44" s="87" t="n">
        <x:v>55</x:v>
      </x:c>
      <x:c r="Q44" s="83" t="n">
        <x:v>79</x:v>
      </x:c>
      <x:c r="R44" s="83" t="s">
        <x:v>528</x:v>
      </x:c>
      <x:c r="S44" s="86" t="n">
        <x:v>0.2745627106922</x:v>
      </x:c>
      <x:c r="T44" s="88" t="n">
        <x:f aca="0">IFERROR(AVERAGEIF('11_Task_Data'!$A$6:$A$605,A44,'11_Task_Data'!$I$6:$I$605),0)</x:f>
        <x:v>75.16666666666667</x:v>
      </x:c>
      <x:c r="U44" s="89" t="n">
        <x:f aca="0">COUNTIFS('11_Task_Data'!$A$6:$A$605,A44,'11_Task_Data'!$J$6:$J$605,"Blocked")+COUNTIFS('11_Task_Data'!$A$6:$A$605,A44,'11_Task_Data'!$K$6:$K$605,"&lt;&gt;"&amp;"")</x:f>
        <x:v>1</x:v>
      </x:c>
      <x:c r="V44" s="89" t="n">
        <x:f aca="0">COUNTIFS('11_Task_Data'!$A$6:$A$605,A44,'11_Task_Data'!$L$6:$L$605,"YES")</x:f>
        <x:v>0</x:v>
      </x:c>
      <x:c r="W44" s="89" t="n">
        <x:v>5</x:v>
      </x:c>
      <x:c r="X44" s="90" t="s">
        <x:v>63</x:v>
      </x:c>
      <x:c r="Y44" s="89" t="str">
        <x:f aca="0">IF(COUNTA(A44:S44)=19,"PASS","CHECK")</x:f>
        <x:v>PASS</x:v>
      </x:c>
      <x:c r="Z44" s="278" t="n">
        <x:f>IF(COUNTIF($A$6:$A$105,A44)&gt;1,1,0)</x:f>
        <x:v>0</x:v>
      </x:c>
    </x:row>
    <x:row r="45" ht="15" hidden="0">
      <x:c r="A45" s="83" t="s">
        <x:v>150</x:v>
      </x:c>
      <x:c r="B45" s="83" t="s">
        <x:v>151</x:v>
      </x:c>
      <x:c r="C45" s="83" t="s">
        <x:v>70</x:v>
      </x:c>
      <x:c r="D45" s="83" t="s">
        <x:v>533</x:v>
      </x:c>
      <x:c r="E45" s="83" t="s">
        <x:v>129</x:v>
      </x:c>
      <x:c r="F45" s="83" t="s">
        <x:v>113</x:v>
      </x:c>
      <x:c r="G45" s="83" t="s">
        <x:v>88</x:v>
      </x:c>
      <x:c r="H45" s="84" t="n">
        <x:v>67.5</x:v>
      </x:c>
      <x:c r="I45" s="85" t="n">
        <x:v>46243</x:v>
      </x:c>
      <x:c r="J45" s="85" t="n">
        <x:v>46344</x:v>
      </x:c>
      <x:c r="K45" s="84" t="n">
        <x:v>100.8</x:v>
      </x:c>
      <x:c r="L45" s="84" t="n">
        <x:v>30.1</x:v>
      </x:c>
      <x:c r="M45" s="84" t="n">
        <x:v>6.4</x:v>
      </x:c>
      <x:c r="N45" s="83" t="n">
        <x:v>10</x:v>
      </x:c>
      <x:c r="O45" s="86" t="n">
        <x:v>0.917554736422731</x:v>
      </x:c>
      <x:c r="P45" s="87" t="n">
        <x:v>75</x:v>
      </x:c>
      <x:c r="Q45" s="83" t="n">
        <x:v>61</x:v>
      </x:c>
      <x:c r="R45" s="83" t="s">
        <x:v>534</x:v>
      </x:c>
      <x:c r="S45" s="86" t="n">
        <x:v>0.298416697011147</x:v>
      </x:c>
      <x:c r="T45" s="88" t="n">
        <x:f aca="0">IFERROR(AVERAGEIF('11_Task_Data'!$A$6:$A$605,A45,'11_Task_Data'!$I$6:$I$605),0)</x:f>
        <x:v>47.166666666666664</x:v>
      </x:c>
      <x:c r="U45" s="89" t="n">
        <x:f aca="0">COUNTIFS('11_Task_Data'!$A$6:$A$605,A45,'11_Task_Data'!$J$6:$J$605,"Blocked")+COUNTIFS('11_Task_Data'!$A$6:$A$605,A45,'11_Task_Data'!$K$6:$K$605,"&lt;&gt;"&amp;"")</x:f>
        <x:v>2</x:v>
      </x:c>
      <x:c r="V45" s="89" t="n">
        <x:f aca="0">COUNTIFS('11_Task_Data'!$A$6:$A$605,A45,'11_Task_Data'!$L$6:$L$605,"YES")</x:f>
        <x:v>1</x:v>
      </x:c>
      <x:c r="W45" s="89" t="n">
        <x:v>12</x:v>
      </x:c>
      <x:c r="X45" s="90" t="s">
        <x:v>65</x:v>
      </x:c>
      <x:c r="Y45" s="89" t="str">
        <x:f aca="0">IF(COUNTA(A45:S45)=19,"PASS","CHECK")</x:f>
        <x:v>PASS</x:v>
      </x:c>
      <x:c r="Z45" s="278" t="n">
        <x:f>IF(COUNTIF($A$6:$A$105,A45)&gt;1,1,0)</x:f>
        <x:v>0</x:v>
      </x:c>
    </x:row>
    <x:row r="46" ht="15" hidden="0">
      <x:c r="A46" s="83" t="s">
        <x:v>248</x:v>
      </x:c>
      <x:c r="B46" s="83" t="s">
        <x:v>249</x:v>
      </x:c>
      <x:c r="C46" s="83" t="s">
        <x:v>60</x:v>
      </x:c>
      <x:c r="D46" s="83" t="s">
        <x:v>529</x:v>
      </x:c>
      <x:c r="E46" s="83" t="s">
        <x:v>145</x:v>
      </x:c>
      <x:c r="F46" s="83" t="s">
        <x:v>110</x:v>
      </x:c>
      <x:c r="G46" s="83" t="s">
        <x:v>88</x:v>
      </x:c>
      <x:c r="H46" s="84" t="n">
        <x:v>154.7</x:v>
      </x:c>
      <x:c r="I46" s="85" t="n">
        <x:v>46244</x:v>
      </x:c>
      <x:c r="J46" s="85" t="n">
        <x:v>46303</x:v>
      </x:c>
      <x:c r="K46" s="84" t="n">
        <x:v>306.6</x:v>
      </x:c>
      <x:c r="L46" s="84" t="n">
        <x:v>39.6</x:v>
      </x:c>
      <x:c r="M46" s="84" t="n">
        <x:v>62.2</x:v>
      </x:c>
      <x:c r="N46" s="83" t="n">
        <x:v>27</x:v>
      </x:c>
      <x:c r="O46" s="86" t="n">
        <x:v>0.948743861759501</x:v>
      </x:c>
      <x:c r="P46" s="87" t="n">
        <x:v>17</x:v>
      </x:c>
      <x:c r="Q46" s="83" t="n">
        <x:v>64</x:v>
      </x:c>
      <x:c r="R46" s="83" t="s">
        <x:v>530</x:v>
      </x:c>
      <x:c r="S46" s="86" t="n">
        <x:v>0.129017419654049</x:v>
      </x:c>
      <x:c r="T46" s="88" t="n">
        <x:f aca="0">IFERROR(AVERAGEIF('11_Task_Data'!$A$6:$A$605,A46,'11_Task_Data'!$I$6:$I$605),0)</x:f>
        <x:v>34.833333333333336</x:v>
      </x:c>
      <x:c r="U46" s="89" t="n">
        <x:f aca="0">COUNTIFS('11_Task_Data'!$A$6:$A$605,A46,'11_Task_Data'!$J$6:$J$605,"Blocked")+COUNTIFS('11_Task_Data'!$A$6:$A$605,A46,'11_Task_Data'!$K$6:$K$605,"&lt;&gt;"&amp;"")</x:f>
        <x:v>3</x:v>
      </x:c>
      <x:c r="V46" s="89" t="n">
        <x:f aca="0">COUNTIFS('11_Task_Data'!$A$6:$A$605,A46,'11_Task_Data'!$L$6:$L$605,"YES")</x:f>
        <x:v>0</x:v>
      </x:c>
      <x:c r="W46" s="89" t="n">
        <x:v>13</x:v>
      </x:c>
      <x:c r="X46" s="90" t="s">
        <x:v>65</x:v>
      </x:c>
      <x:c r="Y46" s="89" t="str">
        <x:f aca="0">IF(COUNTA(A46:S46)=19,"PASS","CHECK")</x:f>
        <x:v>PASS</x:v>
      </x:c>
      <x:c r="Z46" s="278" t="n">
        <x:f>IF(COUNTIF($A$6:$A$105,A46)&gt;1,1,0)</x:f>
        <x:v>0</x:v>
      </x:c>
    </x:row>
    <x:row r="47" ht="15" hidden="0">
      <x:c r="A47" s="83" t="s">
        <x:v>175</x:v>
      </x:c>
      <x:c r="B47" s="83" t="s">
        <x:v>176</x:v>
      </x:c>
      <x:c r="C47" s="83" t="s">
        <x:v>68</x:v>
      </x:c>
      <x:c r="D47" s="83" t="s">
        <x:v>531</x:v>
      </x:c>
      <x:c r="E47" s="83" t="s">
        <x:v>108</x:v>
      </x:c>
      <x:c r="F47" s="83" t="s">
        <x:v>110</x:v>
      </x:c>
      <x:c r="G47" s="83" t="s">
        <x:v>132</x:v>
      </x:c>
      <x:c r="H47" s="84" t="n">
        <x:v>72.8</x:v>
      </x:c>
      <x:c r="I47" s="85" t="n">
        <x:v>46245</x:v>
      </x:c>
      <x:c r="J47" s="85" t="n">
        <x:v>46318</x:v>
      </x:c>
      <x:c r="K47" s="84" t="n">
        <x:v>101.8</x:v>
      </x:c>
      <x:c r="L47" s="84" t="n">
        <x:v>17.8</x:v>
      </x:c>
      <x:c r="M47" s="84" t="n">
        <x:v>27.6</x:v>
      </x:c>
      <x:c r="N47" s="83" t="n">
        <x:v>15</x:v>
      </x:c>
      <x:c r="O47" s="86" t="n">
        <x:v>0.930465200376114</x:v>
      </x:c>
      <x:c r="P47" s="87" t="n">
        <x:v>58</x:v>
      </x:c>
      <x:c r="Q47" s="83" t="n">
        <x:v>74</x:v>
      </x:c>
      <x:c r="R47" s="83" t="s">
        <x:v>530</x:v>
      </x:c>
      <x:c r="S47" s="86" t="n">
        <x:v>0.174677333058589</x:v>
      </x:c>
      <x:c r="T47" s="88" t="n">
        <x:f aca="0">IFERROR(AVERAGEIF('11_Task_Data'!$A$6:$A$605,A47,'11_Task_Data'!$I$6:$I$605),0)</x:f>
        <x:v>36</x:v>
      </x:c>
      <x:c r="U47" s="89" t="n">
        <x:f aca="0">COUNTIFS('11_Task_Data'!$A$6:$A$605,A47,'11_Task_Data'!$J$6:$J$605,"Blocked")+COUNTIFS('11_Task_Data'!$A$6:$A$605,A47,'11_Task_Data'!$K$6:$K$605,"&lt;&gt;"&amp;"")</x:f>
        <x:v>1</x:v>
      </x:c>
      <x:c r="V47" s="89" t="n">
        <x:f aca="0">COUNTIFS('11_Task_Data'!$A$6:$A$605,A47,'11_Task_Data'!$L$6:$L$605,"YES")</x:f>
        <x:v>0</x:v>
      </x:c>
      <x:c r="W47" s="89" t="n">
        <x:v>13</x:v>
      </x:c>
      <x:c r="X47" s="90" t="s">
        <x:v>65</x:v>
      </x:c>
      <x:c r="Y47" s="89" t="str">
        <x:f aca="0">IF(COUNTA(A47:S47)=19,"PASS","CHECK")</x:f>
        <x:v>PASS</x:v>
      </x:c>
      <x:c r="Z47" s="278" t="n">
        <x:f>IF(COUNTIF($A$6:$A$105,A47)&gt;1,1,0)</x:f>
        <x:v>0</x:v>
      </x:c>
    </x:row>
    <x:row r="48" ht="15" hidden="0">
      <x:c r="A48" s="83" t="s">
        <x:v>262</x:v>
      </x:c>
      <x:c r="B48" s="83" t="s">
        <x:v>263</x:v>
      </x:c>
      <x:c r="C48" s="83" t="s">
        <x:v>60</x:v>
      </x:c>
      <x:c r="D48" s="83" t="s">
        <x:v>535</x:v>
      </x:c>
      <x:c r="E48" s="83" t="s">
        <x:v>111</x:v>
      </x:c>
      <x:c r="F48" s="83" t="s">
        <x:v>113</x:v>
      </x:c>
      <x:c r="G48" s="83" t="s">
        <x:v>84</x:v>
      </x:c>
      <x:c r="H48" s="84" t="n">
        <x:v>88.9</x:v>
      </x:c>
      <x:c r="I48" s="85" t="n">
        <x:v>46246</x:v>
      </x:c>
      <x:c r="J48" s="85" t="n">
        <x:v>46395</x:v>
      </x:c>
      <x:c r="K48" s="84" t="n">
        <x:v>128.5</x:v>
      </x:c>
      <x:c r="L48" s="84" t="n">
        <x:v>32.5</x:v>
      </x:c>
      <x:c r="M48" s="84" t="n">
        <x:v>62.3</x:v>
      </x:c>
      <x:c r="N48" s="83" t="n">
        <x:v>33</x:v>
      </x:c>
      <x:c r="O48" s="86" t="n">
        <x:v>0.878743814133813</x:v>
      </x:c>
      <x:c r="P48" s="87" t="n">
        <x:v>71</x:v>
      </x:c>
      <x:c r="Q48" s="83" t="n">
        <x:v>72</x:v>
      </x:c>
      <x:c r="R48" s="83" t="s">
        <x:v>528</x:v>
      </x:c>
      <x:c r="S48" s="86" t="n">
        <x:v>0.252618209650654</x:v>
      </x:c>
      <x:c r="T48" s="88" t="n">
        <x:f aca="0">IFERROR(AVERAGEIF('11_Task_Data'!$A$6:$A$605,A48,'11_Task_Data'!$I$6:$I$605),0)</x:f>
        <x:v>72.83333333333333</x:v>
      </x:c>
      <x:c r="U48" s="89" t="n">
        <x:f aca="0">COUNTIFS('11_Task_Data'!$A$6:$A$605,A48,'11_Task_Data'!$J$6:$J$605,"Blocked")+COUNTIFS('11_Task_Data'!$A$6:$A$605,A48,'11_Task_Data'!$K$6:$K$605,"&lt;&gt;"&amp;"")</x:f>
        <x:v>2</x:v>
      </x:c>
      <x:c r="V48" s="89" t="n">
        <x:f aca="0">COUNTIFS('11_Task_Data'!$A$6:$A$605,A48,'11_Task_Data'!$L$6:$L$605,"YES")</x:f>
        <x:v>0</x:v>
      </x:c>
      <x:c r="W48" s="89" t="n">
        <x:v>5</x:v>
      </x:c>
      <x:c r="X48" s="90" t="s">
        <x:v>63</x:v>
      </x:c>
      <x:c r="Y48" s="89" t="str">
        <x:f aca="0">IF(COUNTA(A48:S48)=19,"PASS","CHECK")</x:f>
        <x:v>PASS</x:v>
      </x:c>
      <x:c r="Z48" s="278" t="n">
        <x:f>IF(COUNTIF($A$6:$A$105,A48)&gt;1,1,0)</x:f>
        <x:v>0</x:v>
      </x:c>
    </x:row>
    <x:row r="49" ht="15" hidden="0">
      <x:c r="A49" s="83" t="s">
        <x:v>154</x:v>
      </x:c>
      <x:c r="B49" s="83" t="s">
        <x:v>155</x:v>
      </x:c>
      <x:c r="C49" s="83" t="s">
        <x:v>123</x:v>
      </x:c>
      <x:c r="D49" s="83" t="s">
        <x:v>533</x:v>
      </x:c>
      <x:c r="E49" s="83" t="s">
        <x:v>108</x:v>
      </x:c>
      <x:c r="F49" s="83" t="s">
        <x:v>113</x:v>
      </x:c>
      <x:c r="G49" s="83" t="s">
        <x:v>80</x:v>
      </x:c>
      <x:c r="H49" s="84" t="n">
        <x:v>111.7</x:v>
      </x:c>
      <x:c r="I49" s="85" t="n">
        <x:v>46247</x:v>
      </x:c>
      <x:c r="J49" s="85" t="n">
        <x:v>46343</x:v>
      </x:c>
      <x:c r="K49" s="84" t="n">
        <x:v>266.6</x:v>
      </x:c>
      <x:c r="L49" s="84" t="n">
        <x:v>80.4</x:v>
      </x:c>
      <x:c r="M49" s="84" t="n">
        <x:v>8.6</x:v>
      </x:c>
      <x:c r="N49" s="83" t="n">
        <x:v>36</x:v>
      </x:c>
      <x:c r="O49" s="86" t="n">
        <x:v>0.62779295286484</x:v>
      </x:c>
      <x:c r="P49" s="87" t="n">
        <x:v>72</x:v>
      </x:c>
      <x:c r="Q49" s="83" t="n">
        <x:v>95</x:v>
      </x:c>
      <x:c r="R49" s="83" t="s">
        <x:v>528</x:v>
      </x:c>
      <x:c r="S49" s="86" t="n">
        <x:v>0.301606560815668</x:v>
      </x:c>
      <x:c r="T49" s="88" t="n">
        <x:f aca="0">IFERROR(AVERAGEIF('11_Task_Data'!$A$6:$A$605,A49,'11_Task_Data'!$I$6:$I$605),0)</x:f>
        <x:v>47</x:v>
      </x:c>
      <x:c r="U49" s="89" t="n">
        <x:f aca="0">COUNTIFS('11_Task_Data'!$A$6:$A$605,A49,'11_Task_Data'!$J$6:$J$605,"Blocked")+COUNTIFS('11_Task_Data'!$A$6:$A$605,A49,'11_Task_Data'!$K$6:$K$605,"&lt;&gt;"&amp;"")</x:f>
        <x:v>3</x:v>
      </x:c>
      <x:c r="V49" s="89" t="n">
        <x:f aca="0">COUNTIFS('11_Task_Data'!$A$6:$A$605,A49,'11_Task_Data'!$L$6:$L$605,"YES")</x:f>
        <x:v>1</x:v>
      </x:c>
      <x:c r="W49" s="89" t="n">
        <x:v>15</x:v>
      </x:c>
      <x:c r="X49" s="90" t="s">
        <x:v>65</x:v>
      </x:c>
      <x:c r="Y49" s="89" t="str">
        <x:f aca="0">IF(COUNTA(A49:S49)=19,"PASS","CHECK")</x:f>
        <x:v>PASS</x:v>
      </x:c>
      <x:c r="Z49" s="278" t="n">
        <x:f>IF(COUNTIF($A$6:$A$105,A49)&gt;1,1,0)</x:f>
        <x:v>0</x:v>
      </x:c>
    </x:row>
    <x:row r="50" ht="15" hidden="0">
      <x:c r="A50" s="83" t="s">
        <x:v>122</x:v>
      </x:c>
      <x:c r="B50" s="83" t="s">
        <x:v>96</x:v>
      </x:c>
      <x:c r="C50" s="83" t="s">
        <x:v>123</x:v>
      </x:c>
      <x:c r="D50" s="83" t="s">
        <x:v>533</x:v>
      </x:c>
      <x:c r="E50" s="83" t="s">
        <x:v>108</x:v>
      </x:c>
      <x:c r="F50" s="83" t="s">
        <x:v>118</x:v>
      </x:c>
      <x:c r="G50" s="83" t="s">
        <x:v>97</x:v>
      </x:c>
      <x:c r="H50" s="84" t="n">
        <x:v>83.4</x:v>
      </x:c>
      <x:c r="I50" s="85" t="n">
        <x:v>46248</x:v>
      </x:c>
      <x:c r="J50" s="85" t="n">
        <x:v>46380</x:v>
      </x:c>
      <x:c r="K50" s="84" t="n">
        <x:v>198.9</x:v>
      </x:c>
      <x:c r="L50" s="84" t="n">
        <x:v>34.2</x:v>
      </x:c>
      <x:c r="M50" s="84" t="n">
        <x:v>17.1</x:v>
      </x:c>
      <x:c r="N50" s="83" t="n">
        <x:v>31</x:v>
      </x:c>
      <x:c r="O50" s="86" t="n">
        <x:v>0.963871883074423</x:v>
      </x:c>
      <x:c r="P50" s="87" t="n">
        <x:v>83</x:v>
      </x:c>
      <x:c r="Q50" s="83" t="n">
        <x:v>73</x:v>
      </x:c>
      <x:c r="R50" s="83" t="s">
        <x:v>530</x:v>
      </x:c>
      <x:c r="S50" s="86" t="n">
        <x:v>0.171775492401073</x:v>
      </x:c>
      <x:c r="T50" s="88" t="n">
        <x:f aca="0">IFERROR(AVERAGEIF('11_Task_Data'!$A$6:$A$605,A50,'11_Task_Data'!$I$6:$I$605),0)</x:f>
        <x:v>46.333333333333336</x:v>
      </x:c>
      <x:c r="U50" s="89" t="n">
        <x:f aca="0">COUNTIFS('11_Task_Data'!$A$6:$A$605,A50,'11_Task_Data'!$J$6:$J$605,"Blocked")+COUNTIFS('11_Task_Data'!$A$6:$A$605,A50,'11_Task_Data'!$K$6:$K$605,"&lt;&gt;"&amp;"")</x:f>
        <x:v>2</x:v>
      </x:c>
      <x:c r="V50" s="89" t="n">
        <x:f aca="0">COUNTIFS('11_Task_Data'!$A$6:$A$605,A50,'11_Task_Data'!$L$6:$L$605,"YES")</x:f>
        <x:v>3</x:v>
      </x:c>
      <x:c r="W50" s="89" t="n">
        <x:v>14</x:v>
      </x:c>
      <x:c r="X50" s="90" t="s">
        <x:v>65</x:v>
      </x:c>
      <x:c r="Y50" s="89" t="str">
        <x:f aca="0">IF(COUNTA(A50:S50)=19,"PASS","CHECK")</x:f>
        <x:v>PASS</x:v>
      </x:c>
      <x:c r="Z50" s="278" t="n">
        <x:f>IF(COUNTIF($A$6:$A$105,A50)&gt;1,1,0)</x:f>
        <x:v>0</x:v>
      </x:c>
    </x:row>
    <x:row r="51" ht="15" hidden="0">
      <x:c r="A51" s="83" t="s">
        <x:v>292</x:v>
      </x:c>
      <x:c r="B51" s="83" t="s">
        <x:v>293</x:v>
      </x:c>
      <x:c r="C51" s="83" t="s">
        <x:v>67</x:v>
      </x:c>
      <x:c r="D51" s="83" t="s">
        <x:v>531</x:v>
      </x:c>
      <x:c r="E51" s="83" t="s">
        <x:v>108</x:v>
      </x:c>
      <x:c r="F51" s="83" t="s">
        <x:v>113</x:v>
      </x:c>
      <x:c r="G51" s="83" t="s">
        <x:v>80</x:v>
      </x:c>
      <x:c r="H51" s="84" t="n">
        <x:v>73.2</x:v>
      </x:c>
      <x:c r="I51" s="85" t="n">
        <x:v>46249</x:v>
      </x:c>
      <x:c r="J51" s="85" t="n">
        <x:v>46404</x:v>
      </x:c>
      <x:c r="K51" s="84" t="n">
        <x:v>101.9</x:v>
      </x:c>
      <x:c r="L51" s="84" t="n">
        <x:v>26.6</x:v>
      </x:c>
      <x:c r="M51" s="84" t="n">
        <x:v>46.6</x:v>
      </x:c>
      <x:c r="N51" s="83" t="n">
        <x:v>24</x:v>
      </x:c>
      <x:c r="O51" s="86" t="n">
        <x:v>1.0483702849002</x:v>
      </x:c>
      <x:c r="P51" s="87" t="n">
        <x:v>37</x:v>
      </x:c>
      <x:c r="Q51" s="83" t="n">
        <x:v>82</x:v>
      </x:c>
      <x:c r="R51" s="83" t="s">
        <x:v>528</x:v>
      </x:c>
      <x:c r="S51" s="86" t="n">
        <x:v>0.26064209252023</x:v>
      </x:c>
      <x:c r="T51" s="88" t="n">
        <x:f aca="0">IFERROR(AVERAGEIF('11_Task_Data'!$A$6:$A$605,A51,'11_Task_Data'!$I$6:$I$605),0)</x:f>
        <x:v>82.83333333333333</x:v>
      </x:c>
      <x:c r="U51" s="89" t="n">
        <x:f aca="0">COUNTIFS('11_Task_Data'!$A$6:$A$605,A51,'11_Task_Data'!$J$6:$J$605,"Blocked")+COUNTIFS('11_Task_Data'!$A$6:$A$605,A51,'11_Task_Data'!$K$6:$K$605,"&lt;&gt;"&amp;"")</x:f>
        <x:v>2</x:v>
      </x:c>
      <x:c r="V51" s="89" t="n">
        <x:f aca="0">COUNTIFS('11_Task_Data'!$A$6:$A$605,A51,'11_Task_Data'!$L$6:$L$605,"YES")</x:f>
        <x:v>0</x:v>
      </x:c>
      <x:c r="W51" s="89" t="n">
        <x:v>3</x:v>
      </x:c>
      <x:c r="X51" s="90" t="s">
        <x:v>63</x:v>
      </x:c>
      <x:c r="Y51" s="89" t="str">
        <x:f aca="0">IF(COUNTA(A51:S51)=19,"PASS","CHECK")</x:f>
        <x:v>PASS</x:v>
      </x:c>
      <x:c r="Z51" s="278" t="n">
        <x:f>IF(COUNTIF($A$6:$A$105,A51)&gt;1,1,0)</x:f>
        <x:v>0</x:v>
      </x:c>
    </x:row>
    <x:row r="52" ht="15" hidden="0">
      <x:c r="A52" s="83" t="s">
        <x:v>274</x:v>
      </x:c>
      <x:c r="B52" s="83" t="s">
        <x:v>275</x:v>
      </x:c>
      <x:c r="C52" s="83" t="s">
        <x:v>64</x:v>
      </x:c>
      <x:c r="D52" s="83" t="s">
        <x:v>535</x:v>
      </x:c>
      <x:c r="E52" s="83" t="s">
        <x:v>114</x:v>
      </x:c>
      <x:c r="F52" s="83" t="s">
        <x:v>110</x:v>
      </x:c>
      <x:c r="G52" s="83" t="s">
        <x:v>80</x:v>
      </x:c>
      <x:c r="H52" s="84" t="n">
        <x:v>81.9</x:v>
      </x:c>
      <x:c r="I52" s="85" t="n">
        <x:v>46250</x:v>
      </x:c>
      <x:c r="J52" s="85" t="n">
        <x:v>46315</x:v>
      </x:c>
      <x:c r="K52" s="84" t="n">
        <x:v>128.4</x:v>
      </x:c>
      <x:c r="L52" s="84" t="n">
        <x:v>16.1</x:v>
      </x:c>
      <x:c r="M52" s="84" t="n">
        <x:v>18.2</x:v>
      </x:c>
      <x:c r="N52" s="83" t="n">
        <x:v>30</x:v>
      </x:c>
      <x:c r="O52" s="86" t="n">
        <x:v>0.703206288360228</x:v>
      </x:c>
      <x:c r="P52" s="87" t="n">
        <x:v>59</x:v>
      </x:c>
      <x:c r="Q52" s="83" t="n">
        <x:v>75</x:v>
      </x:c>
      <x:c r="R52" s="83" t="s">
        <x:v>532</x:v>
      </x:c>
      <x:c r="S52" s="86" t="n">
        <x:v>0.125523207643856</x:v>
      </x:c>
      <x:c r="T52" s="88" t="n">
        <x:f aca="0">IFERROR(AVERAGEIF('11_Task_Data'!$A$6:$A$605,A52,'11_Task_Data'!$I$6:$I$605),0)</x:f>
        <x:v>78.33333333333333</x:v>
      </x:c>
      <x:c r="U52" s="89" t="n">
        <x:f aca="0">COUNTIFS('11_Task_Data'!$A$6:$A$605,A52,'11_Task_Data'!$J$6:$J$605,"Blocked")+COUNTIFS('11_Task_Data'!$A$6:$A$605,A52,'11_Task_Data'!$K$6:$K$605,"&lt;&gt;"&amp;"")</x:f>
        <x:v>1</x:v>
      </x:c>
      <x:c r="V52" s="89" t="n">
        <x:f aca="0">COUNTIFS('11_Task_Data'!$A$6:$A$605,A52,'11_Task_Data'!$L$6:$L$605,"YES")</x:f>
        <x:v>0</x:v>
      </x:c>
      <x:c r="W52" s="89" t="n">
        <x:v>4</x:v>
      </x:c>
      <x:c r="X52" s="90" t="s">
        <x:v>63</x:v>
      </x:c>
      <x:c r="Y52" s="89" t="str">
        <x:f aca="0">IF(COUNTA(A52:S52)=19,"PASS","CHECK")</x:f>
        <x:v>PASS</x:v>
      </x:c>
      <x:c r="Z52" s="278" t="n">
        <x:f>IF(COUNTIF($A$6:$A$105,A52)&gt;1,1,0)</x:f>
        <x:v>0</x:v>
      </x:c>
    </x:row>
    <x:row r="53" ht="15" hidden="0">
      <x:c r="A53" s="83" t="s">
        <x:v>167</x:v>
      </x:c>
      <x:c r="B53" s="83" t="s">
        <x:v>168</x:v>
      </x:c>
      <x:c r="C53" s="83" t="s">
        <x:v>67</x:v>
      </x:c>
      <x:c r="D53" s="83" t="s">
        <x:v>533</x:v>
      </x:c>
      <x:c r="E53" s="83" t="s">
        <x:v>108</x:v>
      </x:c>
      <x:c r="F53" s="83" t="s">
        <x:v>118</x:v>
      </x:c>
      <x:c r="G53" s="83" t="s">
        <x:v>97</x:v>
      </x:c>
      <x:c r="H53" s="84" t="n">
        <x:v>133.1</x:v>
      </x:c>
      <x:c r="I53" s="85" t="n">
        <x:v>46251</x:v>
      </x:c>
      <x:c r="J53" s="85" t="n">
        <x:v>46389</x:v>
      </x:c>
      <x:c r="K53" s="84" t="n">
        <x:v>275</x:v>
      </x:c>
      <x:c r="L53" s="84" t="n">
        <x:v>43.8</x:v>
      </x:c>
      <x:c r="M53" s="84" t="n">
        <x:v>51.1</x:v>
      </x:c>
      <x:c r="N53" s="83" t="n">
        <x:v>16</x:v>
      </x:c>
      <x:c r="O53" s="86" t="n">
        <x:v>0.91987544872602</x:v>
      </x:c>
      <x:c r="P53" s="87" t="n">
        <x:v>64</x:v>
      </x:c>
      <x:c r="Q53" s="83" t="n">
        <x:v>74</x:v>
      </x:c>
      <x:c r="R53" s="83" t="s">
        <x:v>534</x:v>
      </x:c>
      <x:c r="S53" s="86" t="n">
        <x:v>0.159383247473664</x:v>
      </x:c>
      <x:c r="T53" s="88" t="n">
        <x:f aca="0">IFERROR(AVERAGEIF('11_Task_Data'!$A$6:$A$605,A53,'11_Task_Data'!$I$6:$I$605),0)</x:f>
        <x:v>62.5</x:v>
      </x:c>
      <x:c r="U53" s="89" t="n">
        <x:f aca="0">COUNTIFS('11_Task_Data'!$A$6:$A$605,A53,'11_Task_Data'!$J$6:$J$605,"Blocked")+COUNTIFS('11_Task_Data'!$A$6:$A$605,A53,'11_Task_Data'!$K$6:$K$605,"&lt;&gt;"&amp;"")</x:f>
        <x:v>1</x:v>
      </x:c>
      <x:c r="V53" s="89" t="n">
        <x:f aca="0">COUNTIFS('11_Task_Data'!$A$6:$A$605,A53,'11_Task_Data'!$L$6:$L$605,"YES")</x:f>
        <x:v>0</x:v>
      </x:c>
      <x:c r="W53" s="89" t="n">
        <x:v>8</x:v>
      </x:c>
      <x:c r="X53" s="90" t="s">
        <x:v>65</x:v>
      </x:c>
      <x:c r="Y53" s="89" t="str">
        <x:f aca="0">IF(COUNTA(A53:S53)=19,"PASS","CHECK")</x:f>
        <x:v>PASS</x:v>
      </x:c>
      <x:c r="Z53" s="278" t="n">
        <x:f>IF(COUNTIF($A$6:$A$105,A53)&gt;1,1,0)</x:f>
        <x:v>0</x:v>
      </x:c>
    </x:row>
    <x:row r="54" ht="15" hidden="0">
      <x:c r="A54" s="83" t="s">
        <x:v>202</x:v>
      </x:c>
      <x:c r="B54" s="83" t="s">
        <x:v>203</x:v>
      </x:c>
      <x:c r="C54" s="83" t="s">
        <x:v>67</x:v>
      </x:c>
      <x:c r="D54" s="83" t="s">
        <x:v>528</x:v>
      </x:c>
      <x:c r="E54" s="83" t="s">
        <x:v>111</x:v>
      </x:c>
      <x:c r="F54" s="83" t="s">
        <x:v>107</x:v>
      </x:c>
      <x:c r="G54" s="83" t="s">
        <x:v>95</x:v>
      </x:c>
      <x:c r="H54" s="84" t="n">
        <x:v>53.1</x:v>
      </x:c>
      <x:c r="I54" s="85" t="n">
        <x:v>46252</x:v>
      </x:c>
      <x:c r="J54" s="85" t="n">
        <x:v>46315</x:v>
      </x:c>
      <x:c r="K54" s="84" t="n">
        <x:v>76.6</x:v>
      </x:c>
      <x:c r="L54" s="84" t="n">
        <x:v>19.3</x:v>
      </x:c>
      <x:c r="M54" s="84" t="n">
        <x:v>62.4</x:v>
      </x:c>
      <x:c r="N54" s="83" t="n">
        <x:v>6</x:v>
      </x:c>
      <x:c r="O54" s="86" t="n">
        <x:v>0.653417936224186</x:v>
      </x:c>
      <x:c r="P54" s="87" t="n">
        <x:v>43</x:v>
      </x:c>
      <x:c r="Q54" s="83" t="n">
        <x:v>80</x:v>
      </x:c>
      <x:c r="R54" s="83" t="s">
        <x:v>534</x:v>
      </x:c>
      <x:c r="S54" s="86" t="n">
        <x:v>0.252296689284776</x:v>
      </x:c>
      <x:c r="T54" s="88" t="n">
        <x:f aca="0">IFERROR(AVERAGEIF('11_Task_Data'!$A$6:$A$605,A54,'11_Task_Data'!$I$6:$I$605),0)</x:f>
        <x:v>42</x:v>
      </x:c>
      <x:c r="U54" s="89" t="n">
        <x:f aca="0">COUNTIFS('11_Task_Data'!$A$6:$A$605,A54,'11_Task_Data'!$J$6:$J$605,"Blocked")+COUNTIFS('11_Task_Data'!$A$6:$A$605,A54,'11_Task_Data'!$K$6:$K$605,"&lt;&gt;"&amp;"")</x:f>
        <x:v>4</x:v>
      </x:c>
      <x:c r="V54" s="89" t="n">
        <x:f aca="0">COUNTIFS('11_Task_Data'!$A$6:$A$605,A54,'11_Task_Data'!$L$6:$L$605,"YES")</x:f>
        <x:v>0</x:v>
      </x:c>
      <x:c r="W54" s="89" t="n">
        <x:v>12</x:v>
      </x:c>
      <x:c r="X54" s="90" t="s">
        <x:v>65</x:v>
      </x:c>
      <x:c r="Y54" s="89" t="str">
        <x:f aca="0">IF(COUNTA(A54:S54)=19,"PASS","CHECK")</x:f>
        <x:v>PASS</x:v>
      </x:c>
      <x:c r="Z54" s="278" t="n">
        <x:f>IF(COUNTIF($A$6:$A$105,A54)&gt;1,1,0)</x:f>
        <x:v>0</x:v>
      </x:c>
    </x:row>
    <x:row r="55" ht="15" hidden="0">
      <x:c r="A55" s="83" t="s">
        <x:v>181</x:v>
      </x:c>
      <x:c r="B55" s="83" t="s">
        <x:v>182</x:v>
      </x:c>
      <x:c r="C55" s="83" t="s">
        <x:v>123</x:v>
      </x:c>
      <x:c r="D55" s="83" t="s">
        <x:v>533</x:v>
      </x:c>
      <x:c r="E55" s="83" t="s">
        <x:v>145</x:v>
      </x:c>
      <x:c r="F55" s="83" t="s">
        <x:v>113</x:v>
      </x:c>
      <x:c r="G55" s="83" t="s">
        <x:v>90</x:v>
      </x:c>
      <x:c r="H55" s="84" t="n">
        <x:v>114.9</x:v>
      </x:c>
      <x:c r="I55" s="85" t="n">
        <x:v>46253</x:v>
      </x:c>
      <x:c r="J55" s="85" t="n">
        <x:v>46392</x:v>
      </x:c>
      <x:c r="K55" s="84" t="n">
        <x:v>263.8</x:v>
      </x:c>
      <x:c r="L55" s="84" t="n">
        <x:v>64.1</x:v>
      </x:c>
      <x:c r="M55" s="84" t="n">
        <x:v>48.1</x:v>
      </x:c>
      <x:c r="N55" s="83" t="n">
        <x:v>7</x:v>
      </x:c>
      <x:c r="O55" s="86" t="n">
        <x:v>0.754348829040081</x:v>
      </x:c>
      <x:c r="P55" s="87" t="n">
        <x:v>54</x:v>
      </x:c>
      <x:c r="Q55" s="83" t="n">
        <x:v>55</x:v>
      </x:c>
      <x:c r="R55" s="83" t="s">
        <x:v>528</x:v>
      </x:c>
      <x:c r="S55" s="86" t="n">
        <x:v>0.243087368887521</x:v>
      </x:c>
      <x:c r="T55" s="88" t="n">
        <x:f aca="0">IFERROR(AVERAGEIF('11_Task_Data'!$A$6:$A$605,A55,'11_Task_Data'!$I$6:$I$605),0)</x:f>
        <x:v>52.333333333333336</x:v>
      </x:c>
      <x:c r="U55" s="89" t="n">
        <x:f aca="0">COUNTIFS('11_Task_Data'!$A$6:$A$605,A55,'11_Task_Data'!$J$6:$J$605,"Blocked")+COUNTIFS('11_Task_Data'!$A$6:$A$605,A55,'11_Task_Data'!$K$6:$K$605,"&lt;&gt;"&amp;"")</x:f>
        <x:v>2</x:v>
      </x:c>
      <x:c r="V55" s="89" t="n">
        <x:f aca="0">COUNTIFS('11_Task_Data'!$A$6:$A$605,A55,'11_Task_Data'!$L$6:$L$605,"YES")</x:f>
        <x:v>0</x:v>
      </x:c>
      <x:c r="W55" s="89" t="n">
        <x:v>10</x:v>
      </x:c>
      <x:c r="X55" s="90" t="s">
        <x:v>65</x:v>
      </x:c>
      <x:c r="Y55" s="89" t="str">
        <x:f aca="0">IF(COUNTA(A55:S55)=19,"PASS","CHECK")</x:f>
        <x:v>PASS</x:v>
      </x:c>
      <x:c r="Z55" s="278" t="n">
        <x:f>IF(COUNTIF($A$6:$A$105,A55)&gt;1,1,0)</x:f>
        <x:v>0</x:v>
      </x:c>
    </x:row>
    <x:row r="56" ht="15" hidden="0">
      <x:c r="A56" s="83" t="s">
        <x:v>228</x:v>
      </x:c>
      <x:c r="B56" s="83" t="s">
        <x:v>229</x:v>
      </x:c>
      <x:c r="C56" s="83" t="s">
        <x:v>64</x:v>
      </x:c>
      <x:c r="D56" s="83" t="s">
        <x:v>535</x:v>
      </x:c>
      <x:c r="E56" s="83" t="s">
        <x:v>145</x:v>
      </x:c>
      <x:c r="F56" s="83" t="s">
        <x:v>113</x:v>
      </x:c>
      <x:c r="G56" s="83" t="s">
        <x:v>84</x:v>
      </x:c>
      <x:c r="H56" s="84" t="n">
        <x:v>66.7</x:v>
      </x:c>
      <x:c r="I56" s="85" t="n">
        <x:v>46254</x:v>
      </x:c>
      <x:c r="J56" s="85" t="n">
        <x:v>46318</x:v>
      </x:c>
      <x:c r="K56" s="84" t="n">
        <x:v>102.6</x:v>
      </x:c>
      <x:c r="L56" s="84" t="n">
        <x:v>18.3</x:v>
      </x:c>
      <x:c r="M56" s="84" t="n">
        <x:v>35.5</x:v>
      </x:c>
      <x:c r="N56" s="83" t="n">
        <x:v>13</x:v>
      </x:c>
      <x:c r="O56" s="86" t="n">
        <x:v>1.00152489646371</x:v>
      </x:c>
      <x:c r="P56" s="87" t="n">
        <x:v>30</x:v>
      </x:c>
      <x:c r="Q56" s="83" t="n">
        <x:v>73</x:v>
      </x:c>
      <x:c r="R56" s="83" t="s">
        <x:v>530</x:v>
      </x:c>
      <x:c r="S56" s="86" t="n">
        <x:v>0.177877340019725</x:v>
      </x:c>
      <x:c r="T56" s="88" t="n">
        <x:f aca="0">IFERROR(AVERAGEIF('11_Task_Data'!$A$6:$A$605,A56,'11_Task_Data'!$I$6:$I$605),0)</x:f>
        <x:v>24.5</x:v>
      </x:c>
      <x:c r="U56" s="89" t="n">
        <x:f aca="0">COUNTIFS('11_Task_Data'!$A$6:$A$605,A56,'11_Task_Data'!$J$6:$J$605,"Blocked")+COUNTIFS('11_Task_Data'!$A$6:$A$605,A56,'11_Task_Data'!$K$6:$K$605,"&lt;&gt;"&amp;"")</x:f>
        <x:v>1</x:v>
      </x:c>
      <x:c r="V56" s="89" t="n">
        <x:f aca="0">COUNTIFS('11_Task_Data'!$A$6:$A$605,A56,'11_Task_Data'!$L$6:$L$605,"YES")</x:f>
        <x:v>0</x:v>
      </x:c>
      <x:c r="W56" s="89" t="n">
        <x:v>15</x:v>
      </x:c>
      <x:c r="X56" s="90" t="s">
        <x:v>65</x:v>
      </x:c>
      <x:c r="Y56" s="89" t="str">
        <x:f aca="0">IF(COUNTA(A56:S56)=19,"PASS","CHECK")</x:f>
        <x:v>PASS</x:v>
      </x:c>
      <x:c r="Z56" s="278" t="n">
        <x:f>IF(COUNTIF($A$6:$A$105,A56)&gt;1,1,0)</x:f>
        <x:v>0</x:v>
      </x:c>
    </x:row>
    <x:row r="57" ht="15" hidden="0">
      <x:c r="A57" s="83" t="s">
        <x:v>242</x:v>
      </x:c>
      <x:c r="B57" s="83" t="s">
        <x:v>243</x:v>
      </x:c>
      <x:c r="C57" s="83" t="s">
        <x:v>66</x:v>
      </x:c>
      <x:c r="D57" s="83" t="s">
        <x:v>533</x:v>
      </x:c>
      <x:c r="E57" s="83" t="s">
        <x:v>111</x:v>
      </x:c>
      <x:c r="F57" s="83" t="s">
        <x:v>107</x:v>
      </x:c>
      <x:c r="G57" s="83" t="s">
        <x:v>86</x:v>
      </x:c>
      <x:c r="H57" s="84" t="n">
        <x:v>46.4</x:v>
      </x:c>
      <x:c r="I57" s="85" t="n">
        <x:v>46255</x:v>
      </x:c>
      <x:c r="J57" s="85" t="n">
        <x:v>46371</x:v>
      </x:c>
      <x:c r="K57" s="84" t="n">
        <x:v>100.9</x:v>
      </x:c>
      <x:c r="L57" s="84" t="n">
        <x:v>22.1</x:v>
      </x:c>
      <x:c r="M57" s="84" t="n">
        <x:v>53</x:v>
      </x:c>
      <x:c r="N57" s="83" t="n">
        <x:v>34</x:v>
      </x:c>
      <x:c r="O57" s="86" t="n">
        <x:v>0.678673207919302</x:v>
      </x:c>
      <x:c r="P57" s="87" t="n">
        <x:v>18</x:v>
      </x:c>
      <x:c r="Q57" s="83" t="n">
        <x:v>63</x:v>
      </x:c>
      <x:c r="R57" s="83" t="s">
        <x:v>534</x:v>
      </x:c>
      <x:c r="S57" s="86" t="n">
        <x:v>0.218620007718113</x:v>
      </x:c>
      <x:c r="T57" s="88" t="n">
        <x:f aca="0">IFERROR(AVERAGEIF('11_Task_Data'!$A$6:$A$605,A57,'11_Task_Data'!$I$6:$I$605),0)</x:f>
        <x:v>90.5</x:v>
      </x:c>
      <x:c r="U57" s="89" t="n">
        <x:f aca="0">COUNTIFS('11_Task_Data'!$A$6:$A$605,A57,'11_Task_Data'!$J$6:$J$605,"Blocked")+COUNTIFS('11_Task_Data'!$A$6:$A$605,A57,'11_Task_Data'!$K$6:$K$605,"&lt;&gt;"&amp;"")</x:f>
        <x:v>5</x:v>
      </x:c>
      <x:c r="V57" s="89" t="n">
        <x:f aca="0">COUNTIFS('11_Task_Data'!$A$6:$A$605,A57,'11_Task_Data'!$L$6:$L$605,"YES")</x:f>
        <x:v>0</x:v>
      </x:c>
      <x:c r="W57" s="89" t="n">
        <x:v>2</x:v>
      </x:c>
      <x:c r="X57" s="90" t="s">
        <x:v>65</x:v>
      </x:c>
      <x:c r="Y57" s="89" t="str">
        <x:f aca="0">IF(COUNTA(A57:S57)=19,"PASS","CHECK")</x:f>
        <x:v>PASS</x:v>
      </x:c>
      <x:c r="Z57" s="278" t="n">
        <x:f>IF(COUNTIF($A$6:$A$105,A57)&gt;1,1,0)</x:f>
        <x:v>0</x:v>
      </x:c>
    </x:row>
    <x:row r="58" ht="15" hidden="0">
      <x:c r="A58" s="83" t="s">
        <x:v>112</x:v>
      </x:c>
      <x:c r="B58" s="83" t="s">
        <x:v>83</x:v>
      </x:c>
      <x:c r="C58" s="83" t="s">
        <x:v>67</x:v>
      </x:c>
      <x:c r="D58" s="83" t="s">
        <x:v>529</x:v>
      </x:c>
      <x:c r="E58" s="83" t="s">
        <x:v>114</x:v>
      </x:c>
      <x:c r="F58" s="83" t="s">
        <x:v>113</x:v>
      </x:c>
      <x:c r="G58" s="83" t="s">
        <x:v>84</x:v>
      </x:c>
      <x:c r="H58" s="84" t="n">
        <x:v>67.9</x:v>
      </x:c>
      <x:c r="I58" s="85" t="n">
        <x:v>46256</x:v>
      </x:c>
      <x:c r="J58" s="85" t="n">
        <x:v>46366</x:v>
      </x:c>
      <x:c r="K58" s="84" t="n">
        <x:v>121.1</x:v>
      </x:c>
      <x:c r="L58" s="84" t="n">
        <x:v>38.8</x:v>
      </x:c>
      <x:c r="M58" s="84" t="n">
        <x:v>22.9</x:v>
      </x:c>
      <x:c r="N58" s="83" t="n">
        <x:v>31</x:v>
      </x:c>
      <x:c r="O58" s="86" t="n">
        <x:v>1.0386943788345</x:v>
      </x:c>
      <x:c r="P58" s="87" t="n">
        <x:v>91</x:v>
      </x:c>
      <x:c r="Q58" s="83" t="n">
        <x:v>64</x:v>
      </x:c>
      <x:c r="R58" s="83" t="s">
        <x:v>530</x:v>
      </x:c>
      <x:c r="S58" s="86" t="n">
        <x:v>0.320096053841578</x:v>
      </x:c>
      <x:c r="T58" s="88" t="n">
        <x:f aca="0">IFERROR(AVERAGEIF('11_Task_Data'!$A$6:$A$605,A58,'11_Task_Data'!$I$6:$I$605),0)</x:f>
        <x:v>63.833333333333336</x:v>
      </x:c>
      <x:c r="U58" s="89" t="n">
        <x:f aca="0">COUNTIFS('11_Task_Data'!$A$6:$A$605,A58,'11_Task_Data'!$J$6:$J$605,"Blocked")+COUNTIFS('11_Task_Data'!$A$6:$A$605,A58,'11_Task_Data'!$K$6:$K$605,"&lt;&gt;"&amp;"")</x:f>
        <x:v>3</x:v>
      </x:c>
      <x:c r="V58" s="89" t="n">
        <x:f aca="0">COUNTIFS('11_Task_Data'!$A$6:$A$605,A58,'11_Task_Data'!$L$6:$L$605,"YES")</x:f>
        <x:v>3</x:v>
      </x:c>
      <x:c r="W58" s="89" t="n">
        <x:v>10</x:v>
      </x:c>
      <x:c r="X58" s="90" t="s">
        <x:v>65</x:v>
      </x:c>
      <x:c r="Y58" s="89" t="str">
        <x:f aca="0">IF(COUNTA(A58:S58)=19,"PASS","CHECK")</x:f>
        <x:v>PASS</x:v>
      </x:c>
      <x:c r="Z58" s="278" t="n">
        <x:f>IF(COUNTIF($A$6:$A$105,A58)&gt;1,1,0)</x:f>
        <x:v>0</x:v>
      </x:c>
    </x:row>
    <x:row r="59" ht="15" hidden="0">
      <x:c r="A59" s="83" t="s">
        <x:v>127</x:v>
      </x:c>
      <x:c r="B59" s="83" t="s">
        <x:v>128</x:v>
      </x:c>
      <x:c r="C59" s="83" t="s">
        <x:v>69</x:v>
      </x:c>
      <x:c r="D59" s="83" t="s">
        <x:v>105</x:v>
      </x:c>
      <x:c r="E59" s="83" t="s">
        <x:v>129</x:v>
      </x:c>
      <x:c r="F59" s="83" t="s">
        <x:v>110</x:v>
      </x:c>
      <x:c r="G59" s="83" t="s">
        <x:v>86</x:v>
      </x:c>
      <x:c r="H59" s="84" t="n">
        <x:v>81.5</x:v>
      </x:c>
      <x:c r="I59" s="85" t="n">
        <x:v>46257</x:v>
      </x:c>
      <x:c r="J59" s="85" t="n">
        <x:v>46383</x:v>
      </x:c>
      <x:c r="K59" s="84" t="n">
        <x:v>116</x:v>
      </x:c>
      <x:c r="L59" s="84" t="n">
        <x:v>36.1</x:v>
      </x:c>
      <x:c r="M59" s="84" t="n">
        <x:v>29.5</x:v>
      </x:c>
      <x:c r="N59" s="83" t="n">
        <x:v>23</x:v>
      </x:c>
      <x:c r="O59" s="86" t="n">
        <x:v>0.629796301168509</x:v>
      </x:c>
      <x:c r="P59" s="87" t="n">
        <x:v>81</x:v>
      </x:c>
      <x:c r="Q59" s="83" t="n">
        <x:v>66</x:v>
      </x:c>
      <x:c r="R59" s="83" t="s">
        <x:v>528</x:v>
      </x:c>
      <x:c r="S59" s="86" t="n">
        <x:v>0.310872808477865</x:v>
      </x:c>
      <x:c r="T59" s="88" t="n">
        <x:f aca="0">IFERROR(AVERAGEIF('11_Task_Data'!$A$6:$A$605,A59,'11_Task_Data'!$I$6:$I$605),0)</x:f>
        <x:v>85</x:v>
      </x:c>
      <x:c r="U59" s="89" t="n">
        <x:f aca="0">COUNTIFS('11_Task_Data'!$A$6:$A$605,A59,'11_Task_Data'!$J$6:$J$605,"Blocked")+COUNTIFS('11_Task_Data'!$A$6:$A$605,A59,'11_Task_Data'!$K$6:$K$605,"&lt;&gt;"&amp;"")</x:f>
        <x:v>0</x:v>
      </x:c>
      <x:c r="V59" s="89" t="n">
        <x:f aca="0">COUNTIFS('11_Task_Data'!$A$6:$A$605,A59,'11_Task_Data'!$L$6:$L$605,"YES")</x:f>
        <x:v>3</x:v>
      </x:c>
      <x:c r="W59" s="89" t="n">
        <x:v>5</x:v>
      </x:c>
      <x:c r="X59" s="90" t="s">
        <x:v>65</x:v>
      </x:c>
      <x:c r="Y59" s="89" t="str">
        <x:f aca="0">IF(COUNTA(A59:S59)=19,"PASS","CHECK")</x:f>
        <x:v>PASS</x:v>
      </x:c>
      <x:c r="Z59" s="278" t="n">
        <x:f>IF(COUNTIF($A$6:$A$105,A59)&gt;1,1,0)</x:f>
        <x:v>0</x:v>
      </x:c>
    </x:row>
    <x:row r="60" ht="15" hidden="0">
      <x:c r="A60" s="83" t="s">
        <x:v>214</x:v>
      </x:c>
      <x:c r="B60" s="83" t="s">
        <x:v>215</x:v>
      </x:c>
      <x:c r="C60" s="83" t="s">
        <x:v>64</x:v>
      </x:c>
      <x:c r="D60" s="83" t="s">
        <x:v>528</x:v>
      </x:c>
      <x:c r="E60" s="83" t="s">
        <x:v>114</x:v>
      </x:c>
      <x:c r="F60" s="83" t="s">
        <x:v>113</x:v>
      </x:c>
      <x:c r="G60" s="83" t="s">
        <x:v>86</x:v>
      </x:c>
      <x:c r="H60" s="84" t="n">
        <x:v>147.4</x:v>
      </x:c>
      <x:c r="I60" s="85" t="n">
        <x:v>46258</x:v>
      </x:c>
      <x:c r="J60" s="85" t="n">
        <x:v>46403</x:v>
      </x:c>
      <x:c r="K60" s="84" t="n">
        <x:v>239.3</x:v>
      </x:c>
      <x:c r="L60" s="84" t="n">
        <x:v>43.7</x:v>
      </x:c>
      <x:c r="M60" s="84" t="n">
        <x:v>46.8</x:v>
      </x:c>
      <x:c r="N60" s="83" t="n">
        <x:v>20</x:v>
      </x:c>
      <x:c r="O60" s="86" t="n">
        <x:v>0.828957878003907</x:v>
      </x:c>
      <x:c r="P60" s="87" t="n">
        <x:v>39</x:v>
      </x:c>
      <x:c r="Q60" s="83" t="n">
        <x:v>95</x:v>
      </x:c>
      <x:c r="R60" s="83" t="s">
        <x:v>534</x:v>
      </x:c>
      <x:c r="S60" s="86" t="n">
        <x:v>0.182467713425123</x:v>
      </x:c>
      <x:c r="T60" s="88" t="n">
        <x:f aca="0">IFERROR(AVERAGEIF('11_Task_Data'!$A$6:$A$605,A60,'11_Task_Data'!$I$6:$I$605),0)</x:f>
        <x:v>50.666666666666664</x:v>
      </x:c>
      <x:c r="U60" s="89" t="n">
        <x:f aca="0">COUNTIFS('11_Task_Data'!$A$6:$A$605,A60,'11_Task_Data'!$J$6:$J$605,"Blocked")+COUNTIFS('11_Task_Data'!$A$6:$A$605,A60,'11_Task_Data'!$K$6:$K$605,"&lt;&gt;"&amp;"")</x:f>
        <x:v>1</x:v>
      </x:c>
      <x:c r="V60" s="89" t="n">
        <x:f aca="0">COUNTIFS('11_Task_Data'!$A$6:$A$605,A60,'11_Task_Data'!$L$6:$L$605,"YES")</x:f>
        <x:v>0</x:v>
      </x:c>
      <x:c r="W60" s="89" t="n">
        <x:v>12</x:v>
      </x:c>
      <x:c r="X60" s="90" t="s">
        <x:v>65</x:v>
      </x:c>
      <x:c r="Y60" s="89" t="str">
        <x:f aca="0">IF(COUNTA(A60:S60)=19,"PASS","CHECK")</x:f>
        <x:v>PASS</x:v>
      </x:c>
      <x:c r="Z60" s="278" t="n">
        <x:f>IF(COUNTIF($A$6:$A$105,A60)&gt;1,1,0)</x:f>
        <x:v>0</x:v>
      </x:c>
    </x:row>
    <x:row r="61" ht="15" hidden="0">
      <x:c r="A61" s="83" t="s">
        <x:v>240</x:v>
      </x:c>
      <x:c r="B61" s="83" t="s">
        <x:v>241</x:v>
      </x:c>
      <x:c r="C61" s="83" t="s">
        <x:v>70</x:v>
      </x:c>
      <x:c r="D61" s="83" t="s">
        <x:v>529</x:v>
      </x:c>
      <x:c r="E61" s="83" t="s">
        <x:v>108</x:v>
      </x:c>
      <x:c r="F61" s="83" t="s">
        <x:v>116</x:v>
      </x:c>
      <x:c r="G61" s="83" t="s">
        <x:v>80</x:v>
      </x:c>
      <x:c r="H61" s="84" t="n">
        <x:v>38.3</x:v>
      </x:c>
      <x:c r="I61" s="85" t="n">
        <x:v>46259</x:v>
      </x:c>
      <x:c r="J61" s="85" t="n">
        <x:v>46347</x:v>
      </x:c>
      <x:c r="K61" s="84" t="n">
        <x:v>72.2</x:v>
      </x:c>
      <x:c r="L61" s="84" t="n">
        <x:v>11.5</x:v>
      </x:c>
      <x:c r="M61" s="84" t="n">
        <x:v>30.7</x:v>
      </x:c>
      <x:c r="N61" s="83" t="n">
        <x:v>31</x:v>
      </x:c>
      <x:c r="O61" s="86" t="n">
        <x:v>0.697334766847399</x:v>
      </x:c>
      <x:c r="P61" s="87" t="n">
        <x:v>19</x:v>
      </x:c>
      <x:c r="Q61" s="83" t="n">
        <x:v>98</x:v>
      </x:c>
      <x:c r="R61" s="83" t="s">
        <x:v>534</x:v>
      </x:c>
      <x:c r="S61" s="86" t="n">
        <x:v>0.15866391529574</x:v>
      </x:c>
      <x:c r="T61" s="88" t="n">
        <x:f aca="0">IFERROR(AVERAGEIF('11_Task_Data'!$A$6:$A$605,A61,'11_Task_Data'!$I$6:$I$605),0)</x:f>
        <x:v>56</x:v>
      </x:c>
      <x:c r="U61" s="89" t="n">
        <x:f aca="0">COUNTIFS('11_Task_Data'!$A$6:$A$605,A61,'11_Task_Data'!$J$6:$J$605,"Blocked")+COUNTIFS('11_Task_Data'!$A$6:$A$605,A61,'11_Task_Data'!$K$6:$K$605,"&lt;&gt;"&amp;"")</x:f>
        <x:v>1</x:v>
      </x:c>
      <x:c r="V61" s="89" t="n">
        <x:f aca="0">COUNTIFS('11_Task_Data'!$A$6:$A$605,A61,'11_Task_Data'!$L$6:$L$605,"YES")</x:f>
        <x:v>0</x:v>
      </x:c>
      <x:c r="W61" s="89" t="n">
        <x:v>12</x:v>
      </x:c>
      <x:c r="X61" s="90" t="s">
        <x:v>65</x:v>
      </x:c>
      <x:c r="Y61" s="89" t="str">
        <x:f aca="0">IF(COUNTA(A61:S61)=19,"PASS","CHECK")</x:f>
        <x:v>PASS</x:v>
      </x:c>
      <x:c r="Z61" s="278" t="n">
        <x:f>IF(COUNTIF($A$6:$A$105,A61)&gt;1,1,0)</x:f>
        <x:v>0</x:v>
      </x:c>
    </x:row>
    <x:row r="62" ht="15" hidden="0">
      <x:c r="A62" s="83" t="s">
        <x:v>165</x:v>
      </x:c>
      <x:c r="B62" s="83" t="s">
        <x:v>166</x:v>
      </x:c>
      <x:c r="C62" s="83" t="s">
        <x:v>68</x:v>
      </x:c>
      <x:c r="D62" s="83" t="s">
        <x:v>105</x:v>
      </x:c>
      <x:c r="E62" s="83" t="s">
        <x:v>108</x:v>
      </x:c>
      <x:c r="F62" s="83" t="s">
        <x:v>113</x:v>
      </x:c>
      <x:c r="G62" s="83" t="s">
        <x:v>90</x:v>
      </x:c>
      <x:c r="H62" s="84" t="n">
        <x:v>88.9</x:v>
      </x:c>
      <x:c r="I62" s="85" t="n">
        <x:v>46260</x:v>
      </x:c>
      <x:c r="J62" s="85" t="n">
        <x:v>46330</x:v>
      </x:c>
      <x:c r="K62" s="84" t="n">
        <x:v>132.2</x:v>
      </x:c>
      <x:c r="L62" s="84" t="n">
        <x:v>23.6</x:v>
      </x:c>
      <x:c r="M62" s="84" t="n">
        <x:v>14.7</x:v>
      </x:c>
      <x:c r="N62" s="83" t="n">
        <x:v>24</x:v>
      </x:c>
      <x:c r="O62" s="86" t="n">
        <x:v>0.882695625165567</x:v>
      </x:c>
      <x:c r="P62" s="87" t="n">
        <x:v>67</x:v>
      </x:c>
      <x:c r="Q62" s="83" t="n">
        <x:v>84</x:v>
      </x:c>
      <x:c r="R62" s="83" t="s">
        <x:v>530</x:v>
      </x:c>
      <x:c r="S62" s="86" t="n">
        <x:v>0.178747152157376</x:v>
      </x:c>
      <x:c r="T62" s="88" t="n">
        <x:f aca="0">IFERROR(AVERAGEIF('11_Task_Data'!$A$6:$A$605,A62,'11_Task_Data'!$I$6:$I$605),0)</x:f>
        <x:v>58.166666666666664</x:v>
      </x:c>
      <x:c r="U62" s="89" t="n">
        <x:f aca="0">COUNTIFS('11_Task_Data'!$A$6:$A$605,A62,'11_Task_Data'!$J$6:$J$605,"Blocked")+COUNTIFS('11_Task_Data'!$A$6:$A$605,A62,'11_Task_Data'!$K$6:$K$605,"&lt;&gt;"&amp;"")</x:f>
        <x:v>2</x:v>
      </x:c>
      <x:c r="V62" s="89" t="n">
        <x:f aca="0">COUNTIFS('11_Task_Data'!$A$6:$A$605,A62,'11_Task_Data'!$L$6:$L$605,"YES")</x:f>
        <x:v>0</x:v>
      </x:c>
      <x:c r="W62" s="89" t="n">
        <x:v>8</x:v>
      </x:c>
      <x:c r="X62" s="90" t="s">
        <x:v>65</x:v>
      </x:c>
      <x:c r="Y62" s="89" t="str">
        <x:f aca="0">IF(COUNTA(A62:S62)=19,"PASS","CHECK")</x:f>
        <x:v>PASS</x:v>
      </x:c>
      <x:c r="Z62" s="278" t="n">
        <x:f>IF(COUNTIF($A$6:$A$105,A62)&gt;1,1,0)</x:f>
        <x:v>0</x:v>
      </x:c>
    </x:row>
    <x:row r="63" ht="15" hidden="0">
      <x:c r="A63" s="83" t="s">
        <x:v>204</x:v>
      </x:c>
      <x:c r="B63" s="83" t="s">
        <x:v>205</x:v>
      </x:c>
      <x:c r="C63" s="83" t="s">
        <x:v>64</x:v>
      </x:c>
      <x:c r="D63" s="83" t="s">
        <x:v>535</x:v>
      </x:c>
      <x:c r="E63" s="83" t="s">
        <x:v>145</x:v>
      </x:c>
      <x:c r="F63" s="83" t="s">
        <x:v>113</x:v>
      </x:c>
      <x:c r="G63" s="83" t="s">
        <x:v>132</x:v>
      </x:c>
      <x:c r="H63" s="84" t="n">
        <x:v>36.4</x:v>
      </x:c>
      <x:c r="I63" s="85" t="n">
        <x:v>46261</x:v>
      </x:c>
      <x:c r="J63" s="85" t="n">
        <x:v>46344</x:v>
      </x:c>
      <x:c r="K63" s="84" t="n">
        <x:v>62.6</x:v>
      </x:c>
      <x:c r="L63" s="84" t="n">
        <x:v>16</x:v>
      </x:c>
      <x:c r="M63" s="84" t="n">
        <x:v>11.9</x:v>
      </x:c>
      <x:c r="N63" s="83" t="n">
        <x:v>19</x:v>
      </x:c>
      <x:c r="O63" s="86" t="n">
        <x:v>0.858840534589854</x:v>
      </x:c>
      <x:c r="P63" s="87" t="n">
        <x:v>43</x:v>
      </x:c>
      <x:c r="Q63" s="83" t="n">
        <x:v>94</x:v>
      </x:c>
      <x:c r="R63" s="83" t="s">
        <x:v>528</x:v>
      </x:c>
      <x:c r="S63" s="86" t="n">
        <x:v>0.25527601324177</x:v>
      </x:c>
      <x:c r="T63" s="88" t="n">
        <x:f aca="0">IFERROR(AVERAGEIF('11_Task_Data'!$A$6:$A$605,A63,'11_Task_Data'!$I$6:$I$605),0)</x:f>
        <x:v>59.833333333333336</x:v>
      </x:c>
      <x:c r="U63" s="89" t="n">
        <x:f aca="0">COUNTIFS('11_Task_Data'!$A$6:$A$605,A63,'11_Task_Data'!$J$6:$J$605,"Blocked")+COUNTIFS('11_Task_Data'!$A$6:$A$605,A63,'11_Task_Data'!$K$6:$K$605,"&lt;&gt;"&amp;"")</x:f>
        <x:v>3</x:v>
      </x:c>
      <x:c r="V63" s="89" t="n">
        <x:f aca="0">COUNTIFS('11_Task_Data'!$A$6:$A$605,A63,'11_Task_Data'!$L$6:$L$605,"YES")</x:f>
        <x:v>0</x:v>
      </x:c>
      <x:c r="W63" s="89" t="n">
        <x:v>10</x:v>
      </x:c>
      <x:c r="X63" s="90" t="s">
        <x:v>65</x:v>
      </x:c>
      <x:c r="Y63" s="89" t="str">
        <x:f aca="0">IF(COUNTA(A63:S63)=19,"PASS","CHECK")</x:f>
        <x:v>PASS</x:v>
      </x:c>
      <x:c r="Z63" s="278" t="n">
        <x:f>IF(COUNTIF($A$6:$A$105,A63)&gt;1,1,0)</x:f>
        <x:v>0</x:v>
      </x:c>
    </x:row>
    <x:row r="64" ht="15" hidden="0">
      <x:c r="A64" s="83" t="s">
        <x:v>115</x:v>
      </x:c>
      <x:c r="B64" s="83" t="s">
        <x:v>85</x:v>
      </x:c>
      <x:c r="C64" s="83" t="s">
        <x:v>68</x:v>
      </x:c>
      <x:c r="D64" s="83" t="s">
        <x:v>535</x:v>
      </x:c>
      <x:c r="E64" s="83" t="s">
        <x:v>111</x:v>
      </x:c>
      <x:c r="F64" s="83" t="s">
        <x:v>116</x:v>
      </x:c>
      <x:c r="G64" s="83" t="s">
        <x:v>86</x:v>
      </x:c>
      <x:c r="H64" s="84" t="n">
        <x:v>155.6</x:v>
      </x:c>
      <x:c r="I64" s="85" t="n">
        <x:v>46262</x:v>
      </x:c>
      <x:c r="J64" s="85" t="n">
        <x:v>46358</x:v>
      </x:c>
      <x:c r="K64" s="84" t="n">
        <x:v>227.8</x:v>
      </x:c>
      <x:c r="L64" s="84" t="n">
        <x:v>44.9</x:v>
      </x:c>
      <x:c r="M64" s="84" t="n">
        <x:v>64.5</x:v>
      </x:c>
      <x:c r="N64" s="83" t="n">
        <x:v>28</x:v>
      </x:c>
      <x:c r="O64" s="86" t="n">
        <x:v>0.678955526177312</x:v>
      </x:c>
      <x:c r="P64" s="87" t="n">
        <x:v>88</x:v>
      </x:c>
      <x:c r="Q64" s="83" t="n">
        <x:v>89</x:v>
      </x:c>
      <x:c r="R64" s="83" t="s">
        <x:v>530</x:v>
      </x:c>
      <x:c r="S64" s="86" t="n">
        <x:v>0.197212221638623</x:v>
      </x:c>
      <x:c r="T64" s="88" t="n">
        <x:f aca="0">IFERROR(AVERAGEIF('11_Task_Data'!$A$6:$A$605,A64,'11_Task_Data'!$I$6:$I$605),0)</x:f>
        <x:v>42.833333333333336</x:v>
      </x:c>
      <x:c r="U64" s="89" t="n">
        <x:f aca="0">COUNTIFS('11_Task_Data'!$A$6:$A$605,A64,'11_Task_Data'!$J$6:$J$605,"Blocked")+COUNTIFS('11_Task_Data'!$A$6:$A$605,A64,'11_Task_Data'!$K$6:$K$605,"&lt;&gt;"&amp;"")</x:f>
        <x:v>6</x:v>
      </x:c>
      <x:c r="V64" s="89" t="n">
        <x:f aca="0">COUNTIFS('11_Task_Data'!$A$6:$A$605,A64,'11_Task_Data'!$L$6:$L$605,"YES")</x:f>
        <x:v>3</x:v>
      </x:c>
      <x:c r="W64" s="89" t="n">
        <x:v>17</x:v>
      </x:c>
      <x:c r="X64" s="90" t="s">
        <x:v>65</x:v>
      </x:c>
      <x:c r="Y64" s="89" t="str">
        <x:f aca="0">IF(COUNTA(A64:S64)=19,"PASS","CHECK")</x:f>
        <x:v>PASS</x:v>
      </x:c>
      <x:c r="Z64" s="278" t="n">
        <x:f>IF(COUNTIF($A$6:$A$105,A64)&gt;1,1,0)</x:f>
        <x:v>0</x:v>
      </x:c>
    </x:row>
    <x:row r="65" ht="15" hidden="0">
      <x:c r="A65" s="83" t="s">
        <x:v>212</x:v>
      </x:c>
      <x:c r="B65" s="83" t="s">
        <x:v>213</x:v>
      </x:c>
      <x:c r="C65" s="83" t="s">
        <x:v>64</x:v>
      </x:c>
      <x:c r="D65" s="83" t="s">
        <x:v>535</x:v>
      </x:c>
      <x:c r="E65" s="83" t="s">
        <x:v>111</x:v>
      </x:c>
      <x:c r="F65" s="83" t="s">
        <x:v>107</x:v>
      </x:c>
      <x:c r="G65" s="83" t="s">
        <x:v>80</x:v>
      </x:c>
      <x:c r="H65" s="84" t="n">
        <x:v>157</x:v>
      </x:c>
      <x:c r="I65" s="85" t="n">
        <x:v>46263</x:v>
      </x:c>
      <x:c r="J65" s="85" t="n">
        <x:v>46404</x:v>
      </x:c>
      <x:c r="K65" s="84" t="n">
        <x:v>285.3</x:v>
      </x:c>
      <x:c r="L65" s="84" t="n">
        <x:v>96.7</x:v>
      </x:c>
      <x:c r="M65" s="84" t="n">
        <x:v>44.2</x:v>
      </x:c>
      <x:c r="N65" s="83" t="n">
        <x:v>29</x:v>
      </x:c>
      <x:c r="O65" s="86" t="n">
        <x:v>0.718452468166351</x:v>
      </x:c>
      <x:c r="P65" s="87" t="n">
        <x:v>40</x:v>
      </x:c>
      <x:c r="Q65" s="83" t="n">
        <x:v>64</x:v>
      </x:c>
      <x:c r="R65" s="83" t="s">
        <x:v>534</x:v>
      </x:c>
      <x:c r="S65" s="86" t="n">
        <x:v>0.33905639370141</x:v>
      </x:c>
      <x:c r="T65" s="88" t="n">
        <x:f aca="0">IFERROR(AVERAGEIF('11_Task_Data'!$A$6:$A$605,A65,'11_Task_Data'!$I$6:$I$605),0)</x:f>
        <x:v>21</x:v>
      </x:c>
      <x:c r="U65" s="89" t="n">
        <x:f aca="0">COUNTIFS('11_Task_Data'!$A$6:$A$605,A65,'11_Task_Data'!$J$6:$J$605,"Blocked")+COUNTIFS('11_Task_Data'!$A$6:$A$605,A65,'11_Task_Data'!$K$6:$K$605,"&lt;&gt;"&amp;"")</x:f>
        <x:v>1</x:v>
      </x:c>
      <x:c r="V65" s="89" t="n">
        <x:f aca="0">COUNTIFS('11_Task_Data'!$A$6:$A$605,A65,'11_Task_Data'!$L$6:$L$605,"YES")</x:f>
        <x:v>0</x:v>
      </x:c>
      <x:c r="W65" s="89" t="n">
        <x:v>16</x:v>
      </x:c>
      <x:c r="X65" s="90" t="s">
        <x:v>65</x:v>
      </x:c>
      <x:c r="Y65" s="89" t="str">
        <x:f aca="0">IF(COUNTA(A65:S65)=19,"PASS","CHECK")</x:f>
        <x:v>PASS</x:v>
      </x:c>
      <x:c r="Z65" s="278" t="n">
        <x:f>IF(COUNTIF($A$6:$A$105,A65)&gt;1,1,0)</x:f>
        <x:v>0</x:v>
      </x:c>
    </x:row>
    <x:row r="66" ht="15" hidden="0">
      <x:c r="A66" s="83" t="s">
        <x:v>189</x:v>
      </x:c>
      <x:c r="B66" s="83" t="s">
        <x:v>190</x:v>
      </x:c>
      <x:c r="C66" s="83" t="s">
        <x:v>70</x:v>
      </x:c>
      <x:c r="D66" s="83" t="s">
        <x:v>528</x:v>
      </x:c>
      <x:c r="E66" s="83" t="s">
        <x:v>108</x:v>
      </x:c>
      <x:c r="F66" s="83" t="s">
        <x:v>113</x:v>
      </x:c>
      <x:c r="G66" s="83" t="s">
        <x:v>90</x:v>
      </x:c>
      <x:c r="H66" s="84" t="n">
        <x:v>131.7</x:v>
      </x:c>
      <x:c r="I66" s="85" t="n">
        <x:v>46264</x:v>
      </x:c>
      <x:c r="J66" s="85" t="n">
        <x:v>46321</x:v>
      </x:c>
      <x:c r="K66" s="84" t="n">
        <x:v>249.8</x:v>
      </x:c>
      <x:c r="L66" s="84" t="n">
        <x:v>64.2</x:v>
      </x:c>
      <x:c r="M66" s="84" t="n">
        <x:v>13.4</x:v>
      </x:c>
      <x:c r="N66" s="83" t="n">
        <x:v>22</x:v>
      </x:c>
      <x:c r="O66" s="86" t="n">
        <x:v>0.97147309143427</x:v>
      </x:c>
      <x:c r="P66" s="87" t="n">
        <x:v>52</x:v>
      </x:c>
      <x:c r="Q66" s="83" t="n">
        <x:v>67</x:v>
      </x:c>
      <x:c r="R66" s="83" t="s">
        <x:v>532</x:v>
      </x:c>
      <x:c r="S66" s="86" t="n">
        <x:v>0.256996737710104</x:v>
      </x:c>
      <x:c r="T66" s="88" t="n">
        <x:f aca="0">IFERROR(AVERAGEIF('11_Task_Data'!$A$6:$A$605,A66,'11_Task_Data'!$I$6:$I$605),0)</x:f>
        <x:v>28</x:v>
      </x:c>
      <x:c r="U66" s="89" t="n">
        <x:f aca="0">COUNTIFS('11_Task_Data'!$A$6:$A$605,A66,'11_Task_Data'!$J$6:$J$605,"Blocked")+COUNTIFS('11_Task_Data'!$A$6:$A$605,A66,'11_Task_Data'!$K$6:$K$605,"&lt;&gt;"&amp;"")</x:f>
        <x:v>1</x:v>
      </x:c>
      <x:c r="V66" s="89" t="n">
        <x:f aca="0">COUNTIFS('11_Task_Data'!$A$6:$A$605,A66,'11_Task_Data'!$L$6:$L$605,"YES")</x:f>
        <x:v>0</x:v>
      </x:c>
      <x:c r="W66" s="89" t="n">
        <x:v>14</x:v>
      </x:c>
      <x:c r="X66" s="90" t="s">
        <x:v>65</x:v>
      </x:c>
      <x:c r="Y66" s="89" t="str">
        <x:f aca="0">IF(COUNTA(A66:S66)=19,"PASS","CHECK")</x:f>
        <x:v>PASS</x:v>
      </x:c>
      <x:c r="Z66" s="278" t="n">
        <x:f>IF(COUNTIF($A$6:$A$105,A66)&gt;1,1,0)</x:f>
        <x:v>0</x:v>
      </x:c>
    </x:row>
    <x:row r="67" ht="15" hidden="0">
      <x:c r="A67" s="83" t="s">
        <x:v>226</x:v>
      </x:c>
      <x:c r="B67" s="83" t="s">
        <x:v>227</x:v>
      </x:c>
      <x:c r="C67" s="83" t="s">
        <x:v>70</x:v>
      </x:c>
      <x:c r="D67" s="83" t="s">
        <x:v>105</x:v>
      </x:c>
      <x:c r="E67" s="83" t="s">
        <x:v>145</x:v>
      </x:c>
      <x:c r="F67" s="83" t="s">
        <x:v>118</x:v>
      </x:c>
      <x:c r="G67" s="83" t="s">
        <x:v>193</x:v>
      </x:c>
      <x:c r="H67" s="84" t="n">
        <x:v>174</x:v>
      </x:c>
      <x:c r="I67" s="85" t="n">
        <x:v>46265</x:v>
      </x:c>
      <x:c r="J67" s="85" t="n">
        <x:v>46383</x:v>
      </x:c>
      <x:c r="K67" s="84" t="n">
        <x:v>415.6</x:v>
      </x:c>
      <x:c r="L67" s="84" t="n">
        <x:v>122.9</x:v>
      </x:c>
      <x:c r="M67" s="84" t="n">
        <x:v>50.2</x:v>
      </x:c>
      <x:c r="N67" s="83" t="n">
        <x:v>10</x:v>
      </x:c>
      <x:c r="O67" s="86" t="n">
        <x:v>0.84957748426149</x:v>
      </x:c>
      <x:c r="P67" s="87" t="n">
        <x:v>31</x:v>
      </x:c>
      <x:c r="Q67" s="83" t="n">
        <x:v>64</x:v>
      </x:c>
      <x:c r="R67" s="83" t="s">
        <x:v>534</x:v>
      </x:c>
      <x:c r="S67" s="86" t="n">
        <x:v>0.29568021239499</x:v>
      </x:c>
      <x:c r="T67" s="88" t="n">
        <x:f aca="0">IFERROR(AVERAGEIF('11_Task_Data'!$A$6:$A$605,A67,'11_Task_Data'!$I$6:$I$605),0)</x:f>
        <x:v>40.333333333333336</x:v>
      </x:c>
      <x:c r="U67" s="89" t="n">
        <x:f aca="0">COUNTIFS('11_Task_Data'!$A$6:$A$605,A67,'11_Task_Data'!$J$6:$J$605,"Blocked")+COUNTIFS('11_Task_Data'!$A$6:$A$605,A67,'11_Task_Data'!$K$6:$K$605,"&lt;&gt;"&amp;"")</x:f>
        <x:v>2</x:v>
      </x:c>
      <x:c r="V67" s="89" t="n">
        <x:f aca="0">COUNTIFS('11_Task_Data'!$A$6:$A$605,A67,'11_Task_Data'!$L$6:$L$605,"YES")</x:f>
        <x:v>0</x:v>
      </x:c>
      <x:c r="W67" s="89" t="n">
        <x:v>12</x:v>
      </x:c>
      <x:c r="X67" s="90" t="s">
        <x:v>65</x:v>
      </x:c>
      <x:c r="Y67" s="89" t="str">
        <x:f aca="0">IF(COUNTA(A67:S67)=19,"PASS","CHECK")</x:f>
        <x:v>PASS</x:v>
      </x:c>
      <x:c r="Z67" s="278" t="n">
        <x:f>IF(COUNTIF($A$6:$A$105,A67)&gt;1,1,0)</x:f>
        <x:v>0</x:v>
      </x:c>
    </x:row>
    <x:row r="68" ht="15" hidden="0">
      <x:c r="A68" s="83" t="s">
        <x:v>194</x:v>
      </x:c>
      <x:c r="B68" s="83" t="s">
        <x:v>195</x:v>
      </x:c>
      <x:c r="C68" s="83" t="s">
        <x:v>123</x:v>
      </x:c>
      <x:c r="D68" s="83" t="s">
        <x:v>535</x:v>
      </x:c>
      <x:c r="E68" s="83" t="s">
        <x:v>111</x:v>
      </x:c>
      <x:c r="F68" s="83" t="s">
        <x:v>113</x:v>
      </x:c>
      <x:c r="G68" s="83" t="s">
        <x:v>97</x:v>
      </x:c>
      <x:c r="H68" s="84" t="n">
        <x:v>174.6</x:v>
      </x:c>
      <x:c r="I68" s="85" t="n">
        <x:v>46266</x:v>
      </x:c>
      <x:c r="J68" s="85" t="n">
        <x:v>46420</x:v>
      </x:c>
      <x:c r="K68" s="84" t="n">
        <x:v>217.8</x:v>
      </x:c>
      <x:c r="L68" s="84" t="n">
        <x:v>69.6</x:v>
      </x:c>
      <x:c r="M68" s="84" t="n">
        <x:v>23.4</x:v>
      </x:c>
      <x:c r="N68" s="83" t="n">
        <x:v>26</x:v>
      </x:c>
      <x:c r="O68" s="86" t="n">
        <x:v>0.736193097270426</x:v>
      </x:c>
      <x:c r="P68" s="87" t="n">
        <x:v>51</x:v>
      </x:c>
      <x:c r="Q68" s="83" t="n">
        <x:v>57</x:v>
      </x:c>
      <x:c r="R68" s="83" t="s">
        <x:v>528</x:v>
      </x:c>
      <x:c r="S68" s="86" t="n">
        <x:v>0.319449551892534</x:v>
      </x:c>
      <x:c r="T68" s="88" t="n">
        <x:f aca="0">IFERROR(AVERAGEIF('11_Task_Data'!$A$6:$A$605,A68,'11_Task_Data'!$I$6:$I$605),0)</x:f>
        <x:v>49.666666666666664</x:v>
      </x:c>
      <x:c r="U68" s="89" t="n">
        <x:f aca="0">COUNTIFS('11_Task_Data'!$A$6:$A$605,A68,'11_Task_Data'!$J$6:$J$605,"Blocked")+COUNTIFS('11_Task_Data'!$A$6:$A$605,A68,'11_Task_Data'!$K$6:$K$605,"&lt;&gt;"&amp;"")</x:f>
        <x:v>0</x:v>
      </x:c>
      <x:c r="V68" s="89" t="n">
        <x:f aca="0">COUNTIFS('11_Task_Data'!$A$6:$A$605,A68,'11_Task_Data'!$L$6:$L$605,"YES")</x:f>
        <x:v>0</x:v>
      </x:c>
      <x:c r="W68" s="89" t="n">
        <x:v>10</x:v>
      </x:c>
      <x:c r="X68" s="90" t="s">
        <x:v>65</x:v>
      </x:c>
      <x:c r="Y68" s="89" t="str">
        <x:f aca="0">IF(COUNTA(A68:S68)=19,"PASS","CHECK")</x:f>
        <x:v>PASS</x:v>
      </x:c>
      <x:c r="Z68" s="278" t="n">
        <x:f>IF(COUNTIF($A$6:$A$105,A68)&gt;1,1,0)</x:f>
        <x:v>0</x:v>
      </x:c>
    </x:row>
    <x:row r="69" ht="15" hidden="0">
      <x:c r="A69" s="83" t="s">
        <x:v>210</x:v>
      </x:c>
      <x:c r="B69" s="83" t="s">
        <x:v>211</x:v>
      </x:c>
      <x:c r="C69" s="83" t="s">
        <x:v>69</x:v>
      </x:c>
      <x:c r="D69" s="83" t="s">
        <x:v>533</x:v>
      </x:c>
      <x:c r="E69" s="83" t="s">
        <x:v>111</x:v>
      </x:c>
      <x:c r="F69" s="83" t="s">
        <x:v>107</x:v>
      </x:c>
      <x:c r="G69" s="83" t="s">
        <x:v>132</x:v>
      </x:c>
      <x:c r="H69" s="84" t="n">
        <x:v>50.6</x:v>
      </x:c>
      <x:c r="I69" s="85" t="n">
        <x:v>46267</x:v>
      </x:c>
      <x:c r="J69" s="85" t="n">
        <x:v>46408</x:v>
      </x:c>
      <x:c r="K69" s="84" t="n">
        <x:v>101.3</x:v>
      </x:c>
      <x:c r="L69" s="84" t="n">
        <x:v>31.3</x:v>
      </x:c>
      <x:c r="M69" s="84" t="n">
        <x:v>38.1</x:v>
      </x:c>
      <x:c r="N69" s="83" t="n">
        <x:v>36</x:v>
      </x:c>
      <x:c r="O69" s="86" t="n">
        <x:v>0.855536510057031</x:v>
      </x:c>
      <x:c r="P69" s="87" t="n">
        <x:v>42</x:v>
      </x:c>
      <x:c r="Q69" s="83" t="n">
        <x:v>59</x:v>
      </x:c>
      <x:c r="R69" s="83" t="s">
        <x:v>532</x:v>
      </x:c>
      <x:c r="S69" s="86" t="n">
        <x:v>0.309173651634688</x:v>
      </x:c>
      <x:c r="T69" s="88" t="n">
        <x:f aca="0">IFERROR(AVERAGEIF('11_Task_Data'!$A$6:$A$605,A69,'11_Task_Data'!$I$6:$I$605),0)</x:f>
        <x:v>43.833333333333336</x:v>
      </x:c>
      <x:c r="U69" s="89" t="n">
        <x:f aca="0">COUNTIFS('11_Task_Data'!$A$6:$A$605,A69,'11_Task_Data'!$J$6:$J$605,"Blocked")+COUNTIFS('11_Task_Data'!$A$6:$A$605,A69,'11_Task_Data'!$K$6:$K$605,"&lt;&gt;"&amp;"")</x:f>
        <x:v>3</x:v>
      </x:c>
      <x:c r="V69" s="89" t="n">
        <x:f aca="0">COUNTIFS('11_Task_Data'!$A$6:$A$605,A69,'11_Task_Data'!$L$6:$L$605,"YES")</x:f>
        <x:v>0</x:v>
      </x:c>
      <x:c r="W69" s="89" t="n">
        <x:v>11</x:v>
      </x:c>
      <x:c r="X69" s="90" t="s">
        <x:v>65</x:v>
      </x:c>
      <x:c r="Y69" s="89" t="str">
        <x:f aca="0">IF(COUNTA(A69:S69)=19,"PASS","CHECK")</x:f>
        <x:v>PASS</x:v>
      </x:c>
      <x:c r="Z69" s="278" t="n">
        <x:f>IF(COUNTIF($A$6:$A$105,A69)&gt;1,1,0)</x:f>
        <x:v>0</x:v>
      </x:c>
    </x:row>
    <x:row r="70" ht="15" hidden="0">
      <x:c r="A70" s="83" t="s">
        <x:v>220</x:v>
      </x:c>
      <x:c r="B70" s="83" t="s">
        <x:v>221</x:v>
      </x:c>
      <x:c r="C70" s="83" t="s">
        <x:v>70</x:v>
      </x:c>
      <x:c r="D70" s="83" t="s">
        <x:v>535</x:v>
      </x:c>
      <x:c r="E70" s="83" t="s">
        <x:v>108</x:v>
      </x:c>
      <x:c r="F70" s="83" t="s">
        <x:v>118</x:v>
      </x:c>
      <x:c r="G70" s="83" t="s">
        <x:v>132</x:v>
      </x:c>
      <x:c r="H70" s="84" t="n">
        <x:v>169.4</x:v>
      </x:c>
      <x:c r="I70" s="85" t="n">
        <x:v>46268</x:v>
      </x:c>
      <x:c r="J70" s="85" t="n">
        <x:v>46377</x:v>
      </x:c>
      <x:c r="K70" s="84" t="n">
        <x:v>208.5</x:v>
      </x:c>
      <x:c r="L70" s="84" t="n">
        <x:v>55.6</x:v>
      </x:c>
      <x:c r="M70" s="84" t="n">
        <x:v>13.6</x:v>
      </x:c>
      <x:c r="N70" s="83" t="n">
        <x:v>27</x:v>
      </x:c>
      <x:c r="O70" s="86" t="n">
        <x:v>0.943087759584086</x:v>
      </x:c>
      <x:c r="P70" s="87" t="n">
        <x:v>32</x:v>
      </x:c>
      <x:c r="Q70" s="83" t="n">
        <x:v>64</x:v>
      </x:c>
      <x:c r="R70" s="83" t="s">
        <x:v>530</x:v>
      </x:c>
      <x:c r="S70" s="86" t="n">
        <x:v>0.266760165523365</x:v>
      </x:c>
      <x:c r="T70" s="88" t="n">
        <x:f aca="0">IFERROR(AVERAGEIF('11_Task_Data'!$A$6:$A$605,A70,'11_Task_Data'!$I$6:$I$605),0)</x:f>
        <x:v>36.833333333333336</x:v>
      </x:c>
      <x:c r="U70" s="89" t="n">
        <x:f aca="0">COUNTIFS('11_Task_Data'!$A$6:$A$605,A70,'11_Task_Data'!$J$6:$J$605,"Blocked")+COUNTIFS('11_Task_Data'!$A$6:$A$605,A70,'11_Task_Data'!$K$6:$K$605,"&lt;&gt;"&amp;"")</x:f>
        <x:v>1</x:v>
      </x:c>
      <x:c r="V70" s="89" t="n">
        <x:f aca="0">COUNTIFS('11_Task_Data'!$A$6:$A$605,A70,'11_Task_Data'!$L$6:$L$605,"YES")</x:f>
        <x:v>0</x:v>
      </x:c>
      <x:c r="W70" s="89" t="n">
        <x:v>13</x:v>
      </x:c>
      <x:c r="X70" s="90" t="s">
        <x:v>65</x:v>
      </x:c>
      <x:c r="Y70" s="89" t="str">
        <x:f aca="0">IF(COUNTA(A70:S70)=19,"PASS","CHECK")</x:f>
        <x:v>PASS</x:v>
      </x:c>
      <x:c r="Z70" s="278" t="n">
        <x:f>IF(COUNTIF($A$6:$A$105,A70)&gt;1,1,0)</x:f>
        <x:v>0</x:v>
      </x:c>
    </x:row>
    <x:row r="71" ht="15" hidden="0">
      <x:c r="A71" s="83" t="s">
        <x:v>191</x:v>
      </x:c>
      <x:c r="B71" s="83" t="s">
        <x:v>192</x:v>
      </x:c>
      <x:c r="C71" s="83" t="s">
        <x:v>68</x:v>
      </x:c>
      <x:c r="D71" s="83" t="s">
        <x:v>535</x:v>
      </x:c>
      <x:c r="E71" s="83" t="s">
        <x:v>145</x:v>
      </x:c>
      <x:c r="F71" s="83" t="s">
        <x:v>118</x:v>
      </x:c>
      <x:c r="G71" s="83" t="s">
        <x:v>193</x:v>
      </x:c>
      <x:c r="H71" s="84" t="n">
        <x:v>135.4</x:v>
      </x:c>
      <x:c r="I71" s="85" t="n">
        <x:v>46269</x:v>
      </x:c>
      <x:c r="J71" s="85" t="n">
        <x:v>46402</x:v>
      </x:c>
      <x:c r="K71" s="84" t="n">
        <x:v>239.6</x:v>
      </x:c>
      <x:c r="L71" s="84" t="n">
        <x:v>69.8</x:v>
      </x:c>
      <x:c r="M71" s="84" t="n">
        <x:v>46.2</x:v>
      </x:c>
      <x:c r="N71" s="83" t="n">
        <x:v>30</x:v>
      </x:c>
      <x:c r="O71" s="86" t="n">
        <x:v>0.643758261294823</x:v>
      </x:c>
      <x:c r="P71" s="87" t="n">
        <x:v>52</x:v>
      </x:c>
      <x:c r="Q71" s="83" t="n">
        <x:v>64</x:v>
      </x:c>
      <x:c r="R71" s="83" t="s">
        <x:v>532</x:v>
      </x:c>
      <x:c r="S71" s="86" t="n">
        <x:v>0.291377860082042</x:v>
      </x:c>
      <x:c r="T71" s="88" t="n">
        <x:f aca="0">IFERROR(AVERAGEIF('11_Task_Data'!$A$6:$A$605,A71,'11_Task_Data'!$I$6:$I$605),0)</x:f>
        <x:v>50.666666666666664</x:v>
      </x:c>
      <x:c r="U71" s="89" t="n">
        <x:f aca="0">COUNTIFS('11_Task_Data'!$A$6:$A$605,A71,'11_Task_Data'!$J$6:$J$605,"Blocked")+COUNTIFS('11_Task_Data'!$A$6:$A$605,A71,'11_Task_Data'!$K$6:$K$605,"&lt;&gt;"&amp;"")</x:f>
        <x:v>3</x:v>
      </x:c>
      <x:c r="V71" s="89" t="n">
        <x:f aca="0">COUNTIFS('11_Task_Data'!$A$6:$A$605,A71,'11_Task_Data'!$L$6:$L$605,"YES")</x:f>
        <x:v>0</x:v>
      </x:c>
      <x:c r="W71" s="89" t="n">
        <x:v>10</x:v>
      </x:c>
      <x:c r="X71" s="90" t="s">
        <x:v>65</x:v>
      </x:c>
      <x:c r="Y71" s="89" t="str">
        <x:f aca="0">IF(COUNTA(A71:S71)=19,"PASS","CHECK")</x:f>
        <x:v>PASS</x:v>
      </x:c>
      <x:c r="Z71" s="278" t="n">
        <x:f>IF(COUNTIF($A$6:$A$105,A71)&gt;1,1,0)</x:f>
        <x:v>0</x:v>
      </x:c>
    </x:row>
    <x:row r="72" ht="15" hidden="0">
      <x:c r="A72" s="83" t="s">
        <x:v>288</x:v>
      </x:c>
      <x:c r="B72" s="83" t="s">
        <x:v>289</x:v>
      </x:c>
      <x:c r="C72" s="83" t="s">
        <x:v>70</x:v>
      </x:c>
      <x:c r="D72" s="83" t="s">
        <x:v>528</x:v>
      </x:c>
      <x:c r="E72" s="83" t="s">
        <x:v>129</x:v>
      </x:c>
      <x:c r="F72" s="83" t="s">
        <x:v>107</x:v>
      </x:c>
      <x:c r="G72" s="83" t="s">
        <x:v>80</x:v>
      </x:c>
      <x:c r="H72" s="84" t="n">
        <x:v>178.7</x:v>
      </x:c>
      <x:c r="I72" s="85" t="n">
        <x:v>46270</x:v>
      </x:c>
      <x:c r="J72" s="85" t="n">
        <x:v>46420</x:v>
      </x:c>
      <x:c r="K72" s="84" t="n">
        <x:v>336.9</x:v>
      </x:c>
      <x:c r="L72" s="84" t="n">
        <x:v>77.9</x:v>
      </x:c>
      <x:c r="M72" s="84" t="n">
        <x:v>43.5</x:v>
      </x:c>
      <x:c r="N72" s="83" t="n">
        <x:v>23</x:v>
      </x:c>
      <x:c r="O72" s="86" t="n">
        <x:v>0.729354429430403</x:v>
      </x:c>
      <x:c r="P72" s="87" t="n">
        <x:v>42</x:v>
      </x:c>
      <x:c r="Q72" s="83" t="n">
        <x:v>65</x:v>
      </x:c>
      <x:c r="R72" s="83" t="s">
        <x:v>530</x:v>
      </x:c>
      <x:c r="S72" s="86" t="n">
        <x:v>0.231358712469892</x:v>
      </x:c>
      <x:c r="T72" s="88" t="n">
        <x:f aca="0">IFERROR(AVERAGEIF('11_Task_Data'!$A$6:$A$605,A72,'11_Task_Data'!$I$6:$I$605),0)</x:f>
        <x:v>91.16666666666667</x:v>
      </x:c>
      <x:c r="U72" s="89" t="n">
        <x:f aca="0">COUNTIFS('11_Task_Data'!$A$6:$A$605,A72,'11_Task_Data'!$J$6:$J$605,"Blocked")+COUNTIFS('11_Task_Data'!$A$6:$A$605,A72,'11_Task_Data'!$K$6:$K$605,"&lt;&gt;"&amp;"")</x:f>
        <x:v>3</x:v>
      </x:c>
      <x:c r="V72" s="89" t="n">
        <x:f aca="0">COUNTIFS('11_Task_Data'!$A$6:$A$605,A72,'11_Task_Data'!$L$6:$L$605,"YES")</x:f>
        <x:v>0</x:v>
      </x:c>
      <x:c r="W72" s="89" t="n">
        <x:v>2</x:v>
      </x:c>
      <x:c r="X72" s="90" t="s">
        <x:v>63</x:v>
      </x:c>
      <x:c r="Y72" s="89" t="str">
        <x:f aca="0">IF(COUNTA(A72:S72)=19,"PASS","CHECK")</x:f>
        <x:v>PASS</x:v>
      </x:c>
      <x:c r="Z72" s="278" t="n">
        <x:f>IF(COUNTIF($A$6:$A$105,A72)&gt;1,1,0)</x:f>
        <x:v>0</x:v>
      </x:c>
    </x:row>
    <x:row r="73" ht="15" hidden="0">
      <x:c r="A73" s="83" t="s">
        <x:v>294</x:v>
      </x:c>
      <x:c r="B73" s="83" t="s">
        <x:v>295</x:v>
      </x:c>
      <x:c r="C73" s="83" t="s">
        <x:v>64</x:v>
      </x:c>
      <x:c r="D73" s="83" t="s">
        <x:v>529</x:v>
      </x:c>
      <x:c r="E73" s="83" t="s">
        <x:v>129</x:v>
      </x:c>
      <x:c r="F73" s="83" t="s">
        <x:v>118</x:v>
      </x:c>
      <x:c r="G73" s="83" t="s">
        <x:v>80</x:v>
      </x:c>
      <x:c r="H73" s="84" t="n">
        <x:v>131.9</x:v>
      </x:c>
      <x:c r="I73" s="85" t="n">
        <x:v>46271</x:v>
      </x:c>
      <x:c r="J73" s="85" t="n">
        <x:v>46334</x:v>
      </x:c>
      <x:c r="K73" s="84" t="n">
        <x:v>311.9</x:v>
      </x:c>
      <x:c r="L73" s="84" t="n">
        <x:v>78.5</x:v>
      </x:c>
      <x:c r="M73" s="84" t="n">
        <x:v>20.9</x:v>
      </x:c>
      <x:c r="N73" s="83" t="n">
        <x:v>16</x:v>
      </x:c>
      <x:c r="O73" s="86" t="n">
        <x:v>1.03547031426255</x:v>
      </x:c>
      <x:c r="P73" s="87" t="n">
        <x:v>35</x:v>
      </x:c>
      <x:c r="Q73" s="83" t="n">
        <x:v>78</x:v>
      </x:c>
      <x:c r="R73" s="83" t="s">
        <x:v>528</x:v>
      </x:c>
      <x:c r="S73" s="86" t="n">
        <x:v>0.251709493913918</x:v>
      </x:c>
      <x:c r="T73" s="88" t="n">
        <x:f aca="0">IFERROR(AVERAGEIF('11_Task_Data'!$A$6:$A$605,A73,'11_Task_Data'!$I$6:$I$605),0)</x:f>
        <x:v>87</x:v>
      </x:c>
      <x:c r="U73" s="89" t="n">
        <x:f aca="0">COUNTIFS('11_Task_Data'!$A$6:$A$605,A73,'11_Task_Data'!$J$6:$J$605,"Blocked")+COUNTIFS('11_Task_Data'!$A$6:$A$605,A73,'11_Task_Data'!$K$6:$K$605,"&lt;&gt;"&amp;"")</x:f>
        <x:v>5</x:v>
      </x:c>
      <x:c r="V73" s="89" t="n">
        <x:f aca="0">COUNTIFS('11_Task_Data'!$A$6:$A$605,A73,'11_Task_Data'!$L$6:$L$605,"YES")</x:f>
        <x:v>0</x:v>
      </x:c>
      <x:c r="W73" s="89" t="n">
        <x:v>3</x:v>
      </x:c>
      <x:c r="X73" s="90" t="s">
        <x:v>63</x:v>
      </x:c>
      <x:c r="Y73" s="89" t="str">
        <x:f aca="0">IF(COUNTA(A73:S73)=19,"PASS","CHECK")</x:f>
        <x:v>PASS</x:v>
      </x:c>
      <x:c r="Z73" s="278" t="n">
        <x:f>IF(COUNTIF($A$6:$A$105,A73)&gt;1,1,0)</x:f>
        <x:v>0</x:v>
      </x:c>
    </x:row>
    <x:row r="74" ht="15" hidden="0">
      <x:c r="A74" s="83" t="s">
        <x:v>156</x:v>
      </x:c>
      <x:c r="B74" s="83" t="s">
        <x:v>157</x:v>
      </x:c>
      <x:c r="C74" s="83" t="s">
        <x:v>69</x:v>
      </x:c>
      <x:c r="D74" s="83" t="s">
        <x:v>531</x:v>
      </x:c>
      <x:c r="E74" s="83" t="s">
        <x:v>111</x:v>
      </x:c>
      <x:c r="F74" s="83" t="s">
        <x:v>107</x:v>
      </x:c>
      <x:c r="G74" s="83" t="s">
        <x:v>84</x:v>
      </x:c>
      <x:c r="H74" s="84" t="n">
        <x:v>179.8</x:v>
      </x:c>
      <x:c r="I74" s="85" t="n">
        <x:v>46272</x:v>
      </x:c>
      <x:c r="J74" s="85" t="n">
        <x:v>46388</x:v>
      </x:c>
      <x:c r="K74" s="84" t="n">
        <x:v>233.5</x:v>
      </x:c>
      <x:c r="L74" s="84" t="n">
        <x:v>67.8</x:v>
      </x:c>
      <x:c r="M74" s="84" t="n">
        <x:v>7.6</x:v>
      </x:c>
      <x:c r="N74" s="83" t="n">
        <x:v>13</x:v>
      </x:c>
      <x:c r="O74" s="86" t="n">
        <x:v>0.793119484970185</x:v>
      </x:c>
      <x:c r="P74" s="87" t="n">
        <x:v>72</x:v>
      </x:c>
      <x:c r="Q74" s="83" t="n">
        <x:v>60</x:v>
      </x:c>
      <x:c r="R74" s="83" t="s">
        <x:v>528</x:v>
      </x:c>
      <x:c r="S74" s="86" t="n">
        <x:v>0.290241953977119</x:v>
      </x:c>
      <x:c r="T74" s="88" t="n">
        <x:f aca="0">IFERROR(AVERAGEIF('11_Task_Data'!$A$6:$A$605,A74,'11_Task_Data'!$I$6:$I$605),0)</x:f>
        <x:v>80.16666666666667</x:v>
      </x:c>
      <x:c r="U74" s="89" t="n">
        <x:f aca="0">COUNTIFS('11_Task_Data'!$A$6:$A$605,A74,'11_Task_Data'!$J$6:$J$605,"Blocked")+COUNTIFS('11_Task_Data'!$A$6:$A$605,A74,'11_Task_Data'!$K$6:$K$605,"&lt;&gt;"&amp;"")</x:f>
        <x:v>0</x:v>
      </x:c>
      <x:c r="V74" s="89" t="n">
        <x:f aca="0">COUNTIFS('11_Task_Data'!$A$6:$A$605,A74,'11_Task_Data'!$L$6:$L$605,"YES")</x:f>
        <x:v>0</x:v>
      </x:c>
      <x:c r="W74" s="89" t="n">
        <x:v>4</x:v>
      </x:c>
      <x:c r="X74" s="90" t="s">
        <x:v>65</x:v>
      </x:c>
      <x:c r="Y74" s="89" t="str">
        <x:f aca="0">IF(COUNTA(A74:S74)=19,"PASS","CHECK")</x:f>
        <x:v>PASS</x:v>
      </x:c>
      <x:c r="Z74" s="278" t="n">
        <x:f>IF(COUNTIF($A$6:$A$105,A74)&gt;1,1,0)</x:f>
        <x:v>0</x:v>
      </x:c>
    </x:row>
    <x:row r="75" ht="15" hidden="0">
      <x:c r="A75" s="83" t="s">
        <x:v>218</x:v>
      </x:c>
      <x:c r="B75" s="83" t="s">
        <x:v>219</x:v>
      </x:c>
      <x:c r="C75" s="83" t="s">
        <x:v>62</x:v>
      </x:c>
      <x:c r="D75" s="83" t="s">
        <x:v>531</x:v>
      </x:c>
      <x:c r="E75" s="83" t="s">
        <x:v>145</x:v>
      </x:c>
      <x:c r="F75" s="83" t="s">
        <x:v>110</x:v>
      </x:c>
      <x:c r="G75" s="83" t="s">
        <x:v>88</x:v>
      </x:c>
      <x:c r="H75" s="84" t="n">
        <x:v>41.3</x:v>
      </x:c>
      <x:c r="I75" s="85" t="n">
        <x:v>46273</x:v>
      </x:c>
      <x:c r="J75" s="85" t="n">
        <x:v>46345</x:v>
      </x:c>
      <x:c r="K75" s="84" t="n">
        <x:v>95.1</x:v>
      </x:c>
      <x:c r="L75" s="84" t="n">
        <x:v>13.7</x:v>
      </x:c>
      <x:c r="M75" s="84" t="n">
        <x:v>47.1</x:v>
      </x:c>
      <x:c r="N75" s="83" t="n">
        <x:v>21</x:v>
      </x:c>
      <x:c r="O75" s="86" t="n">
        <x:v>0.787855743143756</x:v>
      </x:c>
      <x:c r="P75" s="87" t="n">
        <x:v>35</x:v>
      </x:c>
      <x:c r="Q75" s="83" t="n">
        <x:v>61</x:v>
      </x:c>
      <x:c r="R75" s="83" t="s">
        <x:v>534</x:v>
      </x:c>
      <x:c r="S75" s="86" t="n">
        <x:v>0.143817209626527</x:v>
      </x:c>
      <x:c r="T75" s="88" t="n">
        <x:f aca="0">IFERROR(AVERAGEIF('11_Task_Data'!$A$6:$A$605,A75,'11_Task_Data'!$I$6:$I$605),0)</x:f>
        <x:v>35.166666666666664</x:v>
      </x:c>
      <x:c r="U75" s="89" t="n">
        <x:f aca="0">COUNTIFS('11_Task_Data'!$A$6:$A$605,A75,'11_Task_Data'!$J$6:$J$605,"Blocked")+COUNTIFS('11_Task_Data'!$A$6:$A$605,A75,'11_Task_Data'!$K$6:$K$605,"&lt;&gt;"&amp;"")</x:f>
        <x:v>0</x:v>
      </x:c>
      <x:c r="V75" s="89" t="n">
        <x:f aca="0">COUNTIFS('11_Task_Data'!$A$6:$A$605,A75,'11_Task_Data'!$L$6:$L$605,"YES")</x:f>
        <x:v>0</x:v>
      </x:c>
      <x:c r="W75" s="89" t="n">
        <x:v>13</x:v>
      </x:c>
      <x:c r="X75" s="90" t="s">
        <x:v>65</x:v>
      </x:c>
      <x:c r="Y75" s="89" t="str">
        <x:f aca="0">IF(COUNTA(A75:S75)=19,"PASS","CHECK")</x:f>
        <x:v>PASS</x:v>
      </x:c>
      <x:c r="Z75" s="278" t="n">
        <x:f>IF(COUNTIF($A$6:$A$105,A75)&gt;1,1,0)</x:f>
        <x:v>0</x:v>
      </x:c>
    </x:row>
    <x:row r="76" ht="15" hidden="0">
      <x:c r="A76" s="83" t="s">
        <x:v>137</x:v>
      </x:c>
      <x:c r="B76" s="83" t="s">
        <x:v>138</x:v>
      </x:c>
      <x:c r="C76" s="83" t="s">
        <x:v>123</x:v>
      </x:c>
      <x:c r="D76" s="83" t="s">
        <x:v>535</x:v>
      </x:c>
      <x:c r="E76" s="83" t="s">
        <x:v>111</x:v>
      </x:c>
      <x:c r="F76" s="83" t="s">
        <x:v>107</x:v>
      </x:c>
      <x:c r="G76" s="83" t="s">
        <x:v>95</x:v>
      </x:c>
      <x:c r="H76" s="84" t="n">
        <x:v>61.5</x:v>
      </x:c>
      <x:c r="I76" s="85" t="n">
        <x:v>46274</x:v>
      </x:c>
      <x:c r="J76" s="85" t="n">
        <x:v>46358</x:v>
      </x:c>
      <x:c r="K76" s="84" t="n">
        <x:v>146.4</x:v>
      </x:c>
      <x:c r="L76" s="84" t="n">
        <x:v>30.3</x:v>
      </x:c>
      <x:c r="M76" s="84" t="n">
        <x:v>43.7</x:v>
      </x:c>
      <x:c r="N76" s="83" t="n">
        <x:v>6</x:v>
      </x:c>
      <x:c r="O76" s="86" t="n">
        <x:v>0.749432277554886</x:v>
      </x:c>
      <x:c r="P76" s="87" t="n">
        <x:v>78</x:v>
      </x:c>
      <x:c r="Q76" s="83" t="n">
        <x:v>95</x:v>
      </x:c>
      <x:c r="R76" s="83" t="s">
        <x:v>528</x:v>
      </x:c>
      <x:c r="S76" s="86" t="n">
        <x:v>0.207106306691009</x:v>
      </x:c>
      <x:c r="T76" s="88" t="n">
        <x:f aca="0">IFERROR(AVERAGEIF('11_Task_Data'!$A$6:$A$605,A76,'11_Task_Data'!$I$6:$I$605),0)</x:f>
        <x:v>88</x:v>
      </x:c>
      <x:c r="U76" s="89" t="n">
        <x:f aca="0">COUNTIFS('11_Task_Data'!$A$6:$A$605,A76,'11_Task_Data'!$J$6:$J$605,"Blocked")+COUNTIFS('11_Task_Data'!$A$6:$A$605,A76,'11_Task_Data'!$K$6:$K$605,"&lt;&gt;"&amp;"")</x:f>
        <x:v>2</x:v>
      </x:c>
      <x:c r="V76" s="89" t="n">
        <x:f aca="0">COUNTIFS('11_Task_Data'!$A$6:$A$605,A76,'11_Task_Data'!$L$6:$L$605,"YES")</x:f>
        <x:v>0</x:v>
      </x:c>
      <x:c r="W76" s="89" t="n">
        <x:v>5</x:v>
      </x:c>
      <x:c r="X76" s="90" t="s">
        <x:v>65</x:v>
      </x:c>
      <x:c r="Y76" s="89" t="str">
        <x:f aca="0">IF(COUNTA(A76:S76)=19,"PASS","CHECK")</x:f>
        <x:v>PASS</x:v>
      </x:c>
      <x:c r="Z76" s="278" t="n">
        <x:f>IF(COUNTIF($A$6:$A$105,A76)&gt;1,1,0)</x:f>
        <x:v>0</x:v>
      </x:c>
    </x:row>
    <x:row r="77" ht="15" hidden="0">
      <x:c r="A77" s="83" t="s">
        <x:v>158</x:v>
      </x:c>
      <x:c r="B77" s="83" t="s">
        <x:v>159</x:v>
      </x:c>
      <x:c r="C77" s="83" t="s">
        <x:v>71</x:v>
      </x:c>
      <x:c r="D77" s="83" t="s">
        <x:v>535</x:v>
      </x:c>
      <x:c r="E77" s="83" t="s">
        <x:v>145</x:v>
      </x:c>
      <x:c r="F77" s="83" t="s">
        <x:v>118</x:v>
      </x:c>
      <x:c r="G77" s="83" t="s">
        <x:v>160</x:v>
      </x:c>
      <x:c r="H77" s="84" t="n">
        <x:v>45.6</x:v>
      </x:c>
      <x:c r="I77" s="85" t="n">
        <x:v>46275</x:v>
      </x:c>
      <x:c r="J77" s="85" t="n">
        <x:v>46332</x:v>
      </x:c>
      <x:c r="K77" s="84" t="n">
        <x:v>70.1</x:v>
      </x:c>
      <x:c r="L77" s="84" t="n">
        <x:v>18.2</x:v>
      </x:c>
      <x:c r="M77" s="84" t="n">
        <x:v>8.6</x:v>
      </x:c>
      <x:c r="N77" s="83" t="n">
        <x:v>10</x:v>
      </x:c>
      <x:c r="O77" s="86" t="n">
        <x:v>0.629166693474898</x:v>
      </x:c>
      <x:c r="P77" s="87" t="n">
        <x:v>71</x:v>
      </x:c>
      <x:c r="Q77" s="83" t="n">
        <x:v>90</x:v>
      </x:c>
      <x:c r="R77" s="83" t="s">
        <x:v>530</x:v>
      </x:c>
      <x:c r="S77" s="86" t="n">
        <x:v>0.259797014681814</x:v>
      </x:c>
      <x:c r="T77" s="88" t="n">
        <x:f aca="0">IFERROR(AVERAGEIF('11_Task_Data'!$A$6:$A$605,A77,'11_Task_Data'!$I$6:$I$605),0)</x:f>
        <x:v>29.833333333333332</x:v>
      </x:c>
      <x:c r="U77" s="89" t="n">
        <x:f aca="0">COUNTIFS('11_Task_Data'!$A$6:$A$605,A77,'11_Task_Data'!$J$6:$J$605,"Blocked")+COUNTIFS('11_Task_Data'!$A$6:$A$605,A77,'11_Task_Data'!$K$6:$K$605,"&lt;&gt;"&amp;"")</x:f>
        <x:v>7</x:v>
      </x:c>
      <x:c r="V77" s="89" t="n">
        <x:f aca="0">COUNTIFS('11_Task_Data'!$A$6:$A$605,A77,'11_Task_Data'!$L$6:$L$605,"YES")</x:f>
        <x:v>3</x:v>
      </x:c>
      <x:c r="W77" s="89" t="n">
        <x:v>19</x:v>
      </x:c>
      <x:c r="X77" s="90" t="s">
        <x:v>65</x:v>
      </x:c>
      <x:c r="Y77" s="89" t="str">
        <x:f aca="0">IF(COUNTA(A77:S77)=19,"PASS","CHECK")</x:f>
        <x:v>PASS</x:v>
      </x:c>
      <x:c r="Z77" s="278" t="n">
        <x:f>IF(COUNTIF($A$6:$A$105,A77)&gt;1,1,0)</x:f>
        <x:v>0</x:v>
      </x:c>
    </x:row>
    <x:row r="78" ht="15" hidden="0">
      <x:c r="A78" s="83" t="s">
        <x:v>290</x:v>
      </x:c>
      <x:c r="B78" s="83" t="s">
        <x:v>291</x:v>
      </x:c>
      <x:c r="C78" s="83" t="s">
        <x:v>66</x:v>
      </x:c>
      <x:c r="D78" s="83" t="s">
        <x:v>528</x:v>
      </x:c>
      <x:c r="E78" s="83" t="s">
        <x:v>129</x:v>
      </x:c>
      <x:c r="F78" s="83" t="s">
        <x:v>110</x:v>
      </x:c>
      <x:c r="G78" s="83" t="s">
        <x:v>97</x:v>
      </x:c>
      <x:c r="H78" s="84" t="n">
        <x:v>155.2</x:v>
      </x:c>
      <x:c r="I78" s="85" t="n">
        <x:v>46276</x:v>
      </x:c>
      <x:c r="J78" s="85" t="n">
        <x:v>46395</x:v>
      </x:c>
      <x:c r="K78" s="84" t="n">
        <x:v>199.3</x:v>
      </x:c>
      <x:c r="L78" s="84" t="n">
        <x:v>54.6</x:v>
      </x:c>
      <x:c r="M78" s="84" t="n">
        <x:v>56.9</x:v>
      </x:c>
      <x:c r="N78" s="83" t="n">
        <x:v>26</x:v>
      </x:c>
      <x:c r="O78" s="86" t="n">
        <x:v>0.915454242312355</x:v>
      </x:c>
      <x:c r="P78" s="87" t="n">
        <x:v>41</x:v>
      </x:c>
      <x:c r="Q78" s="83" t="n">
        <x:v>98</x:v>
      </x:c>
      <x:c r="R78" s="83" t="s">
        <x:v>528</x:v>
      </x:c>
      <x:c r="S78" s="86" t="n">
        <x:v>0.274138466575574</x:v>
      </x:c>
      <x:c r="T78" s="88" t="n">
        <x:f aca="0">IFERROR(AVERAGEIF('11_Task_Data'!$A$6:$A$605,A78,'11_Task_Data'!$I$6:$I$605),0)</x:f>
        <x:v>88</x:v>
      </x:c>
      <x:c r="U78" s="89" t="n">
        <x:f aca="0">COUNTIFS('11_Task_Data'!$A$6:$A$605,A78,'11_Task_Data'!$J$6:$J$605,"Blocked")+COUNTIFS('11_Task_Data'!$A$6:$A$605,A78,'11_Task_Data'!$K$6:$K$605,"&lt;&gt;"&amp;"")</x:f>
        <x:v>3</x:v>
      </x:c>
      <x:c r="V78" s="89" t="n">
        <x:f aca="0">COUNTIFS('11_Task_Data'!$A$6:$A$605,A78,'11_Task_Data'!$L$6:$L$605,"YES")</x:f>
        <x:v>0</x:v>
      </x:c>
      <x:c r="W78" s="89" t="n">
        <x:v>6</x:v>
      </x:c>
      <x:c r="X78" s="90" t="s">
        <x:v>63</x:v>
      </x:c>
      <x:c r="Y78" s="89" t="str">
        <x:f aca="0">IF(COUNTA(A78:S78)=19,"PASS","CHECK")</x:f>
        <x:v>PASS</x:v>
      </x:c>
      <x:c r="Z78" s="278" t="n">
        <x:f>IF(COUNTIF($A$6:$A$105,A78)&gt;1,1,0)</x:f>
        <x:v>0</x:v>
      </x:c>
    </x:row>
    <x:row r="79" ht="15" hidden="0">
      <x:c r="A79" s="83" t="s">
        <x:v>270</x:v>
      </x:c>
      <x:c r="B79" s="83" t="s">
        <x:v>271</x:v>
      </x:c>
      <x:c r="C79" s="83" t="s">
        <x:v>123</x:v>
      </x:c>
      <x:c r="D79" s="83" t="s">
        <x:v>105</x:v>
      </x:c>
      <x:c r="E79" s="83" t="s">
        <x:v>111</x:v>
      </x:c>
      <x:c r="F79" s="83" t="s">
        <x:v>113</x:v>
      </x:c>
      <x:c r="G79" s="83" t="s">
        <x:v>84</x:v>
      </x:c>
      <x:c r="H79" s="84" t="n">
        <x:v>62</x:v>
      </x:c>
      <x:c r="I79" s="85" t="n">
        <x:v>46277</x:v>
      </x:c>
      <x:c r="J79" s="85" t="n">
        <x:v>46364</x:v>
      </x:c>
      <x:c r="K79" s="84" t="n">
        <x:v>84.6</x:v>
      </x:c>
      <x:c r="L79" s="84" t="n">
        <x:v>16.5</x:v>
      </x:c>
      <x:c r="M79" s="84" t="n">
        <x:v>32.1</x:v>
      </x:c>
      <x:c r="N79" s="83" t="n">
        <x:v>27</x:v>
      </x:c>
      <x:c r="O79" s="86" t="n">
        <x:v>0.737363522745649</x:v>
      </x:c>
      <x:c r="P79" s="87" t="n">
        <x:v>60</x:v>
      </x:c>
      <x:c r="Q79" s="83" t="n">
        <x:v>70</x:v>
      </x:c>
      <x:c r="R79" s="83" t="s">
        <x:v>532</x:v>
      </x:c>
      <x:c r="S79" s="86" t="n">
        <x:v>0.194494592543969</x:v>
      </x:c>
      <x:c r="T79" s="88" t="n">
        <x:f aca="0">IFERROR(AVERAGEIF('11_Task_Data'!$A$6:$A$605,A79,'11_Task_Data'!$I$6:$I$605),0)</x:f>
        <x:v>63.5</x:v>
      </x:c>
      <x:c r="U79" s="89" t="n">
        <x:f aca="0">COUNTIFS('11_Task_Data'!$A$6:$A$605,A79,'11_Task_Data'!$J$6:$J$605,"Blocked")+COUNTIFS('11_Task_Data'!$A$6:$A$605,A79,'11_Task_Data'!$K$6:$K$605,"&lt;&gt;"&amp;"")</x:f>
        <x:v>0</x:v>
      </x:c>
      <x:c r="V79" s="89" t="n">
        <x:f aca="0">COUNTIFS('11_Task_Data'!$A$6:$A$605,A79,'11_Task_Data'!$L$6:$L$605,"YES")</x:f>
        <x:v>0</x:v>
      </x:c>
      <x:c r="W79" s="89" t="n">
        <x:v>7</x:v>
      </x:c>
      <x:c r="X79" s="90" t="s">
        <x:v>63</x:v>
      </x:c>
      <x:c r="Y79" s="89" t="str">
        <x:f aca="0">IF(COUNTA(A79:S79)=19,"PASS","CHECK")</x:f>
        <x:v>PASS</x:v>
      </x:c>
      <x:c r="Z79" s="278" t="n">
        <x:f>IF(COUNTIF($A$6:$A$105,A79)&gt;1,1,0)</x:f>
        <x:v>0</x:v>
      </x:c>
    </x:row>
    <x:row r="80" ht="15" hidden="0">
      <x:c r="A80" s="83" t="s">
        <x:v>124</x:v>
      </x:c>
      <x:c r="B80" s="83" t="s">
        <x:v>94</x:v>
      </x:c>
      <x:c r="C80" s="83" t="s">
        <x:v>60</x:v>
      </x:c>
      <x:c r="D80" s="83" t="s">
        <x:v>105</x:v>
      </x:c>
      <x:c r="E80" s="83" t="s">
        <x:v>108</x:v>
      </x:c>
      <x:c r="F80" s="83" t="s">
        <x:v>118</x:v>
      </x:c>
      <x:c r="G80" s="83" t="s">
        <x:v>95</x:v>
      </x:c>
      <x:c r="H80" s="84" t="n">
        <x:v>38.7</x:v>
      </x:c>
      <x:c r="I80" s="85" t="n">
        <x:v>46278</x:v>
      </x:c>
      <x:c r="J80" s="85" t="n">
        <x:v>46355</x:v>
      </x:c>
      <x:c r="K80" s="84" t="n">
        <x:v>60</x:v>
      </x:c>
      <x:c r="L80" s="84" t="n">
        <x:v>16.3</x:v>
      </x:c>
      <x:c r="M80" s="84" t="n">
        <x:v>43.7</x:v>
      </x:c>
      <x:c r="N80" s="83" t="n">
        <x:v>27</x:v>
      </x:c>
      <x:c r="O80" s="86" t="n">
        <x:v>0.795145683849443</x:v>
      </x:c>
      <x:c r="P80" s="87" t="n">
        <x:v>83</x:v>
      </x:c>
      <x:c r="Q80" s="83" t="n">
        <x:v>82</x:v>
      </x:c>
      <x:c r="R80" s="83" t="s">
        <x:v>534</x:v>
      </x:c>
      <x:c r="S80" s="86" t="n">
        <x:v>0.271799278173703</x:v>
      </x:c>
      <x:c r="T80" s="88" t="n">
        <x:f aca="0">IFERROR(AVERAGEIF('11_Task_Data'!$A$6:$A$605,A80,'11_Task_Data'!$I$6:$I$605),0)</x:f>
        <x:v>39.5</x:v>
      </x:c>
      <x:c r="U80" s="89" t="n">
        <x:f aca="0">COUNTIFS('11_Task_Data'!$A$6:$A$605,A80,'11_Task_Data'!$J$6:$J$605,"Blocked")+COUNTIFS('11_Task_Data'!$A$6:$A$605,A80,'11_Task_Data'!$K$6:$K$605,"&lt;&gt;"&amp;"")</x:f>
        <x:v>7</x:v>
      </x:c>
      <x:c r="V80" s="89" t="n">
        <x:f aca="0">COUNTIFS('11_Task_Data'!$A$6:$A$605,A80,'11_Task_Data'!$L$6:$L$605,"YES")</x:f>
        <x:v>3</x:v>
      </x:c>
      <x:c r="W80" s="89" t="n">
        <x:v>16</x:v>
      </x:c>
      <x:c r="X80" s="90" t="s">
        <x:v>65</x:v>
      </x:c>
      <x:c r="Y80" s="89" t="str">
        <x:f aca="0">IF(COUNTA(A80:S80)=19,"PASS","CHECK")</x:f>
        <x:v>PASS</x:v>
      </x:c>
      <x:c r="Z80" s="278" t="n">
        <x:f>IF(COUNTIF($A$6:$A$105,A80)&gt;1,1,0)</x:f>
        <x:v>0</x:v>
      </x:c>
    </x:row>
    <x:row r="81" ht="15" hidden="0">
      <x:c r="A81" s="83" t="s">
        <x:v>284</x:v>
      </x:c>
      <x:c r="B81" s="83" t="s">
        <x:v>285</x:v>
      </x:c>
      <x:c r="C81" s="83" t="s">
        <x:v>71</x:v>
      </x:c>
      <x:c r="D81" s="83" t="s">
        <x:v>105</x:v>
      </x:c>
      <x:c r="E81" s="83" t="s">
        <x:v>111</x:v>
      </x:c>
      <x:c r="F81" s="83" t="s">
        <x:v>113</x:v>
      </x:c>
      <x:c r="G81" s="83" t="s">
        <x:v>95</x:v>
      </x:c>
      <x:c r="H81" s="84" t="n">
        <x:v>119.1</x:v>
      </x:c>
      <x:c r="I81" s="85" t="n">
        <x:v>46279</x:v>
      </x:c>
      <x:c r="J81" s="85" t="n">
        <x:v>46385</x:v>
      </x:c>
      <x:c r="K81" s="84" t="n">
        <x:v>173.1</x:v>
      </x:c>
      <x:c r="L81" s="84" t="n">
        <x:v>40.1</x:v>
      </x:c>
      <x:c r="M81" s="84" t="n">
        <x:v>37</x:v>
      </x:c>
      <x:c r="N81" s="83" t="n">
        <x:v>9</x:v>
      </x:c>
      <x:c r="O81" s="86" t="n">
        <x:v>0.645821835621322</x:v>
      </x:c>
      <x:c r="P81" s="87" t="n">
        <x:v>49</x:v>
      </x:c>
      <x:c r="Q81" s="83" t="n">
        <x:v>77</x:v>
      </x:c>
      <x:c r="R81" s="83" t="s">
        <x:v>534</x:v>
      </x:c>
      <x:c r="S81" s="86" t="n">
        <x:v>0.231433303461602</x:v>
      </x:c>
      <x:c r="T81" s="88" t="n">
        <x:f aca="0">IFERROR(AVERAGEIF('11_Task_Data'!$A$6:$A$605,A81,'11_Task_Data'!$I$6:$I$605),0)</x:f>
        <x:v>88</x:v>
      </x:c>
      <x:c r="U81" s="89" t="n">
        <x:f aca="0">COUNTIFS('11_Task_Data'!$A$6:$A$605,A81,'11_Task_Data'!$J$6:$J$605,"Blocked")+COUNTIFS('11_Task_Data'!$A$6:$A$605,A81,'11_Task_Data'!$K$6:$K$605,"&lt;&gt;"&amp;"")</x:f>
        <x:v>1</x:v>
      </x:c>
      <x:c r="V81" s="89" t="n">
        <x:f aca="0">COUNTIFS('11_Task_Data'!$A$6:$A$605,A81,'11_Task_Data'!$L$6:$L$605,"YES")</x:f>
        <x:v>0</x:v>
      </x:c>
      <x:c r="W81" s="89" t="n">
        <x:v>2</x:v>
      </x:c>
      <x:c r="X81" s="90" t="s">
        <x:v>63</x:v>
      </x:c>
      <x:c r="Y81" s="89" t="str">
        <x:f aca="0">IF(COUNTA(A81:S81)=19,"PASS","CHECK")</x:f>
        <x:v>PASS</x:v>
      </x:c>
      <x:c r="Z81" s="278" t="n">
        <x:f>IF(COUNTIF($A$6:$A$105,A81)&gt;1,1,0)</x:f>
        <x:v>0</x:v>
      </x:c>
    </x:row>
    <x:row r="82" ht="15" hidden="0">
      <x:c r="A82" s="83" t="s">
        <x:v>268</x:v>
      </x:c>
      <x:c r="B82" s="83" t="s">
        <x:v>269</x:v>
      </x:c>
      <x:c r="C82" s="83" t="s">
        <x:v>71</x:v>
      </x:c>
      <x:c r="D82" s="83" t="s">
        <x:v>529</x:v>
      </x:c>
      <x:c r="E82" s="83" t="s">
        <x:v>145</x:v>
      </x:c>
      <x:c r="F82" s="83" t="s">
        <x:v>107</x:v>
      </x:c>
      <x:c r="G82" s="83" t="s">
        <x:v>193</x:v>
      </x:c>
      <x:c r="H82" s="84" t="n">
        <x:v>107.5</x:v>
      </x:c>
      <x:c r="I82" s="85" t="n">
        <x:v>46280</x:v>
      </x:c>
      <x:c r="J82" s="85" t="n">
        <x:v>46373</x:v>
      </x:c>
      <x:c r="K82" s="84" t="n">
        <x:v>208.7</x:v>
      </x:c>
      <x:c r="L82" s="84" t="n">
        <x:v>35.9</x:v>
      </x:c>
      <x:c r="M82" s="84" t="n">
        <x:v>59.3</x:v>
      </x:c>
      <x:c r="N82" s="83" t="n">
        <x:v>11</x:v>
      </x:c>
      <x:c r="O82" s="86" t="n">
        <x:v>0.753069287215125</x:v>
      </x:c>
      <x:c r="P82" s="87" t="n">
        <x:v>65</x:v>
      </x:c>
      <x:c r="Q82" s="83" t="n">
        <x:v>91</x:v>
      </x:c>
      <x:c r="R82" s="83" t="s">
        <x:v>534</x:v>
      </x:c>
      <x:c r="S82" s="86" t="n">
        <x:v>0.171820665041957</x:v>
      </x:c>
      <x:c r="T82" s="88" t="n">
        <x:f aca="0">IFERROR(AVERAGEIF('11_Task_Data'!$A$6:$A$605,A82,'11_Task_Data'!$I$6:$I$605),0)</x:f>
        <x:v>75.83333333333333</x:v>
      </x:c>
      <x:c r="U82" s="89" t="n">
        <x:f aca="0">COUNTIFS('11_Task_Data'!$A$6:$A$605,A82,'11_Task_Data'!$J$6:$J$605,"Blocked")+COUNTIFS('11_Task_Data'!$A$6:$A$605,A82,'11_Task_Data'!$K$6:$K$605,"&lt;&gt;"&amp;"")</x:f>
        <x:v>0</x:v>
      </x:c>
      <x:c r="V82" s="89" t="n">
        <x:f aca="0">COUNTIFS('11_Task_Data'!$A$6:$A$605,A82,'11_Task_Data'!$L$6:$L$605,"YES")</x:f>
        <x:v>0</x:v>
      </x:c>
      <x:c r="W82" s="89" t="n">
        <x:v>6</x:v>
      </x:c>
      <x:c r="X82" s="90" t="s">
        <x:v>63</x:v>
      </x:c>
      <x:c r="Y82" s="89" t="str">
        <x:f aca="0">IF(COUNTA(A82:S82)=19,"PASS","CHECK")</x:f>
        <x:v>PASS</x:v>
      </x:c>
      <x:c r="Z82" s="278" t="n">
        <x:f>IF(COUNTIF($A$6:$A$105,A82)&gt;1,1,0)</x:f>
        <x:v>0</x:v>
      </x:c>
    </x:row>
    <x:row r="83" ht="15" hidden="0">
      <x:c r="A83" s="83" t="s">
        <x:v>306</x:v>
      </x:c>
      <x:c r="B83" s="83" t="s">
        <x:v>307</x:v>
      </x:c>
      <x:c r="C83" s="83" t="s">
        <x:v>66</x:v>
      </x:c>
      <x:c r="D83" s="83" t="s">
        <x:v>105</x:v>
      </x:c>
      <x:c r="E83" s="83" t="s">
        <x:v>111</x:v>
      </x:c>
      <x:c r="F83" s="83" t="s">
        <x:v>116</x:v>
      </x:c>
      <x:c r="G83" s="83" t="s">
        <x:v>84</x:v>
      </x:c>
      <x:c r="H83" s="84" t="n">
        <x:v>96.5</x:v>
      </x:c>
      <x:c r="I83" s="85" t="n">
        <x:v>46281</x:v>
      </x:c>
      <x:c r="J83" s="85" t="n">
        <x:v>46420</x:v>
      </x:c>
      <x:c r="K83" s="84" t="n">
        <x:v>179.2</x:v>
      </x:c>
      <x:c r="L83" s="84" t="n">
        <x:v>52.2</x:v>
      </x:c>
      <x:c r="M83" s="84" t="n">
        <x:v>46.9</x:v>
      </x:c>
      <x:c r="N83" s="83" t="n">
        <x:v>26</x:v>
      </x:c>
      <x:c r="O83" s="86" t="n">
        <x:v>0.825125383360166</x:v>
      </x:c>
      <x:c r="P83" s="87" t="n">
        <x:v>15</x:v>
      </x:c>
      <x:c r="Q83" s="83" t="n">
        <x:v>87</x:v>
      </x:c>
      <x:c r="R83" s="83" t="s">
        <x:v>530</x:v>
      </x:c>
      <x:c r="S83" s="86" t="n">
        <x:v>0.291205260939435</x:v>
      </x:c>
      <x:c r="T83" s="88" t="n">
        <x:f aca="0">IFERROR(AVERAGEIF('11_Task_Data'!$A$6:$A$605,A83,'11_Task_Data'!$I$6:$I$605),0)</x:f>
        <x:v>75.83333333333333</x:v>
      </x:c>
      <x:c r="U83" s="89" t="n">
        <x:f aca="0">COUNTIFS('11_Task_Data'!$A$6:$A$605,A83,'11_Task_Data'!$J$6:$J$605,"Blocked")+COUNTIFS('11_Task_Data'!$A$6:$A$605,A83,'11_Task_Data'!$K$6:$K$605,"&lt;&gt;"&amp;"")</x:f>
        <x:v>2</x:v>
      </x:c>
      <x:c r="V83" s="89" t="n">
        <x:f aca="0">COUNTIFS('11_Task_Data'!$A$6:$A$605,A83,'11_Task_Data'!$L$6:$L$605,"YES")</x:f>
        <x:v>0</x:v>
      </x:c>
      <x:c r="W83" s="89" t="n">
        <x:v>5</x:v>
      </x:c>
      <x:c r="X83" s="90" t="s">
        <x:v>63</x:v>
      </x:c>
      <x:c r="Y83" s="89" t="str">
        <x:f aca="0">IF(COUNTA(A83:S83)=19,"PASS","CHECK")</x:f>
        <x:v>PASS</x:v>
      </x:c>
      <x:c r="Z83" s="278" t="n">
        <x:f>IF(COUNTIF($A$6:$A$105,A83)&gt;1,1,0)</x:f>
        <x:v>0</x:v>
      </x:c>
    </x:row>
    <x:row r="84" ht="15" hidden="0">
      <x:c r="A84" s="83" t="s">
        <x:v>121</x:v>
      </x:c>
      <x:c r="B84" s="83" t="s">
        <x:v>91</x:v>
      </x:c>
      <x:c r="C84" s="83" t="s">
        <x:v>66</x:v>
      </x:c>
      <x:c r="D84" s="83" t="s">
        <x:v>105</x:v>
      </x:c>
      <x:c r="E84" s="83" t="s">
        <x:v>114</x:v>
      </x:c>
      <x:c r="F84" s="83" t="s">
        <x:v>113</x:v>
      </x:c>
      <x:c r="G84" s="83" t="s">
        <x:v>84</x:v>
      </x:c>
      <x:c r="H84" s="84" t="n">
        <x:v>86.2</x:v>
      </x:c>
      <x:c r="I84" s="85" t="n">
        <x:v>46282</x:v>
      </x:c>
      <x:c r="J84" s="85" t="n">
        <x:v>46341</x:v>
      </x:c>
      <x:c r="K84" s="84" t="n">
        <x:v>200.7</x:v>
      </x:c>
      <x:c r="L84" s="84" t="n">
        <x:v>64.4</x:v>
      </x:c>
      <x:c r="M84" s="84" t="n">
        <x:v>8.8</x:v>
      </x:c>
      <x:c r="N84" s="83" t="n">
        <x:v>6</x:v>
      </x:c>
      <x:c r="O84" s="86" t="n">
        <x:v>0.955623737020345</x:v>
      </x:c>
      <x:c r="P84" s="87" t="n">
        <x:v>86</x:v>
      </x:c>
      <x:c r="Q84" s="83" t="n">
        <x:v>89</x:v>
      </x:c>
      <x:c r="R84" s="83" t="s">
        <x:v>528</x:v>
      </x:c>
      <x:c r="S84" s="86" t="n">
        <x:v>0.320679342419</x:v>
      </x:c>
      <x:c r="T84" s="88" t="n">
        <x:f aca="0">IFERROR(AVERAGEIF('11_Task_Data'!$A$6:$A$605,A84,'11_Task_Data'!$I$6:$I$605),0)</x:f>
        <x:v>23.166666666666668</x:v>
      </x:c>
      <x:c r="U84" s="89" t="n">
        <x:f aca="0">COUNTIFS('11_Task_Data'!$A$6:$A$605,A84,'11_Task_Data'!$J$6:$J$605,"Blocked")+COUNTIFS('11_Task_Data'!$A$6:$A$605,A84,'11_Task_Data'!$K$6:$K$605,"&lt;&gt;"&amp;"")</x:f>
        <x:v>6</x:v>
      </x:c>
      <x:c r="V84" s="89" t="n">
        <x:f aca="0">COUNTIFS('11_Task_Data'!$A$6:$A$605,A84,'11_Task_Data'!$L$6:$L$605,"YES")</x:f>
        <x:v>3</x:v>
      </x:c>
      <x:c r="W84" s="89" t="n">
        <x:v>21</x:v>
      </x:c>
      <x:c r="X84" s="90" t="s">
        <x:v>65</x:v>
      </x:c>
      <x:c r="Y84" s="89" t="str">
        <x:f aca="0">IF(COUNTA(A84:S84)=19,"PASS","CHECK")</x:f>
        <x:v>PASS</x:v>
      </x:c>
      <x:c r="Z84" s="278" t="n">
        <x:f>IF(COUNTIF($A$6:$A$105,A84)&gt;1,1,0)</x:f>
        <x:v>0</x:v>
      </x:c>
    </x:row>
    <x:row r="85" ht="15" hidden="0">
      <x:c r="A85" s="83" t="s">
        <x:v>254</x:v>
      </x:c>
      <x:c r="B85" s="83" t="s">
        <x:v>255</x:v>
      </x:c>
      <x:c r="C85" s="83" t="s">
        <x:v>68</x:v>
      </x:c>
      <x:c r="D85" s="83" t="s">
        <x:v>528</x:v>
      </x:c>
      <x:c r="E85" s="83" t="s">
        <x:v>129</x:v>
      </x:c>
      <x:c r="F85" s="83" t="s">
        <x:v>110</x:v>
      </x:c>
      <x:c r="G85" s="83" t="s">
        <x:v>160</x:v>
      </x:c>
      <x:c r="H85" s="84" t="n">
        <x:v>46.9</x:v>
      </x:c>
      <x:c r="I85" s="85" t="n">
        <x:v>46283</x:v>
      </x:c>
      <x:c r="J85" s="85" t="n">
        <x:v>46369</x:v>
      </x:c>
      <x:c r="K85" s="84" t="n">
        <x:v>64.7</x:v>
      </x:c>
      <x:c r="L85" s="84" t="n">
        <x:v>17.5</x:v>
      </x:c>
      <x:c r="M85" s="84" t="n">
        <x:v>8.9</x:v>
      </x:c>
      <x:c r="N85" s="83" t="n">
        <x:v>11</x:v>
      </x:c>
      <x:c r="O85" s="86" t="n">
        <x:v>0.74986417865332</x:v>
      </x:c>
      <x:c r="P85" s="87" t="n">
        <x:v>15</x:v>
      </x:c>
      <x:c r="Q85" s="83" t="n">
        <x:v>60</x:v>
      </x:c>
      <x:c r="R85" s="83" t="s">
        <x:v>532</x:v>
      </x:c>
      <x:c r="S85" s="86" t="n">
        <x:v>0.270125560442837</x:v>
      </x:c>
      <x:c r="T85" s="88" t="n">
        <x:f aca="0">IFERROR(AVERAGEIF('11_Task_Data'!$A$6:$A$605,A85,'11_Task_Data'!$I$6:$I$605),0)</x:f>
        <x:v>81.16666666666667</x:v>
      </x:c>
      <x:c r="U85" s="89" t="n">
        <x:f aca="0">COUNTIFS('11_Task_Data'!$A$6:$A$605,A85,'11_Task_Data'!$J$6:$J$605,"Blocked")+COUNTIFS('11_Task_Data'!$A$6:$A$605,A85,'11_Task_Data'!$K$6:$K$605,"&lt;&gt;"&amp;"")</x:f>
        <x:v>0</x:v>
      </x:c>
      <x:c r="V85" s="89" t="n">
        <x:f aca="0">COUNTIFS('11_Task_Data'!$A$6:$A$605,A85,'11_Task_Data'!$L$6:$L$605,"YES")</x:f>
        <x:v>0</x:v>
      </x:c>
      <x:c r="W85" s="89" t="n">
        <x:v>4</x:v>
      </x:c>
      <x:c r="X85" s="90" t="s">
        <x:v>65</x:v>
      </x:c>
      <x:c r="Y85" s="89" t="str">
        <x:f aca="0">IF(COUNTA(A85:S85)=19,"PASS","CHECK")</x:f>
        <x:v>PASS</x:v>
      </x:c>
      <x:c r="Z85" s="278" t="n">
        <x:f>IF(COUNTIF($A$6:$A$105,A85)&gt;1,1,0)</x:f>
        <x:v>0</x:v>
      </x:c>
    </x:row>
    <x:row r="86" ht="15" hidden="0">
      <x:c r="A86" s="83" t="s">
        <x:v>183</x:v>
      </x:c>
      <x:c r="B86" s="83" t="s">
        <x:v>184</x:v>
      </x:c>
      <x:c r="C86" s="83" t="s">
        <x:v>64</x:v>
      </x:c>
      <x:c r="D86" s="83" t="s">
        <x:v>528</x:v>
      </x:c>
      <x:c r="E86" s="83" t="s">
        <x:v>129</x:v>
      </x:c>
      <x:c r="F86" s="83" t="s">
        <x:v>113</x:v>
      </x:c>
      <x:c r="G86" s="83" t="s">
        <x:v>90</x:v>
      </x:c>
      <x:c r="H86" s="84" t="n">
        <x:v>99.3</x:v>
      </x:c>
      <x:c r="I86" s="85" t="n">
        <x:v>46284</x:v>
      </x:c>
      <x:c r="J86" s="85" t="n">
        <x:v>46402</x:v>
      </x:c>
      <x:c r="K86" s="84" t="n">
        <x:v>236.9</x:v>
      </x:c>
      <x:c r="L86" s="84" t="n">
        <x:v>43.9</x:v>
      </x:c>
      <x:c r="M86" s="84" t="n">
        <x:v>15.3</x:v>
      </x:c>
      <x:c r="N86" s="83" t="n">
        <x:v>10</x:v>
      </x:c>
      <x:c r="O86" s="86" t="n">
        <x:v>0.783728046120514</x:v>
      </x:c>
      <x:c r="P86" s="87" t="n">
        <x:v>54</x:v>
      </x:c>
      <x:c r="Q86" s="83" t="n">
        <x:v>85</x:v>
      </x:c>
      <x:c r="R86" s="83" t="s">
        <x:v>534</x:v>
      </x:c>
      <x:c r="S86" s="86" t="n">
        <x:v>0.185487438162907</x:v>
      </x:c>
      <x:c r="T86" s="88" t="n">
        <x:f aca="0">IFERROR(AVERAGEIF('11_Task_Data'!$A$6:$A$605,A86,'11_Task_Data'!$I$6:$I$605),0)</x:f>
        <x:v>42.666666666666664</x:v>
      </x:c>
      <x:c r="U86" s="89" t="n">
        <x:f aca="0">COUNTIFS('11_Task_Data'!$A$6:$A$605,A86,'11_Task_Data'!$J$6:$J$605,"Blocked")+COUNTIFS('11_Task_Data'!$A$6:$A$605,A86,'11_Task_Data'!$K$6:$K$605,"&lt;&gt;"&amp;"")</x:f>
        <x:v>1</x:v>
      </x:c>
      <x:c r="V86" s="89" t="n">
        <x:f aca="0">COUNTIFS('11_Task_Data'!$A$6:$A$605,A86,'11_Task_Data'!$L$6:$L$605,"YES")</x:f>
        <x:v>0</x:v>
      </x:c>
      <x:c r="W86" s="89" t="n">
        <x:v>11</x:v>
      </x:c>
      <x:c r="X86" s="90" t="s">
        <x:v>65</x:v>
      </x:c>
      <x:c r="Y86" s="89" t="str">
        <x:f aca="0">IF(COUNTA(A86:S86)=19,"PASS","CHECK")</x:f>
        <x:v>PASS</x:v>
      </x:c>
      <x:c r="Z86" s="278" t="n">
        <x:f>IF(COUNTIF($A$6:$A$105,A86)&gt;1,1,0)</x:f>
        <x:v>0</x:v>
      </x:c>
    </x:row>
    <x:row r="87" ht="15" hidden="0">
      <x:c r="A87" s="83" t="s">
        <x:v>196</x:v>
      </x:c>
      <x:c r="B87" s="83" t="s">
        <x:v>197</x:v>
      </x:c>
      <x:c r="C87" s="83" t="s">
        <x:v>60</x:v>
      </x:c>
      <x:c r="D87" s="83" t="s">
        <x:v>535</x:v>
      </x:c>
      <x:c r="E87" s="83" t="s">
        <x:v>108</x:v>
      </x:c>
      <x:c r="F87" s="83" t="s">
        <x:v>118</x:v>
      </x:c>
      <x:c r="G87" s="83" t="s">
        <x:v>160</x:v>
      </x:c>
      <x:c r="H87" s="84" t="n">
        <x:v>140.8</x:v>
      </x:c>
      <x:c r="I87" s="85" t="n">
        <x:v>46285</x:v>
      </x:c>
      <x:c r="J87" s="85" t="n">
        <x:v>46366</x:v>
      </x:c>
      <x:c r="K87" s="84" t="n">
        <x:v>308.8</x:v>
      </x:c>
      <x:c r="L87" s="84" t="n">
        <x:v>97.1</x:v>
      </x:c>
      <x:c r="M87" s="84" t="n">
        <x:v>13.7</x:v>
      </x:c>
      <x:c r="N87" s="83" t="n">
        <x:v>38</x:v>
      </x:c>
      <x:c r="O87" s="86" t="n">
        <x:v>0.960816133620322</x:v>
      </x:c>
      <x:c r="P87" s="87" t="n">
        <x:v>50</x:v>
      </x:c>
      <x:c r="Q87" s="83" t="n">
        <x:v>80</x:v>
      </x:c>
      <x:c r="R87" s="83" t="s">
        <x:v>528</x:v>
      </x:c>
      <x:c r="S87" s="86" t="n">
        <x:v>0.314442189274279</x:v>
      </x:c>
      <x:c r="T87" s="88" t="n">
        <x:f aca="0">IFERROR(AVERAGEIF('11_Task_Data'!$A$6:$A$605,A87,'11_Task_Data'!$I$6:$I$605),0)</x:f>
        <x:v>37</x:v>
      </x:c>
      <x:c r="U87" s="89" t="n">
        <x:f aca="0">COUNTIFS('11_Task_Data'!$A$6:$A$605,A87,'11_Task_Data'!$J$6:$J$605,"Blocked")+COUNTIFS('11_Task_Data'!$A$6:$A$605,A87,'11_Task_Data'!$K$6:$K$605,"&lt;&gt;"&amp;"")</x:f>
        <x:v>1</x:v>
      </x:c>
      <x:c r="V87" s="89" t="n">
        <x:f aca="0">COUNTIFS('11_Task_Data'!$A$6:$A$605,A87,'11_Task_Data'!$L$6:$L$605,"YES")</x:f>
        <x:v>0</x:v>
      </x:c>
      <x:c r="W87" s="89" t="n">
        <x:v>13</x:v>
      </x:c>
      <x:c r="X87" s="90" t="s">
        <x:v>65</x:v>
      </x:c>
      <x:c r="Y87" s="89" t="str">
        <x:f aca="0">IF(COUNTA(A87:S87)=19,"PASS","CHECK")</x:f>
        <x:v>PASS</x:v>
      </x:c>
      <x:c r="Z87" s="278" t="n">
        <x:f>IF(COUNTIF($A$6:$A$105,A87)&gt;1,1,0)</x:f>
        <x:v>0</x:v>
      </x:c>
    </x:row>
    <x:row r="88" ht="15" hidden="0">
      <x:c r="A88" s="83" t="s">
        <x:v>161</x:v>
      </x:c>
      <x:c r="B88" s="83" t="s">
        <x:v>162</x:v>
      </x:c>
      <x:c r="C88" s="83" t="s">
        <x:v>69</x:v>
      </x:c>
      <x:c r="D88" s="83" t="s">
        <x:v>531</x:v>
      </x:c>
      <x:c r="E88" s="83" t="s">
        <x:v>114</x:v>
      </x:c>
      <x:c r="F88" s="83" t="s">
        <x:v>107</x:v>
      </x:c>
      <x:c r="G88" s="83" t="s">
        <x:v>97</x:v>
      </x:c>
      <x:c r="H88" s="84" t="n">
        <x:v>91.6</x:v>
      </x:c>
      <x:c r="I88" s="85" t="n">
        <x:v>46286</x:v>
      </x:c>
      <x:c r="J88" s="85" t="n">
        <x:v>46439</x:v>
      </x:c>
      <x:c r="K88" s="84" t="n">
        <x:v>194.1</x:v>
      </x:c>
      <x:c r="L88" s="84" t="n">
        <x:v>39.4</x:v>
      </x:c>
      <x:c r="M88" s="84" t="n">
        <x:v>6.3</x:v>
      </x:c>
      <x:c r="N88" s="83" t="n">
        <x:v>24</x:v>
      </x:c>
      <x:c r="O88" s="86" t="n">
        <x:v>0.903143220373196</x:v>
      </x:c>
      <x:c r="P88" s="87" t="n">
        <x:v>69</x:v>
      </x:c>
      <x:c r="Q88" s="83" t="n">
        <x:v>91</x:v>
      </x:c>
      <x:c r="R88" s="83" t="s">
        <x:v>532</x:v>
      </x:c>
      <x:c r="S88" s="86" t="n">
        <x:v>0.202814361088639</x:v>
      </x:c>
      <x:c r="T88" s="88" t="n">
        <x:f aca="0">IFERROR(AVERAGEIF('11_Task_Data'!$A$6:$A$605,A88,'11_Task_Data'!$I$6:$I$605),0)</x:f>
        <x:v>46</x:v>
      </x:c>
      <x:c r="U88" s="89" t="n">
        <x:f aca="0">COUNTIFS('11_Task_Data'!$A$6:$A$605,A88,'11_Task_Data'!$J$6:$J$605,"Blocked")+COUNTIFS('11_Task_Data'!$A$6:$A$605,A88,'11_Task_Data'!$K$6:$K$605,"&lt;&gt;"&amp;"")</x:f>
        <x:v>4</x:v>
      </x:c>
      <x:c r="V88" s="89" t="n">
        <x:f aca="0">COUNTIFS('11_Task_Data'!$A$6:$A$605,A88,'11_Task_Data'!$L$6:$L$605,"YES")</x:f>
        <x:v>1</x:v>
      </x:c>
      <x:c r="W88" s="89" t="n">
        <x:v>14</x:v>
      </x:c>
      <x:c r="X88" s="90" t="s">
        <x:v>65</x:v>
      </x:c>
      <x:c r="Y88" s="89" t="str">
        <x:f aca="0">IF(COUNTA(A88:S88)=19,"PASS","CHECK")</x:f>
        <x:v>PASS</x:v>
      </x:c>
      <x:c r="Z88" s="278" t="n">
        <x:f>IF(COUNTIF($A$6:$A$105,A88)&gt;1,1,0)</x:f>
        <x:v>0</x:v>
      </x:c>
    </x:row>
    <x:row r="89" ht="15" hidden="0">
      <x:c r="A89" s="83" t="s">
        <x:v>143</x:v>
      </x:c>
      <x:c r="B89" s="83" t="s">
        <x:v>144</x:v>
      </x:c>
      <x:c r="C89" s="83" t="s">
        <x:v>70</x:v>
      </x:c>
      <x:c r="D89" s="83" t="s">
        <x:v>535</x:v>
      </x:c>
      <x:c r="E89" s="83" t="s">
        <x:v>145</x:v>
      </x:c>
      <x:c r="F89" s="83" t="s">
        <x:v>110</x:v>
      </x:c>
      <x:c r="G89" s="83" t="s">
        <x:v>97</x:v>
      </x:c>
      <x:c r="H89" s="84" t="n">
        <x:v>152.7</x:v>
      </x:c>
      <x:c r="I89" s="85" t="n">
        <x:v>46287</x:v>
      </x:c>
      <x:c r="J89" s="85" t="n">
        <x:v>46358</x:v>
      </x:c>
      <x:c r="K89" s="84" t="n">
        <x:v>271.7</x:v>
      </x:c>
      <x:c r="L89" s="84" t="n">
        <x:v>56.8</x:v>
      </x:c>
      <x:c r="M89" s="84" t="n">
        <x:v>18.6</x:v>
      </x:c>
      <x:c r="N89" s="83" t="n">
        <x:v>15</x:v>
      </x:c>
      <x:c r="O89" s="86" t="n">
        <x:v>0.686954663357451</x:v>
      </x:c>
      <x:c r="P89" s="87" t="n">
        <x:v>76</x:v>
      </x:c>
      <x:c r="Q89" s="83" t="n">
        <x:v>69</x:v>
      </x:c>
      <x:c r="R89" s="83" t="s">
        <x:v>534</x:v>
      </x:c>
      <x:c r="S89" s="86" t="n">
        <x:v>0.209077414306321</x:v>
      </x:c>
      <x:c r="T89" s="88" t="n">
        <x:f aca="0">IFERROR(AVERAGEIF('11_Task_Data'!$A$6:$A$605,A89,'11_Task_Data'!$I$6:$I$605),0)</x:f>
        <x:v>75.33333333333333</x:v>
      </x:c>
      <x:c r="U89" s="89" t="n">
        <x:f aca="0">COUNTIFS('11_Task_Data'!$A$6:$A$605,A89,'11_Task_Data'!$J$6:$J$605,"Blocked")+COUNTIFS('11_Task_Data'!$A$6:$A$605,A89,'11_Task_Data'!$K$6:$K$605,"&lt;&gt;"&amp;"")</x:f>
        <x:v>2</x:v>
      </x:c>
      <x:c r="V89" s="89" t="n">
        <x:f aca="0">COUNTIFS('11_Task_Data'!$A$6:$A$605,A89,'11_Task_Data'!$L$6:$L$605,"YES")</x:f>
        <x:v>0</x:v>
      </x:c>
      <x:c r="W89" s="89" t="n">
        <x:v>5</x:v>
      </x:c>
      <x:c r="X89" s="90" t="s">
        <x:v>65</x:v>
      </x:c>
      <x:c r="Y89" s="89" t="str">
        <x:f aca="0">IF(COUNTA(A89:S89)=19,"PASS","CHECK")</x:f>
        <x:v>PASS</x:v>
      </x:c>
      <x:c r="Z89" s="278" t="n">
        <x:f>IF(COUNTIF($A$6:$A$105,A89)&gt;1,1,0)</x:f>
        <x:v>0</x:v>
      </x:c>
    </x:row>
    <x:row r="90" ht="15" hidden="0">
      <x:c r="A90" s="83" t="s">
        <x:v>119</x:v>
      </x:c>
      <x:c r="B90" s="83" t="s">
        <x:v>89</x:v>
      </x:c>
      <x:c r="C90" s="83" t="s">
        <x:v>70</x:v>
      </x:c>
      <x:c r="D90" s="83" t="s">
        <x:v>535</x:v>
      </x:c>
      <x:c r="E90" s="83" t="s">
        <x:v>114</x:v>
      </x:c>
      <x:c r="F90" s="83" t="s">
        <x:v>113</x:v>
      </x:c>
      <x:c r="G90" s="83" t="s">
        <x:v>90</x:v>
      </x:c>
      <x:c r="H90" s="84" t="n">
        <x:v>147.8</x:v>
      </x:c>
      <x:c r="I90" s="85" t="n">
        <x:v>46288</x:v>
      </x:c>
      <x:c r="J90" s="85" t="n">
        <x:v>46441</x:v>
      </x:c>
      <x:c r="K90" s="84" t="n">
        <x:v>281.9</x:v>
      </x:c>
      <x:c r="L90" s="84" t="n">
        <x:v>77.9</x:v>
      </x:c>
      <x:c r="M90" s="84" t="n">
        <x:v>40.2</x:v>
      </x:c>
      <x:c r="N90" s="83" t="n">
        <x:v>35</x:v>
      </x:c>
      <x:c r="O90" s="86" t="n">
        <x:v>0.935198525364436</x:v>
      </x:c>
      <x:c r="P90" s="87" t="n">
        <x:v>87</x:v>
      </x:c>
      <x:c r="Q90" s="83" t="n">
        <x:v>95</x:v>
      </x:c>
      <x:c r="R90" s="83" t="s">
        <x:v>528</x:v>
      </x:c>
      <x:c r="S90" s="86" t="n">
        <x:v>0.276226201000581</x:v>
      </x:c>
      <x:c r="T90" s="88" t="n">
        <x:f aca="0">IFERROR(AVERAGEIF('11_Task_Data'!$A$6:$A$605,A90,'11_Task_Data'!$I$6:$I$605),0)</x:f>
        <x:v>72.33333333333333</x:v>
      </x:c>
      <x:c r="U90" s="89" t="n">
        <x:f aca="0">COUNTIFS('11_Task_Data'!$A$6:$A$605,A90,'11_Task_Data'!$J$6:$J$605,"Blocked")+COUNTIFS('11_Task_Data'!$A$6:$A$605,A90,'11_Task_Data'!$K$6:$K$605,"&lt;&gt;"&amp;"")</x:f>
        <x:v>1</x:v>
      </x:c>
      <x:c r="V90" s="89" t="n">
        <x:f aca="0">COUNTIFS('11_Task_Data'!$A$6:$A$605,A90,'11_Task_Data'!$L$6:$L$605,"YES")</x:f>
        <x:v>3</x:v>
      </x:c>
      <x:c r="W90" s="89" t="n">
        <x:v>10</x:v>
      </x:c>
      <x:c r="X90" s="90" t="s">
        <x:v>65</x:v>
      </x:c>
      <x:c r="Y90" s="89" t="str">
        <x:f aca="0">IF(COUNTA(A90:S90)=19,"PASS","CHECK")</x:f>
        <x:v>PASS</x:v>
      </x:c>
      <x:c r="Z90" s="278" t="n">
        <x:f>IF(COUNTIF($A$6:$A$105,A90)&gt;1,1,0)</x:f>
        <x:v>0</x:v>
      </x:c>
    </x:row>
    <x:row r="91" ht="15" hidden="0">
      <x:c r="A91" s="83" t="s">
        <x:v>139</x:v>
      </x:c>
      <x:c r="B91" s="83" t="s">
        <x:v>140</x:v>
      </x:c>
      <x:c r="C91" s="83" t="s">
        <x:v>62</x:v>
      </x:c>
      <x:c r="D91" s="83" t="s">
        <x:v>531</x:v>
      </x:c>
      <x:c r="E91" s="83" t="s">
        <x:v>111</x:v>
      </x:c>
      <x:c r="F91" s="83" t="s">
        <x:v>113</x:v>
      </x:c>
      <x:c r="G91" s="83" t="s">
        <x:v>90</x:v>
      </x:c>
      <x:c r="H91" s="84" t="n">
        <x:v>57.7</x:v>
      </x:c>
      <x:c r="I91" s="85" t="n">
        <x:v>46289</x:v>
      </x:c>
      <x:c r="J91" s="85" t="n">
        <x:v>46363</x:v>
      </x:c>
      <x:c r="K91" s="84" t="n">
        <x:v>105.2</x:v>
      </x:c>
      <x:c r="L91" s="84" t="n">
        <x:v>24.2</x:v>
      </x:c>
      <x:c r="M91" s="84" t="n">
        <x:v>21.7</x:v>
      </x:c>
      <x:c r="N91" s="83" t="n">
        <x:v>17</x:v>
      </x:c>
      <x:c r="O91" s="86" t="n">
        <x:v>0.964559514673093</x:v>
      </x:c>
      <x:c r="P91" s="87" t="n">
        <x:v>78</x:v>
      </x:c>
      <x:c r="Q91" s="83" t="n">
        <x:v>74</x:v>
      </x:c>
      <x:c r="R91" s="83" t="s">
        <x:v>532</x:v>
      </x:c>
      <x:c r="S91" s="86" t="n">
        <x:v>0.230471844308762</x:v>
      </x:c>
      <x:c r="T91" s="88" t="n">
        <x:f aca="0">IFERROR(AVERAGEIF('11_Task_Data'!$A$6:$A$605,A91,'11_Task_Data'!$I$6:$I$605),0)</x:f>
        <x:v>47.166666666666664</x:v>
      </x:c>
      <x:c r="U91" s="89" t="n">
        <x:f aca="0">COUNTIFS('11_Task_Data'!$A$6:$A$605,A91,'11_Task_Data'!$J$6:$J$605,"Blocked")+COUNTIFS('11_Task_Data'!$A$6:$A$605,A91,'11_Task_Data'!$K$6:$K$605,"&lt;&gt;"&amp;"")</x:f>
        <x:v>5</x:v>
      </x:c>
      <x:c r="V91" s="89" t="n">
        <x:f aca="0">COUNTIFS('11_Task_Data'!$A$6:$A$605,A91,'11_Task_Data'!$L$6:$L$605,"YES")</x:f>
        <x:v>1</x:v>
      </x:c>
      <x:c r="W91" s="89" t="n">
        <x:v>12</x:v>
      </x:c>
      <x:c r="X91" s="90" t="s">
        <x:v>65</x:v>
      </x:c>
      <x:c r="Y91" s="89" t="str">
        <x:f aca="0">IF(COUNTA(A91:S91)=19,"PASS","CHECK")</x:f>
        <x:v>PASS</x:v>
      </x:c>
      <x:c r="Z91" s="278" t="n">
        <x:f>IF(COUNTIF($A$6:$A$105,A91)&gt;1,1,0)</x:f>
        <x:v>0</x:v>
      </x:c>
    </x:row>
    <x:row r="92" ht="15" hidden="0">
      <x:c r="A92" s="83" t="s">
        <x:v>141</x:v>
      </x:c>
      <x:c r="B92" s="83" t="s">
        <x:v>142</x:v>
      </x:c>
      <x:c r="C92" s="83" t="s">
        <x:v>68</x:v>
      </x:c>
      <x:c r="D92" s="83" t="s">
        <x:v>105</x:v>
      </x:c>
      <x:c r="E92" s="83" t="s">
        <x:v>129</x:v>
      </x:c>
      <x:c r="F92" s="83" t="s">
        <x:v>116</x:v>
      </x:c>
      <x:c r="G92" s="83" t="s">
        <x:v>97</x:v>
      </x:c>
      <x:c r="H92" s="84" t="n">
        <x:v>139.8</x:v>
      </x:c>
      <x:c r="I92" s="85" t="n">
        <x:v>46290</x:v>
      </x:c>
      <x:c r="J92" s="85" t="n">
        <x:v>46354</x:v>
      </x:c>
      <x:c r="K92" s="84" t="n">
        <x:v>223.4</x:v>
      </x:c>
      <x:c r="L92" s="84" t="n">
        <x:v>66.3</x:v>
      </x:c>
      <x:c r="M92" s="84" t="n">
        <x:v>52.8</x:v>
      </x:c>
      <x:c r="N92" s="83" t="n">
        <x:v>23</x:v>
      </x:c>
      <x:c r="O92" s="86" t="n">
        <x:v>0.950885529900624</x:v>
      </x:c>
      <x:c r="P92" s="87" t="n">
        <x:v>77</x:v>
      </x:c>
      <x:c r="Q92" s="83" t="n">
        <x:v>96</x:v>
      </x:c>
      <x:c r="R92" s="83" t="s">
        <x:v>534</x:v>
      </x:c>
      <x:c r="S92" s="86" t="n">
        <x:v>0.296853961753333</x:v>
      </x:c>
      <x:c r="T92" s="88" t="n">
        <x:f aca="0">IFERROR(AVERAGEIF('11_Task_Data'!$A$6:$A$605,A92,'11_Task_Data'!$I$6:$I$605),0)</x:f>
        <x:v>71</x:v>
      </x:c>
      <x:c r="U92" s="89" t="n">
        <x:f aca="0">COUNTIFS('11_Task_Data'!$A$6:$A$605,A92,'11_Task_Data'!$J$6:$J$605,"Blocked")+COUNTIFS('11_Task_Data'!$A$6:$A$605,A92,'11_Task_Data'!$K$6:$K$605,"&lt;&gt;"&amp;"")</x:f>
        <x:v>0</x:v>
      </x:c>
      <x:c r="V92" s="89" t="n">
        <x:f aca="0">COUNTIFS('11_Task_Data'!$A$6:$A$605,A92,'11_Task_Data'!$L$6:$L$605,"YES")</x:f>
        <x:v>0</x:v>
      </x:c>
      <x:c r="W92" s="89" t="n">
        <x:v>9</x:v>
      </x:c>
      <x:c r="X92" s="90" t="s">
        <x:v>65</x:v>
      </x:c>
      <x:c r="Y92" s="89" t="str">
        <x:f aca="0">IF(COUNTA(A92:S92)=19,"PASS","CHECK")</x:f>
        <x:v>PASS</x:v>
      </x:c>
      <x:c r="Z92" s="278" t="n">
        <x:f>IF(COUNTIF($A$6:$A$105,A92)&gt;1,1,0)</x:f>
        <x:v>0</x:v>
      </x:c>
    </x:row>
    <x:row r="93" ht="15" hidden="0">
      <x:c r="A93" s="83" t="s">
        <x:v>109</x:v>
      </x:c>
      <x:c r="B93" s="83" t="s">
        <x:v>79</x:v>
      </x:c>
      <x:c r="C93" s="83" t="s">
        <x:v>68</x:v>
      </x:c>
      <x:c r="D93" s="83" t="s">
        <x:v>528</x:v>
      </x:c>
      <x:c r="E93" s="83" t="s">
        <x:v>111</x:v>
      </x:c>
      <x:c r="F93" s="83" t="s">
        <x:v>110</x:v>
      </x:c>
      <x:c r="G93" s="83" t="s">
        <x:v>80</x:v>
      </x:c>
      <x:c r="H93" s="84" t="n">
        <x:v>85.8</x:v>
      </x:c>
      <x:c r="I93" s="85" t="n">
        <x:v>46291</x:v>
      </x:c>
      <x:c r="J93" s="85" t="n">
        <x:v>46444</x:v>
      </x:c>
      <x:c r="K93" s="84" t="n">
        <x:v>195.6</x:v>
      </x:c>
      <x:c r="L93" s="84" t="n">
        <x:v>44.7</x:v>
      </x:c>
      <x:c r="M93" s="84" t="n">
        <x:v>26.5</x:v>
      </x:c>
      <x:c r="N93" s="83" t="n">
        <x:v>33</x:v>
      </x:c>
      <x:c r="O93" s="86" t="n">
        <x:v>0.642667042172197</x:v>
      </x:c>
      <x:c r="P93" s="87" t="n">
        <x:v>92</x:v>
      </x:c>
      <x:c r="Q93" s="83" t="n">
        <x:v>76</x:v>
      </x:c>
      <x:c r="R93" s="83" t="s">
        <x:v>532</x:v>
      </x:c>
      <x:c r="S93" s="86" t="n">
        <x:v>0.228513903548946</x:v>
      </x:c>
      <x:c r="T93" s="88" t="n">
        <x:f aca="0">IFERROR(AVERAGEIF('11_Task_Data'!$A$6:$A$605,A93,'11_Task_Data'!$I$6:$I$605),0)</x:f>
        <x:v>71.33333333333333</x:v>
      </x:c>
      <x:c r="U93" s="89" t="n">
        <x:f aca="0">COUNTIFS('11_Task_Data'!$A$6:$A$605,A93,'11_Task_Data'!$J$6:$J$605,"Blocked")+COUNTIFS('11_Task_Data'!$A$6:$A$605,A93,'11_Task_Data'!$K$6:$K$605,"&lt;&gt;"&amp;"")</x:f>
        <x:v>0</x:v>
      </x:c>
      <x:c r="V93" s="89" t="n">
        <x:f aca="0">COUNTIFS('11_Task_Data'!$A$6:$A$605,A93,'11_Task_Data'!$L$6:$L$605,"YES")</x:f>
        <x:v>3</x:v>
      </x:c>
      <x:c r="W93" s="89" t="n">
        <x:v>8</x:v>
      </x:c>
      <x:c r="X93" s="90" t="s">
        <x:v>65</x:v>
      </x:c>
      <x:c r="Y93" s="89" t="str">
        <x:f aca="0">IF(COUNTA(A93:S93)=19,"PASS","CHECK")</x:f>
        <x:v>PASS</x:v>
      </x:c>
      <x:c r="Z93" s="278" t="n">
        <x:f>IF(COUNTIF($A$6:$A$105,A93)&gt;1,1,0)</x:f>
        <x:v>0</x:v>
      </x:c>
    </x:row>
    <x:row r="94" ht="15" hidden="0">
      <x:c r="A94" s="83" t="s">
        <x:v>117</x:v>
      </x:c>
      <x:c r="B94" s="83" t="s">
        <x:v>87</x:v>
      </x:c>
      <x:c r="C94" s="83" t="s">
        <x:v>62</x:v>
      </x:c>
      <x:c r="D94" s="83" t="s">
        <x:v>105</x:v>
      </x:c>
      <x:c r="E94" s="83" t="s">
        <x:v>108</x:v>
      </x:c>
      <x:c r="F94" s="83" t="s">
        <x:v>118</x:v>
      </x:c>
      <x:c r="G94" s="83" t="s">
        <x:v>88</x:v>
      </x:c>
      <x:c r="H94" s="84" t="n">
        <x:v>179.6</x:v>
      </x:c>
      <x:c r="I94" s="85" t="n">
        <x:v>46292</x:v>
      </x:c>
      <x:c r="J94" s="85" t="n">
        <x:v>46354</x:v>
      </x:c>
      <x:c r="K94" s="84" t="n">
        <x:v>381.7</x:v>
      </x:c>
      <x:c r="L94" s="84" t="n">
        <x:v>49.2</x:v>
      </x:c>
      <x:c r="M94" s="84" t="n">
        <x:v>24.6</x:v>
      </x:c>
      <x:c r="N94" s="83" t="n">
        <x:v>11</x:v>
      </x:c>
      <x:c r="O94" s="86" t="n">
        <x:v>1.04419530201235</x:v>
      </x:c>
      <x:c r="P94" s="87" t="n">
        <x:v>88</x:v>
      </x:c>
      <x:c r="Q94" s="83" t="n">
        <x:v>84</x:v>
      </x:c>
      <x:c r="R94" s="83" t="s">
        <x:v>534</x:v>
      </x:c>
      <x:c r="S94" s="86" t="n">
        <x:v>0.128940354907545</x:v>
      </x:c>
      <x:c r="T94" s="88" t="n">
        <x:f aca="0">IFERROR(AVERAGEIF('11_Task_Data'!$A$6:$A$605,A94,'11_Task_Data'!$I$6:$I$605),0)</x:f>
        <x:v>81.66666666666667</x:v>
      </x:c>
      <x:c r="U94" s="89" t="n">
        <x:f aca="0">COUNTIFS('11_Task_Data'!$A$6:$A$605,A94,'11_Task_Data'!$J$6:$J$605,"Blocked")+COUNTIFS('11_Task_Data'!$A$6:$A$605,A94,'11_Task_Data'!$K$6:$K$605,"&lt;&gt;"&amp;"")</x:f>
        <x:v>2</x:v>
      </x:c>
      <x:c r="V94" s="89" t="n">
        <x:f aca="0">COUNTIFS('11_Task_Data'!$A$6:$A$605,A94,'11_Task_Data'!$L$6:$L$605,"YES")</x:f>
        <x:v>3</x:v>
      </x:c>
      <x:c r="W94" s="89" t="n">
        <x:v>6</x:v>
      </x:c>
      <x:c r="X94" s="90" t="s">
        <x:v>65</x:v>
      </x:c>
      <x:c r="Y94" s="89" t="str">
        <x:f aca="0">IF(COUNTA(A94:S94)=19,"PASS","CHECK")</x:f>
        <x:v>PASS</x:v>
      </x:c>
      <x:c r="Z94" s="278" t="n">
        <x:f>IF(COUNTIF($A$6:$A$105,A94)&gt;1,1,0)</x:f>
        <x:v>0</x:v>
      </x:c>
    </x:row>
    <x:row r="95" ht="15" hidden="0">
      <x:c r="A95" s="83" t="s">
        <x:v>300</x:v>
      </x:c>
      <x:c r="B95" s="83" t="s">
        <x:v>301</x:v>
      </x:c>
      <x:c r="C95" s="83" t="s">
        <x:v>123</x:v>
      </x:c>
      <x:c r="D95" s="83" t="s">
        <x:v>529</x:v>
      </x:c>
      <x:c r="E95" s="83" t="s">
        <x:v>111</x:v>
      </x:c>
      <x:c r="F95" s="83" t="s">
        <x:v>110</x:v>
      </x:c>
      <x:c r="G95" s="83" t="s">
        <x:v>193</x:v>
      </x:c>
      <x:c r="H95" s="84" t="n">
        <x:v>158.7</x:v>
      </x:c>
      <x:c r="I95" s="85" t="n">
        <x:v>46293</x:v>
      </x:c>
      <x:c r="J95" s="85" t="n">
        <x:v>46373</x:v>
      </x:c>
      <x:c r="K95" s="84" t="n">
        <x:v>275.3</x:v>
      </x:c>
      <x:c r="L95" s="84" t="n">
        <x:v>81.6</x:v>
      </x:c>
      <x:c r="M95" s="84" t="n">
        <x:v>22.6</x:v>
      </x:c>
      <x:c r="N95" s="83" t="n">
        <x:v>18</x:v>
      </x:c>
      <x:c r="O95" s="86" t="n">
        <x:v>0.91948982828011</x:v>
      </x:c>
      <x:c r="P95" s="87" t="n">
        <x:v>31</x:v>
      </x:c>
      <x:c r="Q95" s="83" t="n">
        <x:v>80</x:v>
      </x:c>
      <x:c r="R95" s="83" t="s">
        <x:v>528</x:v>
      </x:c>
      <x:c r="S95" s="86" t="n">
        <x:v>0.296381995665587</x:v>
      </x:c>
      <x:c r="T95" s="88" t="n">
        <x:f aca="0">IFERROR(AVERAGEIF('11_Task_Data'!$A$6:$A$605,A95,'11_Task_Data'!$I$6:$I$605),0)</x:f>
        <x:v>83</x:v>
      </x:c>
      <x:c r="U95" s="89" t="n">
        <x:f aca="0">COUNTIFS('11_Task_Data'!$A$6:$A$605,A95,'11_Task_Data'!$J$6:$J$605,"Blocked")+COUNTIFS('11_Task_Data'!$A$6:$A$605,A95,'11_Task_Data'!$K$6:$K$605,"&lt;&gt;"&amp;"")</x:f>
        <x:v>0</x:v>
      </x:c>
      <x:c r="V95" s="89" t="n">
        <x:f aca="0">COUNTIFS('11_Task_Data'!$A$6:$A$605,A95,'11_Task_Data'!$L$6:$L$605,"YES")</x:f>
        <x:v>0</x:v>
      </x:c>
      <x:c r="W95" s="89" t="n">
        <x:v>3</x:v>
      </x:c>
      <x:c r="X95" s="90" t="s">
        <x:v>63</x:v>
      </x:c>
      <x:c r="Y95" s="89" t="str">
        <x:f aca="0">IF(COUNTA(A95:S95)=19,"PASS","CHECK")</x:f>
        <x:v>PASS</x:v>
      </x:c>
      <x:c r="Z95" s="278" t="n">
        <x:f>IF(COUNTIF($A$6:$A$105,A95)&gt;1,1,0)</x:f>
        <x:v>0</x:v>
      </x:c>
    </x:row>
    <x:row r="96" ht="15" hidden="0">
      <x:c r="A96" s="83" t="s">
        <x:v>146</x:v>
      </x:c>
      <x:c r="B96" s="83" t="s">
        <x:v>147</x:v>
      </x:c>
      <x:c r="C96" s="83" t="s">
        <x:v>66</x:v>
      </x:c>
      <x:c r="D96" s="83" t="s">
        <x:v>533</x:v>
      </x:c>
      <x:c r="E96" s="83" t="s">
        <x:v>111</x:v>
      </x:c>
      <x:c r="F96" s="83" t="s">
        <x:v>116</x:v>
      </x:c>
      <x:c r="G96" s="83" t="s">
        <x:v>80</x:v>
      </x:c>
      <x:c r="H96" s="84" t="n">
        <x:v>68.6</x:v>
      </x:c>
      <x:c r="I96" s="85" t="n">
        <x:v>46294</x:v>
      </x:c>
      <x:c r="J96" s="85" t="n">
        <x:v>46401</x:v>
      </x:c>
      <x:c r="K96" s="84" t="n">
        <x:v>132.9</x:v>
      </x:c>
      <x:c r="L96" s="84" t="n">
        <x:v>30.1</x:v>
      </x:c>
      <x:c r="M96" s="84" t="n">
        <x:v>46.7</x:v>
      </x:c>
      <x:c r="N96" s="83" t="n">
        <x:v>33</x:v>
      </x:c>
      <x:c r="O96" s="86" t="n">
        <x:v>0.954736061523006</x:v>
      </x:c>
      <x:c r="P96" s="87" t="n">
        <x:v>76</x:v>
      </x:c>
      <x:c r="Q96" s="83" t="n">
        <x:v>72</x:v>
      </x:c>
      <x:c r="R96" s="83" t="s">
        <x:v>528</x:v>
      </x:c>
      <x:c r="S96" s="86" t="n">
        <x:v>0.226546965891051</x:v>
      </x:c>
      <x:c r="T96" s="88" t="n">
        <x:f aca="0">IFERROR(AVERAGEIF('11_Task_Data'!$A$6:$A$605,A96,'11_Task_Data'!$I$6:$I$605),0)</x:f>
        <x:v>28.166666666666668</x:v>
      </x:c>
      <x:c r="U96" s="89" t="n">
        <x:f aca="0">COUNTIFS('11_Task_Data'!$A$6:$A$605,A96,'11_Task_Data'!$J$6:$J$605,"Blocked")+COUNTIFS('11_Task_Data'!$A$6:$A$605,A96,'11_Task_Data'!$K$6:$K$605,"&lt;&gt;"&amp;"")</x:f>
        <x:v>6</x:v>
      </x:c>
      <x:c r="V96" s="89" t="n">
        <x:f aca="0">COUNTIFS('11_Task_Data'!$A$6:$A$605,A96,'11_Task_Data'!$L$6:$L$605,"YES")</x:f>
        <x:v>3</x:v>
      </x:c>
      <x:c r="W96" s="89" t="n">
        <x:v>19</x:v>
      </x:c>
      <x:c r="X96" s="90" t="s">
        <x:v>65</x:v>
      </x:c>
      <x:c r="Y96" s="89" t="str">
        <x:f aca="0">IF(COUNTA(A96:S96)=19,"PASS","CHECK")</x:f>
        <x:v>PASS</x:v>
      </x:c>
      <x:c r="Z96" s="278" t="n">
        <x:f>IF(COUNTIF($A$6:$A$105,A96)&gt;1,1,0)</x:f>
        <x:v>0</x:v>
      </x:c>
    </x:row>
    <x:row r="97" ht="15" hidden="0">
      <x:c r="A97" s="83" t="s">
        <x:v>232</x:v>
      </x:c>
      <x:c r="B97" s="83" t="s">
        <x:v>233</x:v>
      </x:c>
      <x:c r="C97" s="83" t="s">
        <x:v>66</x:v>
      </x:c>
      <x:c r="D97" s="83" t="s">
        <x:v>535</x:v>
      </x:c>
      <x:c r="E97" s="83" t="s">
        <x:v>108</x:v>
      </x:c>
      <x:c r="F97" s="83" t="s">
        <x:v>116</x:v>
      </x:c>
      <x:c r="G97" s="83" t="s">
        <x:v>80</x:v>
      </x:c>
      <x:c r="H97" s="84" t="n">
        <x:v>97.7</x:v>
      </x:c>
      <x:c r="I97" s="85" t="n">
        <x:v>46295</x:v>
      </x:c>
      <x:c r="J97" s="85" t="n">
        <x:v>46373</x:v>
      </x:c>
      <x:c r="K97" s="84" t="n">
        <x:v>189.6</x:v>
      </x:c>
      <x:c r="L97" s="84" t="n">
        <x:v>33.4</x:v>
      </x:c>
      <x:c r="M97" s="84" t="n">
        <x:v>6</x:v>
      </x:c>
      <x:c r="N97" s="83" t="n">
        <x:v>14</x:v>
      </x:c>
      <x:c r="O97" s="86" t="n">
        <x:v>1.06268901699386</x:v>
      </x:c>
      <x:c r="P97" s="87" t="n">
        <x:v>28</x:v>
      </x:c>
      <x:c r="Q97" s="83" t="n">
        <x:v>61</x:v>
      </x:c>
      <x:c r="R97" s="83" t="s">
        <x:v>528</x:v>
      </x:c>
      <x:c r="S97" s="86" t="n">
        <x:v>0.175966881147447</x:v>
      </x:c>
      <x:c r="T97" s="88" t="n">
        <x:f aca="0">IFERROR(AVERAGEIF('11_Task_Data'!$A$6:$A$605,A97,'11_Task_Data'!$I$6:$I$605),0)</x:f>
        <x:v>78.66666666666667</x:v>
      </x:c>
      <x:c r="U97" s="89" t="n">
        <x:f aca="0">COUNTIFS('11_Task_Data'!$A$6:$A$605,A97,'11_Task_Data'!$J$6:$J$605,"Blocked")+COUNTIFS('11_Task_Data'!$A$6:$A$605,A97,'11_Task_Data'!$K$6:$K$605,"&lt;&gt;"&amp;"")</x:f>
        <x:v>1</x:v>
      </x:c>
      <x:c r="V97" s="89" t="n">
        <x:f aca="0">COUNTIFS('11_Task_Data'!$A$6:$A$605,A97,'11_Task_Data'!$L$6:$L$605,"YES")</x:f>
        <x:v>0</x:v>
      </x:c>
      <x:c r="W97" s="89" t="n">
        <x:v>4</x:v>
      </x:c>
      <x:c r="X97" s="90" t="s">
        <x:v>65</x:v>
      </x:c>
      <x:c r="Y97" s="89" t="str">
        <x:f aca="0">IF(COUNTA(A97:S97)=19,"PASS","CHECK")</x:f>
        <x:v>PASS</x:v>
      </x:c>
      <x:c r="Z97" s="278" t="n">
        <x:f>IF(COUNTIF($A$6:$A$105,A97)&gt;1,1,0)</x:f>
        <x:v>0</x:v>
      </x:c>
    </x:row>
    <x:row r="98" ht="15" hidden="0">
      <x:c r="A98" s="83" t="s">
        <x:v>198</x:v>
      </x:c>
      <x:c r="B98" s="83" t="s">
        <x:v>199</x:v>
      </x:c>
      <x:c r="C98" s="83" t="s">
        <x:v>66</x:v>
      </x:c>
      <x:c r="D98" s="83" t="s">
        <x:v>535</x:v>
      </x:c>
      <x:c r="E98" s="83" t="s">
        <x:v>111</x:v>
      </x:c>
      <x:c r="F98" s="83" t="s">
        <x:v>116</x:v>
      </x:c>
      <x:c r="G98" s="83" t="s">
        <x:v>97</x:v>
      </x:c>
      <x:c r="H98" s="84" t="n">
        <x:v>178.7</x:v>
      </x:c>
      <x:c r="I98" s="85" t="n">
        <x:v>46296</x:v>
      </x:c>
      <x:c r="J98" s="85" t="n">
        <x:v>46357</x:v>
      </x:c>
      <x:c r="K98" s="84" t="n">
        <x:v>298</x:v>
      </x:c>
      <x:c r="L98" s="84" t="n">
        <x:v>37.7</x:v>
      </x:c>
      <x:c r="M98" s="84" t="n">
        <x:v>30.9</x:v>
      </x:c>
      <x:c r="N98" s="83" t="n">
        <x:v>10</x:v>
      </x:c>
      <x:c r="O98" s="86" t="n">
        <x:v>0.850917328446572</x:v>
      </x:c>
      <x:c r="P98" s="87" t="n">
        <x:v>46</x:v>
      </x:c>
      <x:c r="Q98" s="83" t="n">
        <x:v>58</x:v>
      </x:c>
      <x:c r="R98" s="83" t="s">
        <x:v>534</x:v>
      </x:c>
      <x:c r="S98" s="86" t="n">
        <x:v>0.126594925549691</x:v>
      </x:c>
      <x:c r="T98" s="88" t="n">
        <x:f aca="0">IFERROR(AVERAGEIF('11_Task_Data'!$A$6:$A$605,A98,'11_Task_Data'!$I$6:$I$605),0)</x:f>
        <x:v>30.833333333333332</x:v>
      </x:c>
      <x:c r="U98" s="89" t="n">
        <x:f aca="0">COUNTIFS('11_Task_Data'!$A$6:$A$605,A98,'11_Task_Data'!$J$6:$J$605,"Blocked")+COUNTIFS('11_Task_Data'!$A$6:$A$605,A98,'11_Task_Data'!$K$6:$K$605,"&lt;&gt;"&amp;"")</x:f>
        <x:v>1</x:v>
      </x:c>
      <x:c r="V98" s="89" t="n">
        <x:f aca="0">COUNTIFS('11_Task_Data'!$A$6:$A$605,A98,'11_Task_Data'!$L$6:$L$605,"YES")</x:f>
        <x:v>0</x:v>
      </x:c>
      <x:c r="W98" s="89" t="n">
        <x:v>14</x:v>
      </x:c>
      <x:c r="X98" s="90" t="s">
        <x:v>65</x:v>
      </x:c>
      <x:c r="Y98" s="89" t="str">
        <x:f aca="0">IF(COUNTA(A98:S98)=19,"PASS","CHECK")</x:f>
        <x:v>PASS</x:v>
      </x:c>
      <x:c r="Z98" s="278" t="n">
        <x:f>IF(COUNTIF($A$6:$A$105,A98)&gt;1,1,0)</x:f>
        <x:v>0</x:v>
      </x:c>
    </x:row>
    <x:row r="99" ht="15" hidden="0">
      <x:c r="A99" s="83" t="s">
        <x:v>308</x:v>
      </x:c>
      <x:c r="B99" s="83" t="s">
        <x:v>309</x:v>
      </x:c>
      <x:c r="C99" s="83" t="s">
        <x:v>68</x:v>
      </x:c>
      <x:c r="D99" s="83" t="s">
        <x:v>531</x:v>
      </x:c>
      <x:c r="E99" s="83" t="s">
        <x:v>114</x:v>
      </x:c>
      <x:c r="F99" s="83" t="s">
        <x:v>110</x:v>
      </x:c>
      <x:c r="G99" s="83" t="s">
        <x:v>97</x:v>
      </x:c>
      <x:c r="H99" s="84" t="n">
        <x:v>66.2</x:v>
      </x:c>
      <x:c r="I99" s="85" t="n">
        <x:v>46297</x:v>
      </x:c>
      <x:c r="J99" s="85" t="n">
        <x:v>46451</x:v>
      </x:c>
      <x:c r="K99" s="84" t="n">
        <x:v>105.1</x:v>
      </x:c>
      <x:c r="L99" s="84" t="n">
        <x:v>15.5</x:v>
      </x:c>
      <x:c r="M99" s="84" t="n">
        <x:v>63.4</x:v>
      </x:c>
      <x:c r="N99" s="83" t="n">
        <x:v>31</x:v>
      </x:c>
      <x:c r="O99" s="86" t="n">
        <x:v>0.804530713401078</x:v>
      </x:c>
      <x:c r="P99" s="87" t="n">
        <x:v>12</x:v>
      </x:c>
      <x:c r="Q99" s="83" t="n">
        <x:v>97</x:v>
      </x:c>
      <x:c r="R99" s="83" t="s">
        <x:v>534</x:v>
      </x:c>
      <x:c r="S99" s="86" t="n">
        <x:v>0.147841923541798</x:v>
      </x:c>
      <x:c r="T99" s="88" t="n">
        <x:f aca="0">IFERROR(AVERAGEIF('11_Task_Data'!$A$6:$A$605,A99,'11_Task_Data'!$I$6:$I$605),0)</x:f>
        <x:v>85.33333333333333</x:v>
      </x:c>
      <x:c r="U99" s="89" t="n">
        <x:f aca="0">COUNTIFS('11_Task_Data'!$A$6:$A$605,A99,'11_Task_Data'!$J$6:$J$605,"Blocked")+COUNTIFS('11_Task_Data'!$A$6:$A$605,A99,'11_Task_Data'!$K$6:$K$605,"&lt;&gt;"&amp;"")</x:f>
        <x:v>2</x:v>
      </x:c>
      <x:c r="V99" s="89" t="n">
        <x:f aca="0">COUNTIFS('11_Task_Data'!$A$6:$A$605,A99,'11_Task_Data'!$L$6:$L$605,"YES")</x:f>
        <x:v>0</x:v>
      </x:c>
      <x:c r="W99" s="89" t="n">
        <x:v>6</x:v>
      </x:c>
      <x:c r="X99" s="90" t="s">
        <x:v>63</x:v>
      </x:c>
      <x:c r="Y99" s="89" t="str">
        <x:f aca="0">IF(COUNTA(A99:S99)=19,"PASS","CHECK")</x:f>
        <x:v>PASS</x:v>
      </x:c>
      <x:c r="Z99" s="278" t="n">
        <x:f>IF(COUNTIF($A$6:$A$105,A99)&gt;1,1,0)</x:f>
        <x:v>0</x:v>
      </x:c>
    </x:row>
    <x:row r="100" ht="15" hidden="0">
      <x:c r="A100" s="83" t="s">
        <x:v>258</x:v>
      </x:c>
      <x:c r="B100" s="83" t="s">
        <x:v>259</x:v>
      </x:c>
      <x:c r="C100" s="83" t="s">
        <x:v>68</x:v>
      </x:c>
      <x:c r="D100" s="83" t="s">
        <x:v>535</x:v>
      </x:c>
      <x:c r="E100" s="83" t="s">
        <x:v>108</x:v>
      </x:c>
      <x:c r="F100" s="83" t="s">
        <x:v>118</x:v>
      </x:c>
      <x:c r="G100" s="83" t="s">
        <x:v>193</x:v>
      </x:c>
      <x:c r="H100" s="84" t="n">
        <x:v>60.8</x:v>
      </x:c>
      <x:c r="I100" s="85" t="n">
        <x:v>46298</x:v>
      </x:c>
      <x:c r="J100" s="85" t="n">
        <x:v>46440</x:v>
      </x:c>
      <x:c r="K100" s="84" t="n">
        <x:v>129.2</x:v>
      </x:c>
      <x:c r="L100" s="84" t="n">
        <x:v>21.3</x:v>
      </x:c>
      <x:c r="M100" s="84" t="n">
        <x:v>27.7</x:v>
      </x:c>
      <x:c r="N100" s="83" t="n">
        <x:v>33</x:v>
      </x:c>
      <x:c r="O100" s="86" t="n">
        <x:v>0.688236669389372</x:v>
      </x:c>
      <x:c r="P100" s="87" t="n">
        <x:v>42</x:v>
      </x:c>
      <x:c r="Q100" s="83" t="n">
        <x:v>80</x:v>
      </x:c>
      <x:c r="R100" s="83" t="s">
        <x:v>534</x:v>
      </x:c>
      <x:c r="S100" s="86" t="n">
        <x:v>0.164916367430224</x:v>
      </x:c>
      <x:c r="T100" s="88" t="n">
        <x:f aca="0">IFERROR(AVERAGEIF('11_Task_Data'!$A$6:$A$605,A100,'11_Task_Data'!$I$6:$I$605),0)</x:f>
        <x:v>88.5</x:v>
      </x:c>
      <x:c r="U100" s="89" t="n">
        <x:f aca="0">COUNTIFS('11_Task_Data'!$A$6:$A$605,A100,'11_Task_Data'!$J$6:$J$605,"Blocked")+COUNTIFS('11_Task_Data'!$A$6:$A$605,A100,'11_Task_Data'!$K$6:$K$605,"&lt;&gt;"&amp;"")</x:f>
        <x:v>3</x:v>
      </x:c>
      <x:c r="V100" s="89" t="n">
        <x:f aca="0">COUNTIFS('11_Task_Data'!$A$6:$A$605,A100,'11_Task_Data'!$L$6:$L$605,"YES")</x:f>
        <x:v>0</x:v>
      </x:c>
      <x:c r="W100" s="89" t="n">
        <x:v>2</x:v>
      </x:c>
      <x:c r="X100" s="90" t="s">
        <x:v>61</x:v>
      </x:c>
      <x:c r="Y100" s="89" t="str">
        <x:f aca="0">IF(COUNTA(A100:S100)=19,"PASS","CHECK")</x:f>
        <x:v>PASS</x:v>
      </x:c>
      <x:c r="Z100" s="278" t="n">
        <x:f>IF(COUNTIF($A$6:$A$105,A100)&gt;1,1,0)</x:f>
        <x:v>0</x:v>
      </x:c>
    </x:row>
    <x:row r="101" ht="15" hidden="0">
      <x:c r="A101" s="83" t="s">
        <x:v>135</x:v>
      </x:c>
      <x:c r="B101" s="83" t="s">
        <x:v>136</x:v>
      </x:c>
      <x:c r="C101" s="83" t="s">
        <x:v>67</x:v>
      </x:c>
      <x:c r="D101" s="83" t="s">
        <x:v>531</x:v>
      </x:c>
      <x:c r="E101" s="83" t="s">
        <x:v>108</x:v>
      </x:c>
      <x:c r="F101" s="83" t="s">
        <x:v>118</x:v>
      </x:c>
      <x:c r="G101" s="83" t="s">
        <x:v>80</x:v>
      </x:c>
      <x:c r="H101" s="84" t="n">
        <x:v>60.7</x:v>
      </x:c>
      <x:c r="I101" s="85" t="n">
        <x:v>46299</x:v>
      </x:c>
      <x:c r="J101" s="85" t="n">
        <x:v>46376</x:v>
      </x:c>
      <x:c r="K101" s="84" t="n">
        <x:v>113.4</x:v>
      </x:c>
      <x:c r="L101" s="84" t="n">
        <x:v>26.9</x:v>
      </x:c>
      <x:c r="M101" s="84" t="n">
        <x:v>10.3</x:v>
      </x:c>
      <x:c r="N101" s="83" t="n">
        <x:v>33</x:v>
      </x:c>
      <x:c r="O101" s="86" t="n">
        <x:v>0.694647104218524</x:v>
      </x:c>
      <x:c r="P101" s="87" t="n">
        <x:v>79</x:v>
      </x:c>
      <x:c r="Q101" s="83" t="n">
        <x:v>76</x:v>
      </x:c>
      <x:c r="R101" s="83" t="s">
        <x:v>528</x:v>
      </x:c>
      <x:c r="S101" s="86" t="n">
        <x:v>0.236939444267889</x:v>
      </x:c>
      <x:c r="T101" s="88" t="n">
        <x:f aca="0">IFERROR(AVERAGEIF('11_Task_Data'!$A$6:$A$605,A101,'11_Task_Data'!$I$6:$I$605),0)</x:f>
        <x:v>28</x:v>
      </x:c>
      <x:c r="U101" s="89" t="n">
        <x:f aca="0">COUNTIFS('11_Task_Data'!$A$6:$A$605,A101,'11_Task_Data'!$J$6:$J$605,"Blocked")+COUNTIFS('11_Task_Data'!$A$6:$A$605,A101,'11_Task_Data'!$K$6:$K$605,"&lt;&gt;"&amp;"")</x:f>
        <x:v>6</x:v>
      </x:c>
      <x:c r="V101" s="89" t="n">
        <x:f aca="0">COUNTIFS('11_Task_Data'!$A$6:$A$605,A101,'11_Task_Data'!$L$6:$L$605,"YES")</x:f>
        <x:v>3</x:v>
      </x:c>
      <x:c r="W101" s="89" t="n">
        <x:v>19</x:v>
      </x:c>
      <x:c r="X101" s="90" t="s">
        <x:v>65</x:v>
      </x:c>
      <x:c r="Y101" s="89" t="str">
        <x:f aca="0">IF(COUNTA(A101:S101)=19,"PASS","CHECK")</x:f>
        <x:v>PASS</x:v>
      </x:c>
      <x:c r="Z101" s="278" t="n">
        <x:f>IF(COUNTIF($A$6:$A$105,A101)&gt;1,1,0)</x:f>
        <x:v>0</x:v>
      </x:c>
    </x:row>
    <x:row r="102" ht="15" hidden="0">
      <x:c r="A102" s="83" t="s">
        <x:v>177</x:v>
      </x:c>
      <x:c r="B102" s="83" t="s">
        <x:v>178</x:v>
      </x:c>
      <x:c r="C102" s="83" t="s">
        <x:v>70</x:v>
      </x:c>
      <x:c r="D102" s="83" t="s">
        <x:v>531</x:v>
      </x:c>
      <x:c r="E102" s="83" t="s">
        <x:v>114</x:v>
      </x:c>
      <x:c r="F102" s="83" t="s">
        <x:v>116</x:v>
      </x:c>
      <x:c r="G102" s="83" t="s">
        <x:v>84</x:v>
      </x:c>
      <x:c r="H102" s="84" t="n">
        <x:v>120</x:v>
      </x:c>
      <x:c r="I102" s="85" t="n">
        <x:v>46300</x:v>
      </x:c>
      <x:c r="J102" s="85" t="n">
        <x:v>46394</x:v>
      </x:c>
      <x:c r="K102" s="84" t="n">
        <x:v>168.8</x:v>
      </x:c>
      <x:c r="L102" s="84" t="n">
        <x:v>39.6</x:v>
      </x:c>
      <x:c r="M102" s="84" t="n">
        <x:v>25.9</x:v>
      </x:c>
      <x:c r="N102" s="83" t="n">
        <x:v>27</x:v>
      </x:c>
      <x:c r="O102" s="86" t="n">
        <x:v>1.05669140007403</x:v>
      </x:c>
      <x:c r="P102" s="87" t="n">
        <x:v>57</x:v>
      </x:c>
      <x:c r="Q102" s="83" t="n">
        <x:v>55</x:v>
      </x:c>
      <x:c r="R102" s="83" t="s">
        <x:v>534</x:v>
      </x:c>
      <x:c r="S102" s="86" t="n">
        <x:v>0.234690323478229</x:v>
      </x:c>
      <x:c r="T102" s="88" t="n">
        <x:f aca="0">IFERROR(AVERAGEIF('11_Task_Data'!$A$6:$A$605,A102,'11_Task_Data'!$I$6:$I$605),0)</x:f>
        <x:v>45</x:v>
      </x:c>
      <x:c r="U102" s="89" t="n">
        <x:f aca="0">COUNTIFS('11_Task_Data'!$A$6:$A$605,A102,'11_Task_Data'!$J$6:$J$605,"Blocked")+COUNTIFS('11_Task_Data'!$A$6:$A$605,A102,'11_Task_Data'!$K$6:$K$605,"&lt;&gt;"&amp;"")</x:f>
        <x:v>1</x:v>
      </x:c>
      <x:c r="V102" s="89" t="n">
        <x:f aca="0">COUNTIFS('11_Task_Data'!$A$6:$A$605,A102,'11_Task_Data'!$L$6:$L$605,"YES")</x:f>
        <x:v>0</x:v>
      </x:c>
      <x:c r="W102" s="89" t="n">
        <x:v>11</x:v>
      </x:c>
      <x:c r="X102" s="90" t="s">
        <x:v>65</x:v>
      </x:c>
      <x:c r="Y102" s="89" t="str">
        <x:f aca="0">IF(COUNTA(A102:S102)=19,"PASS","CHECK")</x:f>
        <x:v>PASS</x:v>
      </x:c>
      <x:c r="Z102" s="278" t="n">
        <x:f>IF(COUNTIF($A$6:$A$105,A102)&gt;1,1,0)</x:f>
        <x:v>0</x:v>
      </x:c>
    </x:row>
    <x:row r="103" ht="15" hidden="0">
      <x:c r="A103" s="83" t="s">
        <x:v>148</x:v>
      </x:c>
      <x:c r="B103" s="83" t="s">
        <x:v>149</x:v>
      </x:c>
      <x:c r="C103" s="83" t="s">
        <x:v>71</x:v>
      </x:c>
      <x:c r="D103" s="83" t="s">
        <x:v>528</x:v>
      </x:c>
      <x:c r="E103" s="83" t="s">
        <x:v>108</x:v>
      </x:c>
      <x:c r="F103" s="83" t="s">
        <x:v>118</x:v>
      </x:c>
      <x:c r="G103" s="83" t="s">
        <x:v>80</x:v>
      </x:c>
      <x:c r="H103" s="84" t="n">
        <x:v>76.9</x:v>
      </x:c>
      <x:c r="I103" s="85" t="n">
        <x:v>46301</x:v>
      </x:c>
      <x:c r="J103" s="85" t="n">
        <x:v>46366</x:v>
      </x:c>
      <x:c r="K103" s="84" t="n">
        <x:v>175.8</x:v>
      </x:c>
      <x:c r="L103" s="84" t="n">
        <x:v>23.4</x:v>
      </x:c>
      <x:c r="M103" s="84" t="n">
        <x:v>6.2</x:v>
      </x:c>
      <x:c r="N103" s="83" t="n">
        <x:v>38</x:v>
      </x:c>
      <x:c r="O103" s="86" t="n">
        <x:v>0.791828460413329</x:v>
      </x:c>
      <x:c r="P103" s="87" t="n">
        <x:v>76</x:v>
      </x:c>
      <x:c r="Q103" s="83" t="n">
        <x:v>69</x:v>
      </x:c>
      <x:c r="R103" s="83" t="s">
        <x:v>532</x:v>
      </x:c>
      <x:c r="S103" s="86" t="n">
        <x:v>0.13311500591948</x:v>
      </x:c>
      <x:c r="T103" s="88" t="n">
        <x:f aca="0">IFERROR(AVERAGEIF('11_Task_Data'!$A$6:$A$605,A103,'11_Task_Data'!$I$6:$I$605),0)</x:f>
        <x:v>94.83333333333333</x:v>
      </x:c>
      <x:c r="U103" s="89" t="n">
        <x:f aca="0">COUNTIFS('11_Task_Data'!$A$6:$A$605,A103,'11_Task_Data'!$J$6:$J$605,"Blocked")+COUNTIFS('11_Task_Data'!$A$6:$A$605,A103,'11_Task_Data'!$K$6:$K$605,"&lt;&gt;"&amp;"")</x:f>
        <x:v>0</x:v>
      </x:c>
      <x:c r="V103" s="89" t="n">
        <x:f aca="0">COUNTIFS('11_Task_Data'!$A$6:$A$605,A103,'11_Task_Data'!$L$6:$L$605,"YES")</x:f>
        <x:v>0</x:v>
      </x:c>
      <x:c r="W103" s="89" t="n">
        <x:v>1</x:v>
      </x:c>
      <x:c r="X103" s="90" t="s">
        <x:v>65</x:v>
      </x:c>
      <x:c r="Y103" s="89" t="str">
        <x:f aca="0">IF(COUNTA(A103:S103)=19,"PASS","CHECK")</x:f>
        <x:v>PASS</x:v>
      </x:c>
      <x:c r="Z103" s="278" t="n">
        <x:f>IF(COUNTIF($A$6:$A$105,A103)&gt;1,1,0)</x:f>
        <x:v>0</x:v>
      </x:c>
    </x:row>
    <x:row r="104" ht="15" hidden="0">
      <x:c r="A104" s="83" t="s">
        <x:v>256</x:v>
      </x:c>
      <x:c r="B104" s="83" t="s">
        <x:v>257</x:v>
      </x:c>
      <x:c r="C104" s="83" t="s">
        <x:v>71</x:v>
      </x:c>
      <x:c r="D104" s="83" t="s">
        <x:v>528</x:v>
      </x:c>
      <x:c r="E104" s="83" t="s">
        <x:v>108</x:v>
      </x:c>
      <x:c r="F104" s="83" t="s">
        <x:v>107</x:v>
      </x:c>
      <x:c r="G104" s="83" t="s">
        <x:v>86</x:v>
      </x:c>
      <x:c r="H104" s="84" t="n">
        <x:v>105.6</x:v>
      </x:c>
      <x:c r="I104" s="85" t="n">
        <x:v>46302</x:v>
      </x:c>
      <x:c r="J104" s="85" t="n">
        <x:v>46375</x:v>
      </x:c>
      <x:c r="K104" s="84" t="n">
        <x:v>167.9</x:v>
      </x:c>
      <x:c r="L104" s="84" t="n">
        <x:v>49.2</x:v>
      </x:c>
      <x:c r="M104" s="84" t="n">
        <x:v>11</x:v>
      </x:c>
      <x:c r="N104" s="83" t="n">
        <x:v>35</x:v>
      </x:c>
      <x:c r="O104" s="86" t="n">
        <x:v>1.03251822844425</x:v>
      </x:c>
      <x:c r="P104" s="87" t="n">
        <x:v>12</x:v>
      </x:c>
      <x:c r="Q104" s="83" t="n">
        <x:v>75</x:v>
      </x:c>
      <x:c r="R104" s="83" t="s">
        <x:v>528</x:v>
      </x:c>
      <x:c r="S104" s="86" t="n">
        <x:v>0.293272209672694</x:v>
      </x:c>
      <x:c r="T104" s="88" t="n">
        <x:f aca="0">IFERROR(AVERAGEIF('11_Task_Data'!$A$6:$A$605,A104,'11_Task_Data'!$I$6:$I$605),0)</x:f>
        <x:v>28.833333333333332</x:v>
      </x:c>
      <x:c r="U104" s="89" t="n">
        <x:f aca="0">COUNTIFS('11_Task_Data'!$A$6:$A$605,A104,'11_Task_Data'!$J$6:$J$605,"Blocked")+COUNTIFS('11_Task_Data'!$A$6:$A$605,A104,'11_Task_Data'!$K$6:$K$605,"&lt;&gt;"&amp;"")</x:f>
        <x:v>2</x:v>
      </x:c>
      <x:c r="V104" s="89" t="n">
        <x:f aca="0">COUNTIFS('11_Task_Data'!$A$6:$A$605,A104,'11_Task_Data'!$L$6:$L$605,"YES")</x:f>
        <x:v>0</x:v>
      </x:c>
      <x:c r="W104" s="89" t="n">
        <x:v>14</x:v>
      </x:c>
      <x:c r="X104" s="90" t="s">
        <x:v>65</x:v>
      </x:c>
      <x:c r="Y104" s="89" t="str">
        <x:f aca="0">IF(COUNTA(A104:S104)=19,"PASS","CHECK")</x:f>
        <x:v>PASS</x:v>
      </x:c>
      <x:c r="Z104" s="278" t="n">
        <x:f>IF(COUNTIF($A$6:$A$105,A104)&gt;1,1,0)</x:f>
        <x:v>0</x:v>
      </x:c>
    </x:row>
    <x:row r="105" ht="15" hidden="0">
      <x:c r="A105" s="83" t="s">
        <x:v>250</x:v>
      </x:c>
      <x:c r="B105" s="83" t="s">
        <x:v>251</x:v>
      </x:c>
      <x:c r="C105" s="83" t="s">
        <x:v>68</x:v>
      </x:c>
      <x:c r="D105" s="83" t="s">
        <x:v>105</x:v>
      </x:c>
      <x:c r="E105" s="83" t="s">
        <x:v>114</x:v>
      </x:c>
      <x:c r="F105" s="83" t="s">
        <x:v>113</x:v>
      </x:c>
      <x:c r="G105" s="83" t="s">
        <x:v>80</x:v>
      </x:c>
      <x:c r="H105" s="84" t="n">
        <x:v>51.8</x:v>
      </x:c>
      <x:c r="I105" s="85" t="n">
        <x:v>46303</x:v>
      </x:c>
      <x:c r="J105" s="85" t="n">
        <x:v>46379</x:v>
      </x:c>
      <x:c r="K105" s="84" t="n">
        <x:v>101.5</x:v>
      </x:c>
      <x:c r="L105" s="84" t="n">
        <x:v>30</x:v>
      </x:c>
      <x:c r="M105" s="84" t="n">
        <x:v>60.6</x:v>
      </x:c>
      <x:c r="N105" s="83" t="n">
        <x:v>17</x:v>
      </x:c>
      <x:c r="O105" s="86" t="n">
        <x:v>0.748688370491771</x:v>
      </x:c>
      <x:c r="P105" s="87" t="n">
        <x:v>16</x:v>
      </x:c>
      <x:c r="Q105" s="83" t="n">
        <x:v>62</x:v>
      </x:c>
      <x:c r="R105" s="83" t="s">
        <x:v>530</x:v>
      </x:c>
      <x:c r="S105" s="86" t="n">
        <x:v>0.295502378479781</x:v>
      </x:c>
      <x:c r="T105" s="88" t="n">
        <x:f aca="0">IFERROR(AVERAGEIF('11_Task_Data'!$A$6:$A$605,A105,'11_Task_Data'!$I$6:$I$605),0)</x:f>
        <x:v>67.83333333333333</x:v>
      </x:c>
      <x:c r="U105" s="89" t="n">
        <x:f aca="0">COUNTIFS('11_Task_Data'!$A$6:$A$605,A105,'11_Task_Data'!$J$6:$J$605,"Blocked")+COUNTIFS('11_Task_Data'!$A$6:$A$605,A105,'11_Task_Data'!$K$6:$K$605,"&lt;&gt;"&amp;"")</x:f>
        <x:v>3</x:v>
      </x:c>
      <x:c r="V105" s="89" t="n">
        <x:f aca="0">COUNTIFS('11_Task_Data'!$A$6:$A$605,A105,'11_Task_Data'!$L$6:$L$605,"YES")</x:f>
        <x:v>0</x:v>
      </x:c>
      <x:c r="W105" s="89" t="n">
        <x:v>6</x:v>
      </x:c>
      <x:c r="X105" s="90" t="s">
        <x:v>65</x:v>
      </x:c>
      <x:c r="Y105" s="89" t="str">
        <x:f aca="0">IF(COUNTA(A105:S105)=19,"PASS","CHECK")</x:f>
        <x:v>PASS</x:v>
      </x:c>
      <x:c r="Z105" s="278" t="n">
        <x:f>IF(COUNTIF($A$6:$A$105,A105)&gt;1,1,0)</x:f>
        <x:v>0</x:v>
      </x:c>
    </x:row>
  </x:sheetData>
  <x:mergeCells>
    <x:mergeCell ref="A1:Y1"/>
    <x:mergeCell ref="A2:Y2"/>
  </x:mergeCells>
  <x:conditionalFormatting sqref="X6:X105">
    <x:cfRule type="expression" dxfId="12" priority="2" aboveAverage="0" percent="0" bottom="0" rank="0" equalAverage="0">
      <x:formula>X6="GREEN"</x:formula>
    </x:cfRule>
    <x:cfRule type="expression" dxfId="13" priority="3" aboveAverage="0" percent="0" bottom="0" rank="0" equalAverage="0">
      <x:formula>X6="AMBER"</x:formula>
    </x:cfRule>
    <x:cfRule type="expression" dxfId="14" priority="4" aboveAverage="0" percent="0" bottom="0" rank="0" equalAverage="0">
      <x:formula>X6="RED"</x:formula>
    </x:cfRule>
  </x:conditionalFormatting>
  <x:hyperlinks>
    <x:hyperlink xmlns:r="http://schemas.openxmlformats.org/officeDocument/2006/relationships" ref="A4" r:id="R7f228b48a973404d"/>
    <x:hyperlink xmlns:r="http://schemas.openxmlformats.org/officeDocument/2006/relationships" ref="B4" r:id="R33cd7bb6c72f4d3c"/>
    <x:hyperlink xmlns:r="http://schemas.openxmlformats.org/officeDocument/2006/relationships" ref="C4" r:id="Rdd096419e3424416"/>
    <x:hyperlink xmlns:r="http://schemas.openxmlformats.org/officeDocument/2006/relationships" ref="D4" r:id="R731693e6c6a74537"/>
    <x:hyperlink xmlns:r="http://schemas.openxmlformats.org/officeDocument/2006/relationships" ref="E4" r:id="R5f409fa4ac404b0e"/>
    <x:hyperlink xmlns:r="http://schemas.openxmlformats.org/officeDocument/2006/relationships" ref="F4" r:id="Rc78efddbe2c44950"/>
    <x:hyperlink xmlns:r="http://schemas.openxmlformats.org/officeDocument/2006/relationships" ref="G4" r:id="R0c8a5b664ba04836"/>
    <x:hyperlink xmlns:r="http://schemas.openxmlformats.org/officeDocument/2006/relationships" ref="H4" r:id="Rbd0882b8d5264db2"/>
    <x:hyperlink xmlns:r="http://schemas.openxmlformats.org/officeDocument/2006/relationships" ref="I4" r:id="R3d0c6c421aac46ce"/>
    <x:hyperlink xmlns:r="http://schemas.openxmlformats.org/officeDocument/2006/relationships" ref="J4" r:id="Ra33ffc4f283e4157"/>
    <x:hyperlink xmlns:r="http://schemas.openxmlformats.org/officeDocument/2006/relationships" ref="K4" r:id="Rd0fc283798f44bce"/>
    <x:hyperlink xmlns:r="http://schemas.openxmlformats.org/officeDocument/2006/relationships" ref="L4" r:id="R338831ecc86049f6"/>
    <x:hyperlink xmlns:r="http://schemas.openxmlformats.org/officeDocument/2006/relationships" ref="M4" r:id="R5701d4efcb564bb8"/>
  </x:hyperlinks>
  <x:pageMargins left="0.7" right="0.7" top="0.75" bottom="0.75" header="0.3" footer="0.3"/>
  <x:drawing xmlns:r="http://schemas.openxmlformats.org/officeDocument/2006/relationships" r:id="Ra07c6b295cde4f32"/>
  <x:tableParts count="1">
    <x:tablePart xmlns:r="http://schemas.openxmlformats.org/officeDocument/2006/relationships" r:id="R4b53befa13584a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hidden="0" customWidth="1"/>
    <x:col min="2" max="2" width="12" hidden="0" customWidth="1"/>
    <x:col min="3" max="3" width="30" hidden="0" customWidth="1"/>
    <x:col min="4" max="5" width="15" hidden="0" customWidth="1"/>
    <x:col min="6" max="9" width="12" hidden="0" customWidth="1"/>
    <x:col min="10" max="10" width="14" hidden="0" customWidth="1"/>
    <x:col min="11" max="11" width="24" hidden="0" customWidth="1"/>
    <x:col min="12" max="14" width="12" hidden="0" customWidth="1"/>
    <x:col min="15" max="15" width="13" hidden="0" customWidth="1"/>
    <x:col min="16" max="16" width="16" hidden="1" customWidth="1"/>
    <x:col min="17" max="18" width="18" hidden="1" customWidth="1"/>
    <x:col min="19" max="19" width="13" hidden="0" customWidth="1"/>
  </x:cols>
  <x:sheetData>
    <x:row r="1" ht="30" hidden="0" customHeight="1">
      <x:c r="A1" s="1" t="s">
        <x:v>536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S1" t="str">
        <x:v>DATA QUALITY HELPER</x:v>
      </x:c>
    </x:row>
    <x:row r="2" ht="21.75" hidden="0" customHeight="1">
      <x:c r="A2" s="2" t="s">
        <x:v>537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S2" t="str">
        <x:v>Duplicate flag: 1 when an ID repeats.</x:v>
      </x:c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5" ht="28.350000381469727" hidden="0">
      <x:c r="A5" s="82" t="s">
        <x:v>374</x:v>
      </x:c>
      <x:c r="B5" s="82" t="s">
        <x:v>538</x:v>
      </x:c>
      <x:c r="C5" s="82" t="s">
        <x:v>336</x:v>
      </x:c>
      <x:c r="D5" s="82" t="s">
        <x:v>337</x:v>
      </x:c>
      <x:c r="E5" s="82" t="s">
        <x:v>352</x:v>
      </x:c>
      <x:c r="F5" s="82" t="s">
        <x:v>338</x:v>
      </x:c>
      <x:c r="G5" s="82" t="s">
        <x:v>370</x:v>
      </x:c>
      <x:c r="H5" s="82" t="s">
        <x:v>342</x:v>
      </x:c>
      <x:c r="I5" s="82" t="s">
        <x:v>100</x:v>
      </x:c>
      <x:c r="J5" s="82" t="s">
        <x:v>339</x:v>
      </x:c>
      <x:c r="K5" s="82" t="s">
        <x:v>340</x:v>
      </x:c>
      <x:c r="L5" s="82" t="s">
        <x:v>341</x:v>
      </x:c>
      <x:c r="M5" s="82" t="s">
        <x:v>353</x:v>
      </x:c>
      <x:c r="N5" s="82" t="s">
        <x:v>343</x:v>
      </x:c>
      <x:c r="O5" s="82" t="s">
        <x:v>365</x:v>
      </x:c>
      <x:c r="P5" s="82" t="s">
        <x:v>539</x:v>
      </x:c>
      <x:c r="Q5" s="82" t="s">
        <x:v>540</x:v>
      </x:c>
      <x:c r="R5" s="82" t="s">
        <x:v>541</x:v>
      </x:c>
      <x:c r="S5" s="278" t="str">
        <x:v>Duplicate ID Flag</x:v>
      </x:c>
    </x:row>
    <x:row r="6" ht="15" hidden="0">
      <x:c r="A6" s="83" t="s">
        <x:v>264</x:v>
      </x:c>
      <x:c r="B6" s="83" t="s">
        <x:v>542</x:v>
      </x:c>
      <x:c r="C6" s="83" t="s">
        <x:v>433</x:v>
      </x:c>
      <x:c r="D6" s="83" t="s">
        <x:v>434</x:v>
      </x:c>
      <x:c r="E6" s="83" t="s">
        <x:v>435</x:v>
      </x:c>
      <x:c r="F6" s="83" t="s">
        <x:v>493</x:v>
      </x:c>
      <x:c r="G6" s="85" t="n">
        <x:v>46204</x:v>
      </x:c>
      <x:c r="H6" s="85" t="n">
        <x:v>46226</x:v>
      </x:c>
      <x:c r="I6" s="87" t="n">
        <x:v>63</x:v>
      </x:c>
      <x:c r="J6" s="83" t="s">
        <x:v>543</x:v>
      </x:c>
      <x:c r="K6" s="83"/>
      <x:c r="L6" s="83" t="s">
        <x:v>395</x:v>
      </x:c>
      <x:c r="M6" s="83" t="n">
        <x:v>21</x:v>
      </x:c>
      <x:c r="N6" s="83" t="n">
        <x:v>78</x:v>
      </x:c>
      <x:c r="O6" s="85" t="n">
        <x:v>46274</x:v>
      </x:c>
      <x:c r="P6" s="89" t="str">
        <x:f aca="0">A6&amp;TEXT(COUNTIF($A$6:A6,A6),"00")</x:f>
        <x:v>P00101</x:v>
      </x:c>
      <x:c r="Q6" s="89" t="str">
        <x:f aca="0">IF(I6&lt;100,A6&amp;"O"&amp;COUNTIFS($A$6:A6,A6,$I$6:I6,"&lt;100"),"")</x:f>
        <x:v>P001O1</x:v>
      </x:c>
      <x:c r="R6" s="89" t="str">
        <x:f aca="0">IF(I6&lt;100,D6&amp;"O"&amp;COUNTIFS($D$6:D6,D6,$I$6:I6,"&lt;100"),"")</x:f>
        <x:v>RahulO1</x:v>
      </x:c>
      <x:c r="S6" s="278" t="n">
        <x:f>IF(COUNTIF($B$6:$B$605,B6)&gt;1,1,0)</x:f>
        <x:v>0</x:v>
      </x:c>
    </x:row>
    <x:row r="7" ht="15" hidden="0">
      <x:c r="A7" s="83" t="s">
        <x:v>264</x:v>
      </x:c>
      <x:c r="B7" s="83" t="s">
        <x:v>544</x:v>
      </x:c>
      <x:c r="C7" s="83" t="s">
        <x:v>440</x:v>
      </x:c>
      <x:c r="D7" s="83" t="s">
        <x:v>441</x:v>
      </x:c>
      <x:c r="E7" s="83" t="s">
        <x:v>442</x:v>
      </x:c>
      <x:c r="F7" s="83" t="s">
        <x:v>493</x:v>
      </x:c>
      <x:c r="G7" s="85" t="n">
        <x:v>46218</x:v>
      </x:c>
      <x:c r="H7" s="85" t="n">
        <x:v>46238</x:v>
      </x:c>
      <x:c r="I7" s="87" t="n">
        <x:v>68</x:v>
      </x:c>
      <x:c r="J7" s="83" t="s">
        <x:v>543</x:v>
      </x:c>
      <x:c r="K7" s="83"/>
      <x:c r="L7" s="83" t="s">
        <x:v>395</x:v>
      </x:c>
      <x:c r="M7" s="83" t="n">
        <x:v>80</x:v>
      </x:c>
      <x:c r="N7" s="83" t="n">
        <x:v>83</x:v>
      </x:c>
      <x:c r="O7" s="85" t="n">
        <x:v>46274</x:v>
      </x:c>
      <x:c r="P7" s="89" t="str">
        <x:f aca="0">A7&amp;TEXT(COUNTIF($A$6:A7,A7),"00")</x:f>
        <x:v>P00102</x:v>
      </x:c>
      <x:c r="Q7" s="89" t="str">
        <x:f aca="0">IF(I7&lt;100,A7&amp;"O"&amp;COUNTIFS($A$6:A7,A7,$I$6:I7,"&lt;100"),"")</x:f>
        <x:v>P001O2</x:v>
      </x:c>
      <x:c r="R7" s="89" t="str">
        <x:f aca="0">IF(I7&lt;100,D7&amp;"O"&amp;COUNTIFS($D$6:D7,D7,$I$6:I7,"&lt;100"),"")</x:f>
        <x:v>KaranO1</x:v>
      </x:c>
      <x:c r="S7" s="278" t="n">
        <x:f>IF(COUNTIF($B$6:$B$605,B7)&gt;1,1,0)</x:f>
        <x:v>0</x:v>
      </x:c>
    </x:row>
    <x:row r="8" ht="15" hidden="0">
      <x:c r="A8" s="83" t="s">
        <x:v>264</x:v>
      </x:c>
      <x:c r="B8" s="83" t="s">
        <x:v>545</x:v>
      </x:c>
      <x:c r="C8" s="83" t="s">
        <x:v>444</x:v>
      </x:c>
      <x:c r="D8" s="83" t="s">
        <x:v>445</x:v>
      </x:c>
      <x:c r="E8" s="83" t="s">
        <x:v>446</x:v>
      </x:c>
      <x:c r="F8" s="83" t="s">
        <x:v>546</x:v>
      </x:c>
      <x:c r="G8" s="85" t="n">
        <x:v>46232</x:v>
      </x:c>
      <x:c r="H8" s="85" t="n">
        <x:v>46248</x:v>
      </x:c>
      <x:c r="I8" s="87" t="n">
        <x:v>71</x:v>
      </x:c>
      <x:c r="J8" s="83" t="s">
        <x:v>543</x:v>
      </x:c>
      <x:c r="K8" s="83"/>
      <x:c r="L8" s="83" t="s">
        <x:v>395</x:v>
      </x:c>
      <x:c r="M8" s="83" t="n">
        <x:v>42</x:v>
      </x:c>
      <x:c r="N8" s="83" t="n">
        <x:v>22</x:v>
      </x:c>
      <x:c r="O8" s="85" t="n">
        <x:v>46274</x:v>
      </x:c>
      <x:c r="P8" s="89" t="str">
        <x:f aca="0">A8&amp;TEXT(COUNTIF($A$6:A8,A8),"00")</x:f>
        <x:v>P00103</x:v>
      </x:c>
      <x:c r="Q8" s="89" t="str">
        <x:f aca="0">IF(I8&lt;100,A8&amp;"O"&amp;COUNTIFS($A$6:A8,A8,$I$6:I8,"&lt;100"),"")</x:f>
        <x:v>P001O3</x:v>
      </x:c>
      <x:c r="R8" s="89" t="str">
        <x:f aca="0">IF(I8&lt;100,D8&amp;"O"&amp;COUNTIFS($D$6:D8,D8,$I$6:I8,"&lt;100"),"")</x:f>
        <x:v>MeeraO1</x:v>
      </x:c>
      <x:c r="S8" s="278" t="n">
        <x:f>IF(COUNTIF($B$6:$B$605,B8)&gt;1,1,0)</x:f>
        <x:v>0</x:v>
      </x:c>
    </x:row>
    <x:row r="9" ht="15" hidden="0">
      <x:c r="A9" s="83" t="s">
        <x:v>264</x:v>
      </x:c>
      <x:c r="B9" s="83" t="s">
        <x:v>547</x:v>
      </x:c>
      <x:c r="C9" s="83" t="s">
        <x:v>448</x:v>
      </x:c>
      <x:c r="D9" s="83" t="s">
        <x:v>435</x:v>
      </x:c>
      <x:c r="E9" s="83" t="s">
        <x:v>449</x:v>
      </x:c>
      <x:c r="F9" s="83" t="s">
        <x:v>546</x:v>
      </x:c>
      <x:c r="G9" s="85" t="n">
        <x:v>46246</x:v>
      </x:c>
      <x:c r="H9" s="85" t="n">
        <x:v>46270</x:v>
      </x:c>
      <x:c r="I9" s="87" t="n">
        <x:v>69</x:v>
      </x:c>
      <x:c r="J9" s="83" t="s">
        <x:v>543</x:v>
      </x:c>
      <x:c r="K9" s="83"/>
      <x:c r="L9" s="83" t="s">
        <x:v>395</x:v>
      </x:c>
      <x:c r="M9" s="83" t="n">
        <x:v>25</x:v>
      </x:c>
      <x:c r="N9" s="83" t="n">
        <x:v>105</x:v>
      </x:c>
      <x:c r="O9" s="85" t="n">
        <x:v>46274</x:v>
      </x:c>
      <x:c r="P9" s="89" t="str">
        <x:f aca="0">A9&amp;TEXT(COUNTIF($A$6:A9,A9),"00")</x:f>
        <x:v>P00104</x:v>
      </x:c>
      <x:c r="Q9" s="89" t="str">
        <x:f aca="0">IF(I9&lt;100,A9&amp;"O"&amp;COUNTIFS($A$6:A9,A9,$I$6:I9,"&lt;100"),"")</x:f>
        <x:v>P001O4</x:v>
      </x:c>
      <x:c r="R9" s="89" t="str">
        <x:f aca="0">IF(I9&lt;100,D9&amp;"O"&amp;COUNTIFS($D$6:D9,D9,$I$6:I9,"&lt;100"),"")</x:f>
        <x:v>VivekO1</x:v>
      </x:c>
      <x:c r="S9" s="278" t="n">
        <x:f>IF(COUNTIF($B$6:$B$605,B9)&gt;1,1,0)</x:f>
        <x:v>0</x:v>
      </x:c>
    </x:row>
    <x:row r="10" ht="15" hidden="0">
      <x:c r="A10" s="83" t="s">
        <x:v>264</x:v>
      </x:c>
      <x:c r="B10" s="83" t="s">
        <x:v>548</x:v>
      </x:c>
      <x:c r="C10" s="83" t="s">
        <x:v>451</x:v>
      </x:c>
      <x:c r="D10" s="83" t="s">
        <x:v>442</x:v>
      </x:c>
      <x:c r="E10" s="83" t="s">
        <x:v>452</x:v>
      </x:c>
      <x:c r="F10" s="83" t="s">
        <x:v>546</x:v>
      </x:c>
      <x:c r="G10" s="85" t="n">
        <x:v>46260</x:v>
      </x:c>
      <x:c r="H10" s="85" t="n">
        <x:v>46271</x:v>
      </x:c>
      <x:c r="I10" s="87" t="n">
        <x:v>48</x:v>
      </x:c>
      <x:c r="J10" s="83" t="s">
        <x:v>543</x:v>
      </x:c>
      <x:c r="K10" s="83" t="s">
        <x:v>396</x:v>
      </x:c>
      <x:c r="L10" s="83" t="s">
        <x:v>395</x:v>
      </x:c>
      <x:c r="M10" s="83" t="n">
        <x:v>42</x:v>
      </x:c>
      <x:c r="N10" s="83" t="n">
        <x:v>31</x:v>
      </x:c>
      <x:c r="O10" s="85" t="n">
        <x:v>46274</x:v>
      </x:c>
      <x:c r="P10" s="89" t="str">
        <x:f aca="0">A10&amp;TEXT(COUNTIF($A$6:A10,A10),"00")</x:f>
        <x:v>P00105</x:v>
      </x:c>
      <x:c r="Q10" s="89" t="str">
        <x:f aca="0">IF(I10&lt;100,A10&amp;"O"&amp;COUNTIFS($A$6:A10,A10,$I$6:I10,"&lt;100"),"")</x:f>
        <x:v>P001O5</x:v>
      </x:c>
      <x:c r="R10" s="89" t="str">
        <x:f aca="0">IF(I10&lt;100,D10&amp;"O"&amp;COUNTIFS($D$6:D10,D10,$I$6:I10,"&lt;100"),"")</x:f>
        <x:v>RituO1</x:v>
      </x:c>
      <x:c r="S10" s="278" t="n">
        <x:f>IF(COUNTIF($B$6:$B$605,B10)&gt;1,1,0)</x:f>
        <x:v>0</x:v>
      </x:c>
    </x:row>
    <x:row r="11" ht="15" hidden="0">
      <x:c r="A11" s="83" t="s">
        <x:v>264</x:v>
      </x:c>
      <x:c r="B11" s="83" t="s">
        <x:v>549</x:v>
      </x:c>
      <x:c r="C11" s="83" t="s">
        <x:v>454</x:v>
      </x:c>
      <x:c r="D11" s="83" t="s">
        <x:v>446</x:v>
      </x:c>
      <x:c r="E11" s="83" t="s">
        <x:v>455</x:v>
      </x:c>
      <x:c r="F11" s="83" t="s">
        <x:v>550</x:v>
      </x:c>
      <x:c r="G11" s="85" t="n">
        <x:v>46274</x:v>
      </x:c>
      <x:c r="H11" s="85" t="n">
        <x:v>46296</x:v>
      </x:c>
      <x:c r="I11" s="87" t="n">
        <x:v>72</x:v>
      </x:c>
      <x:c r="J11" s="83" t="s">
        <x:v>543</x:v>
      </x:c>
      <x:c r="K11" s="83"/>
      <x:c r="L11" s="83" t="s">
        <x:v>395</x:v>
      </x:c>
      <x:c r="M11" s="83" t="n">
        <x:v>83</x:v>
      </x:c>
      <x:c r="N11" s="83" t="n">
        <x:v>22</x:v>
      </x:c>
      <x:c r="O11" s="85" t="n">
        <x:v>46274</x:v>
      </x:c>
      <x:c r="P11" s="89" t="str">
        <x:f aca="0">A11&amp;TEXT(COUNTIF($A$6:A11,A11),"00")</x:f>
        <x:v>P00106</x:v>
      </x:c>
      <x:c r="Q11" s="89" t="str">
        <x:f aca="0">IF(I11&lt;100,A11&amp;"O"&amp;COUNTIFS($A$6:A11,A11,$I$6:I11,"&lt;100"),"")</x:f>
        <x:v>P001O6</x:v>
      </x:c>
      <x:c r="R11" s="89" t="str">
        <x:f aca="0">IF(I11&lt;100,D11&amp;"O"&amp;COUNTIFS($D$6:D11,D11,$I$6:I11,"&lt;100"),"")</x:f>
        <x:v>SanjayO1</x:v>
      </x:c>
      <x:c r="S11" s="278" t="n">
        <x:f>IF(COUNTIF($B$6:$B$605,B11)&gt;1,1,0)</x:f>
        <x:v>0</x:v>
      </x:c>
    </x:row>
    <x:row r="12" ht="15" hidden="0">
      <x:c r="A12" s="83" t="s">
        <x:v>206</x:v>
      </x:c>
      <x:c r="B12" s="83" t="s">
        <x:v>551</x:v>
      </x:c>
      <x:c r="C12" s="83" t="s">
        <x:v>433</x:v>
      </x:c>
      <x:c r="D12" s="83" t="s">
        <x:v>441</x:v>
      </x:c>
      <x:c r="E12" s="83" t="s">
        <x:v>442</x:v>
      </x:c>
      <x:c r="F12" s="83" t="s">
        <x:v>493</x:v>
      </x:c>
      <x:c r="G12" s="85" t="n">
        <x:v>46205</x:v>
      </x:c>
      <x:c r="H12" s="85" t="n">
        <x:v>46225</x:v>
      </x:c>
      <x:c r="I12" s="87" t="n">
        <x:v>45</x:v>
      </x:c>
      <x:c r="J12" s="83" t="s">
        <x:v>543</x:v>
      </x:c>
      <x:c r="K12" s="83" t="s">
        <x:v>396</x:v>
      </x:c>
      <x:c r="L12" s="83" t="s">
        <x:v>395</x:v>
      </x:c>
      <x:c r="M12" s="83" t="n">
        <x:v>46</x:v>
      </x:c>
      <x:c r="N12" s="83" t="n">
        <x:v>31</x:v>
      </x:c>
      <x:c r="O12" s="85" t="n">
        <x:v>46274</x:v>
      </x:c>
      <x:c r="P12" s="89" t="str">
        <x:f aca="0">A12&amp;TEXT(COUNTIF($A$6:A12,A12),"00")</x:f>
        <x:v>P00201</x:v>
      </x:c>
      <x:c r="Q12" s="89" t="str">
        <x:f aca="0">IF(I12&lt;100,A12&amp;"O"&amp;COUNTIFS($A$6:A12,A12,$I$6:I12,"&lt;100"),"")</x:f>
        <x:v>P002O1</x:v>
      </x:c>
      <x:c r="R12" s="89" t="str">
        <x:f aca="0">IF(I12&lt;100,D12&amp;"O"&amp;COUNTIFS($D$6:D12,D12,$I$6:I12,"&lt;100"),"")</x:f>
        <x:v>KaranO2</x:v>
      </x:c>
      <x:c r="S12" s="278" t="n">
        <x:f>IF(COUNTIF($B$6:$B$605,B12)&gt;1,1,0)</x:f>
        <x:v>0</x:v>
      </x:c>
    </x:row>
    <x:row r="13" ht="15" hidden="0">
      <x:c r="A13" s="83" t="s">
        <x:v>206</x:v>
      </x:c>
      <x:c r="B13" s="83" t="s">
        <x:v>552</x:v>
      </x:c>
      <x:c r="C13" s="83" t="s">
        <x:v>440</x:v>
      </x:c>
      <x:c r="D13" s="83" t="s">
        <x:v>445</x:v>
      </x:c>
      <x:c r="E13" s="83" t="s">
        <x:v>446</x:v>
      </x:c>
      <x:c r="F13" s="83" t="s">
        <x:v>493</x:v>
      </x:c>
      <x:c r="G13" s="85" t="n">
        <x:v>46219</x:v>
      </x:c>
      <x:c r="H13" s="85" t="n">
        <x:v>46243</x:v>
      </x:c>
      <x:c r="I13" s="87" t="n">
        <x:v>61</x:v>
      </x:c>
      <x:c r="J13" s="83" t="s">
        <x:v>543</x:v>
      </x:c>
      <x:c r="K13" s="83"/>
      <x:c r="L13" s="83" t="s">
        <x:v>395</x:v>
      </x:c>
      <x:c r="M13" s="83" t="n">
        <x:v>62</x:v>
      </x:c>
      <x:c r="N13" s="83" t="n">
        <x:v>16</x:v>
      </x:c>
      <x:c r="O13" s="85" t="n">
        <x:v>46274</x:v>
      </x:c>
      <x:c r="P13" s="89" t="str">
        <x:f aca="0">A13&amp;TEXT(COUNTIF($A$6:A13,A13),"00")</x:f>
        <x:v>P00202</x:v>
      </x:c>
      <x:c r="Q13" s="89" t="str">
        <x:f aca="0">IF(I13&lt;100,A13&amp;"O"&amp;COUNTIFS($A$6:A13,A13,$I$6:I13,"&lt;100"),"")</x:f>
        <x:v>P002O2</x:v>
      </x:c>
      <x:c r="R13" s="89" t="str">
        <x:f aca="0">IF(I13&lt;100,D13&amp;"O"&amp;COUNTIFS($D$6:D13,D13,$I$6:I13,"&lt;100"),"")</x:f>
        <x:v>MeeraO2</x:v>
      </x:c>
      <x:c r="S13" s="278" t="n">
        <x:f>IF(COUNTIF($B$6:$B$605,B13)&gt;1,1,0)</x:f>
        <x:v>0</x:v>
      </x:c>
    </x:row>
    <x:row r="14" ht="15" hidden="0">
      <x:c r="A14" s="83" t="s">
        <x:v>206</x:v>
      </x:c>
      <x:c r="B14" s="83" t="s">
        <x:v>553</x:v>
      </x:c>
      <x:c r="C14" s="83" t="s">
        <x:v>444</x:v>
      </x:c>
      <x:c r="D14" s="83" t="s">
        <x:v>435</x:v>
      </x:c>
      <x:c r="E14" s="83" t="s">
        <x:v>449</x:v>
      </x:c>
      <x:c r="F14" s="83" t="s">
        <x:v>546</x:v>
      </x:c>
      <x:c r="G14" s="85" t="n">
        <x:v>46233</x:v>
      </x:c>
      <x:c r="H14" s="85" t="n">
        <x:v>46244</x:v>
      </x:c>
      <x:c r="I14" s="87" t="n">
        <x:v>53</x:v>
      </x:c>
      <x:c r="J14" s="83" t="s">
        <x:v>543</x:v>
      </x:c>
      <x:c r="K14" s="83"/>
      <x:c r="L14" s="83" t="s">
        <x:v>395</x:v>
      </x:c>
      <x:c r="M14" s="83" t="n">
        <x:v>76</x:v>
      </x:c>
      <x:c r="N14" s="83" t="n">
        <x:v>77</x:v>
      </x:c>
      <x:c r="O14" s="85" t="n">
        <x:v>46274</x:v>
      </x:c>
      <x:c r="P14" s="89" t="str">
        <x:f aca="0">A14&amp;TEXT(COUNTIF($A$6:A14,A14),"00")</x:f>
        <x:v>P00203</x:v>
      </x:c>
      <x:c r="Q14" s="89" t="str">
        <x:f aca="0">IF(I14&lt;100,A14&amp;"O"&amp;COUNTIFS($A$6:A14,A14,$I$6:I14,"&lt;100"),"")</x:f>
        <x:v>P002O3</x:v>
      </x:c>
      <x:c r="R14" s="89" t="str">
        <x:f aca="0">IF(I14&lt;100,D14&amp;"O"&amp;COUNTIFS($D$6:D14,D14,$I$6:I14,"&lt;100"),"")</x:f>
        <x:v>VivekO2</x:v>
      </x:c>
      <x:c r="S14" s="278" t="n">
        <x:f>IF(COUNTIF($B$6:$B$605,B14)&gt;1,1,0)</x:f>
        <x:v>0</x:v>
      </x:c>
    </x:row>
    <x:row r="15" ht="15" hidden="0">
      <x:c r="A15" s="83" t="s">
        <x:v>206</x:v>
      </x:c>
      <x:c r="B15" s="83" t="s">
        <x:v>554</x:v>
      </x:c>
      <x:c r="C15" s="83" t="s">
        <x:v>448</x:v>
      </x:c>
      <x:c r="D15" s="83" t="s">
        <x:v>442</x:v>
      </x:c>
      <x:c r="E15" s="83" t="s">
        <x:v>452</x:v>
      </x:c>
      <x:c r="F15" s="83" t="s">
        <x:v>493</x:v>
      </x:c>
      <x:c r="G15" s="85" t="n">
        <x:v>46247</x:v>
      </x:c>
      <x:c r="H15" s="85" t="n">
        <x:v>46262</x:v>
      </x:c>
      <x:c r="I15" s="87" t="n">
        <x:v>41</x:v>
      </x:c>
      <x:c r="J15" s="83" t="s">
        <x:v>543</x:v>
      </x:c>
      <x:c r="K15" s="83"/>
      <x:c r="L15" s="83" t="s">
        <x:v>395</x:v>
      </x:c>
      <x:c r="M15" s="83" t="n">
        <x:v>55</x:v>
      </x:c>
      <x:c r="N15" s="83" t="n">
        <x:v>86</x:v>
      </x:c>
      <x:c r="O15" s="85" t="n">
        <x:v>46274</x:v>
      </x:c>
      <x:c r="P15" s="89" t="str">
        <x:f aca="0">A15&amp;TEXT(COUNTIF($A$6:A15,A15),"00")</x:f>
        <x:v>P00204</x:v>
      </x:c>
      <x:c r="Q15" s="89" t="str">
        <x:f aca="0">IF(I15&lt;100,A15&amp;"O"&amp;COUNTIFS($A$6:A15,A15,$I$6:I15,"&lt;100"),"")</x:f>
        <x:v>P002O4</x:v>
      </x:c>
      <x:c r="R15" s="89" t="str">
        <x:f aca="0">IF(I15&lt;100,D15&amp;"O"&amp;COUNTIFS($D$6:D15,D15,$I$6:I15,"&lt;100"),"")</x:f>
        <x:v>RituO2</x:v>
      </x:c>
      <x:c r="S15" s="278" t="n">
        <x:f>IF(COUNTIF($B$6:$B$605,B15)&gt;1,1,0)</x:f>
        <x:v>0</x:v>
      </x:c>
    </x:row>
    <x:row r="16" ht="15" hidden="0">
      <x:c r="A16" s="83" t="s">
        <x:v>206</x:v>
      </x:c>
      <x:c r="B16" s="83" t="s">
        <x:v>555</x:v>
      </x:c>
      <x:c r="C16" s="83" t="s">
        <x:v>451</x:v>
      </x:c>
      <x:c r="D16" s="83" t="s">
        <x:v>446</x:v>
      </x:c>
      <x:c r="E16" s="83" t="s">
        <x:v>455</x:v>
      </x:c>
      <x:c r="F16" s="83" t="s">
        <x:v>493</x:v>
      </x:c>
      <x:c r="G16" s="85" t="n">
        <x:v>46261</x:v>
      </x:c>
      <x:c r="H16" s="85" t="n">
        <x:v>46281</x:v>
      </x:c>
      <x:c r="I16" s="87" t="n">
        <x:v>35</x:v>
      </x:c>
      <x:c r="J16" s="83" t="s">
        <x:v>543</x:v>
      </x:c>
      <x:c r="K16" s="83"/>
      <x:c r="L16" s="83" t="s">
        <x:v>395</x:v>
      </x:c>
      <x:c r="M16" s="83" t="n">
        <x:v>86</x:v>
      </x:c>
      <x:c r="N16" s="83" t="n">
        <x:v>76</x:v>
      </x:c>
      <x:c r="O16" s="85" t="n">
        <x:v>46274</x:v>
      </x:c>
      <x:c r="P16" s="89" t="str">
        <x:f aca="0">A16&amp;TEXT(COUNTIF($A$6:A16,A16),"00")</x:f>
        <x:v>P00205</x:v>
      </x:c>
      <x:c r="Q16" s="89" t="str">
        <x:f aca="0">IF(I16&lt;100,A16&amp;"O"&amp;COUNTIFS($A$6:A16,A16,$I$6:I16,"&lt;100"),"")</x:f>
        <x:v>P002O5</x:v>
      </x:c>
      <x:c r="R16" s="89" t="str">
        <x:f aca="0">IF(I16&lt;100,D16&amp;"O"&amp;COUNTIFS($D$6:D16,D16,$I$6:I16,"&lt;100"),"")</x:f>
        <x:v>SanjayO2</x:v>
      </x:c>
      <x:c r="S16" s="278" t="n">
        <x:f>IF(COUNTIF($B$6:$B$605,B16)&gt;1,1,0)</x:f>
        <x:v>0</x:v>
      </x:c>
    </x:row>
    <x:row r="17" ht="15" hidden="0">
      <x:c r="A17" s="83" t="s">
        <x:v>206</x:v>
      </x:c>
      <x:c r="B17" s="83" t="s">
        <x:v>556</x:v>
      </x:c>
      <x:c r="C17" s="83" t="s">
        <x:v>454</x:v>
      </x:c>
      <x:c r="D17" s="83" t="s">
        <x:v>449</x:v>
      </x:c>
      <x:c r="E17" s="83" t="s">
        <x:v>462</x:v>
      </x:c>
      <x:c r="F17" s="83" t="s">
        <x:v>557</x:v>
      </x:c>
      <x:c r="G17" s="85" t="n">
        <x:v>46275</x:v>
      </x:c>
      <x:c r="H17" s="85" t="n">
        <x:v>46290</x:v>
      </x:c>
      <x:c r="I17" s="87" t="n">
        <x:v>37</x:v>
      </x:c>
      <x:c r="J17" s="83" t="s">
        <x:v>543</x:v>
      </x:c>
      <x:c r="K17" s="83"/>
      <x:c r="L17" s="83" t="s">
        <x:v>395</x:v>
      </x:c>
      <x:c r="M17" s="83" t="n">
        <x:v>81</x:v>
      </x:c>
      <x:c r="N17" s="83" t="n">
        <x:v>102</x:v>
      </x:c>
      <x:c r="O17" s="85" t="n">
        <x:v>46274</x:v>
      </x:c>
      <x:c r="P17" s="89" t="str">
        <x:f aca="0">A17&amp;TEXT(COUNTIF($A$6:A17,A17),"00")</x:f>
        <x:v>P00206</x:v>
      </x:c>
      <x:c r="Q17" s="89" t="str">
        <x:f aca="0">IF(I17&lt;100,A17&amp;"O"&amp;COUNTIFS($A$6:A17,A17,$I$6:I17,"&lt;100"),"")</x:f>
        <x:v>P002O6</x:v>
      </x:c>
      <x:c r="R17" s="89" t="str">
        <x:f aca="0">IF(I17&lt;100,D17&amp;"O"&amp;COUNTIFS($D$6:D17,D17,$I$6:I17,"&lt;100"),"")</x:f>
        <x:v>AnilO1</x:v>
      </x:c>
      <x:c r="S17" s="278" t="n">
        <x:f>IF(COUNTIF($B$6:$B$605,B17)&gt;1,1,0)</x:f>
        <x:v>0</x:v>
      </x:c>
    </x:row>
    <x:row r="18" ht="15" hidden="0">
      <x:c r="A18" s="83" t="s">
        <x:v>236</x:v>
      </x:c>
      <x:c r="B18" s="83" t="s">
        <x:v>558</x:v>
      </x:c>
      <x:c r="C18" s="83" t="s">
        <x:v>433</x:v>
      </x:c>
      <x:c r="D18" s="83" t="s">
        <x:v>445</x:v>
      </x:c>
      <x:c r="E18" s="83" t="s">
        <x:v>446</x:v>
      </x:c>
      <x:c r="F18" s="83" t="s">
        <x:v>493</x:v>
      </x:c>
      <x:c r="G18" s="85" t="n">
        <x:v>46206</x:v>
      </x:c>
      <x:c r="H18" s="85" t="n">
        <x:v>46227</x:v>
      </x:c>
      <x:c r="I18" s="87" t="n">
        <x:v>61</x:v>
      </x:c>
      <x:c r="J18" s="83" t="s">
        <x:v>543</x:v>
      </x:c>
      <x:c r="K18" s="83" t="s">
        <x:v>396</x:v>
      </x:c>
      <x:c r="L18" s="83" t="s">
        <x:v>395</x:v>
      </x:c>
      <x:c r="M18" s="83" t="n">
        <x:v>58</x:v>
      </x:c>
      <x:c r="N18" s="83" t="n">
        <x:v>63</x:v>
      </x:c>
      <x:c r="O18" s="85" t="n">
        <x:v>46274</x:v>
      </x:c>
      <x:c r="P18" s="89" t="str">
        <x:f aca="0">A18&amp;TEXT(COUNTIF($A$6:A18,A18),"00")</x:f>
        <x:v>P00301</x:v>
      </x:c>
      <x:c r="Q18" s="89" t="str">
        <x:f aca="0">IF(I18&lt;100,A18&amp;"O"&amp;COUNTIFS($A$6:A18,A18,$I$6:I18,"&lt;100"),"")</x:f>
        <x:v>P003O1</x:v>
      </x:c>
      <x:c r="R18" s="89" t="str">
        <x:f aca="0">IF(I18&lt;100,D18&amp;"O"&amp;COUNTIFS($D$6:D18,D18,$I$6:I18,"&lt;100"),"")</x:f>
        <x:v>MeeraO3</x:v>
      </x:c>
      <x:c r="S18" s="278" t="n">
        <x:f>IF(COUNTIF($B$6:$B$605,B18)&gt;1,1,0)</x:f>
        <x:v>0</x:v>
      </x:c>
    </x:row>
    <x:row r="19" ht="15" hidden="0">
      <x:c r="A19" s="83" t="s">
        <x:v>236</x:v>
      </x:c>
      <x:c r="B19" s="83" t="s">
        <x:v>559</x:v>
      </x:c>
      <x:c r="C19" s="83" t="s">
        <x:v>440</x:v>
      </x:c>
      <x:c r="D19" s="83" t="s">
        <x:v>435</x:v>
      </x:c>
      <x:c r="E19" s="83" t="s">
        <x:v>449</x:v>
      </x:c>
      <x:c r="F19" s="83" t="s">
        <x:v>493</x:v>
      </x:c>
      <x:c r="G19" s="85" t="n">
        <x:v>46220</x:v>
      </x:c>
      <x:c r="H19" s="85" t="n">
        <x:v>46230</x:v>
      </x:c>
      <x:c r="I19" s="87" t="n">
        <x:v>66</x:v>
      </x:c>
      <x:c r="J19" s="83" t="s">
        <x:v>543</x:v>
      </x:c>
      <x:c r="K19" s="83"/>
      <x:c r="L19" s="83" t="s">
        <x:v>395</x:v>
      </x:c>
      <x:c r="M19" s="83" t="n">
        <x:v>78</x:v>
      </x:c>
      <x:c r="N19" s="83" t="n">
        <x:v>43</x:v>
      </x:c>
      <x:c r="O19" s="85" t="n">
        <x:v>46274</x:v>
      </x:c>
      <x:c r="P19" s="89" t="str">
        <x:f aca="0">A19&amp;TEXT(COUNTIF($A$6:A19,A19),"00")</x:f>
        <x:v>P00302</x:v>
      </x:c>
      <x:c r="Q19" s="89" t="str">
        <x:f aca="0">IF(I19&lt;100,A19&amp;"O"&amp;COUNTIFS($A$6:A19,A19,$I$6:I19,"&lt;100"),"")</x:f>
        <x:v>P003O2</x:v>
      </x:c>
      <x:c r="R19" s="89" t="str">
        <x:f aca="0">IF(I19&lt;100,D19&amp;"O"&amp;COUNTIFS($D$6:D19,D19,$I$6:I19,"&lt;100"),"")</x:f>
        <x:v>VivekO3</x:v>
      </x:c>
      <x:c r="S19" s="278" t="n">
        <x:f>IF(COUNTIF($B$6:$B$605,B19)&gt;1,1,0)</x:f>
        <x:v>0</x:v>
      </x:c>
    </x:row>
    <x:row r="20" ht="15" hidden="0">
      <x:c r="A20" s="83" t="s">
        <x:v>236</x:v>
      </x:c>
      <x:c r="B20" s="83" t="s">
        <x:v>560</x:v>
      </x:c>
      <x:c r="C20" s="83" t="s">
        <x:v>444</x:v>
      </x:c>
      <x:c r="D20" s="83" t="s">
        <x:v>442</x:v>
      </x:c>
      <x:c r="E20" s="83" t="s">
        <x:v>452</x:v>
      </x:c>
      <x:c r="F20" s="83" t="s">
        <x:v>550</x:v>
      </x:c>
      <x:c r="G20" s="85" t="n">
        <x:v>46234</x:v>
      </x:c>
      <x:c r="H20" s="85" t="n">
        <x:v>46248</x:v>
      </x:c>
      <x:c r="I20" s="87" t="n">
        <x:v>76</x:v>
      </x:c>
      <x:c r="J20" s="83" t="s">
        <x:v>543</x:v>
      </x:c>
      <x:c r="K20" s="83" t="s">
        <x:v>396</x:v>
      </x:c>
      <x:c r="L20" s="83" t="s">
        <x:v>395</x:v>
      </x:c>
      <x:c r="M20" s="83" t="n">
        <x:v>24</x:v>
      </x:c>
      <x:c r="N20" s="83" t="n">
        <x:v>23</x:v>
      </x:c>
      <x:c r="O20" s="85" t="n">
        <x:v>46274</x:v>
      </x:c>
      <x:c r="P20" s="89" t="str">
        <x:f aca="0">A20&amp;TEXT(COUNTIF($A$6:A20,A20),"00")</x:f>
        <x:v>P00303</x:v>
      </x:c>
      <x:c r="Q20" s="89" t="str">
        <x:f aca="0">IF(I20&lt;100,A20&amp;"O"&amp;COUNTIFS($A$6:A20,A20,$I$6:I20,"&lt;100"),"")</x:f>
        <x:v>P003O3</x:v>
      </x:c>
      <x:c r="R20" s="89" t="str">
        <x:f aca="0">IF(I20&lt;100,D20&amp;"O"&amp;COUNTIFS($D$6:D20,D20,$I$6:I20,"&lt;100"),"")</x:f>
        <x:v>RituO3</x:v>
      </x:c>
      <x:c r="S20" s="278" t="n">
        <x:f>IF(COUNTIF($B$6:$B$605,B20)&gt;1,1,0)</x:f>
        <x:v>0</x:v>
      </x:c>
    </x:row>
    <x:row r="21" ht="15" hidden="0">
      <x:c r="A21" s="83" t="s">
        <x:v>236</x:v>
      </x:c>
      <x:c r="B21" s="83" t="s">
        <x:v>561</x:v>
      </x:c>
      <x:c r="C21" s="83" t="s">
        <x:v>448</x:v>
      </x:c>
      <x:c r="D21" s="83" t="s">
        <x:v>446</x:v>
      </x:c>
      <x:c r="E21" s="83" t="s">
        <x:v>455</x:v>
      </x:c>
      <x:c r="F21" s="83" t="s">
        <x:v>493</x:v>
      </x:c>
      <x:c r="G21" s="85" t="n">
        <x:v>46248</x:v>
      </x:c>
      <x:c r="H21" s="85" t="n">
        <x:v>46272</x:v>
      </x:c>
      <x:c r="I21" s="87" t="n">
        <x:v>62</x:v>
      </x:c>
      <x:c r="J21" s="83" t="s">
        <x:v>543</x:v>
      </x:c>
      <x:c r="K21" s="83"/>
      <x:c r="L21" s="83" t="s">
        <x:v>395</x:v>
      </x:c>
      <x:c r="M21" s="83" t="n">
        <x:v>36</x:v>
      </x:c>
      <x:c r="N21" s="83" t="n">
        <x:v>42</x:v>
      </x:c>
      <x:c r="O21" s="85" t="n">
        <x:v>46274</x:v>
      </x:c>
      <x:c r="P21" s="89" t="str">
        <x:f aca="0">A21&amp;TEXT(COUNTIF($A$6:A21,A21),"00")</x:f>
        <x:v>P00304</x:v>
      </x:c>
      <x:c r="Q21" s="89" t="str">
        <x:f aca="0">IF(I21&lt;100,A21&amp;"O"&amp;COUNTIFS($A$6:A21,A21,$I$6:I21,"&lt;100"),"")</x:f>
        <x:v>P003O4</x:v>
      </x:c>
      <x:c r="R21" s="89" t="str">
        <x:f aca="0">IF(I21&lt;100,D21&amp;"O"&amp;COUNTIFS($D$6:D21,D21,$I$6:I21,"&lt;100"),"")</x:f>
        <x:v>SanjayO3</x:v>
      </x:c>
      <x:c r="S21" s="278" t="n">
        <x:f>IF(COUNTIF($B$6:$B$605,B21)&gt;1,1,0)</x:f>
        <x:v>0</x:v>
      </x:c>
    </x:row>
    <x:row r="22" ht="15" hidden="0">
      <x:c r="A22" s="83" t="s">
        <x:v>236</x:v>
      </x:c>
      <x:c r="B22" s="83" t="s">
        <x:v>562</x:v>
      </x:c>
      <x:c r="C22" s="83" t="s">
        <x:v>451</x:v>
      </x:c>
      <x:c r="D22" s="83" t="s">
        <x:v>449</x:v>
      </x:c>
      <x:c r="E22" s="83" t="s">
        <x:v>462</x:v>
      </x:c>
      <x:c r="F22" s="83" t="s">
        <x:v>546</x:v>
      </x:c>
      <x:c r="G22" s="85" t="n">
        <x:v>46262</x:v>
      </x:c>
      <x:c r="H22" s="85" t="n">
        <x:v>46271</x:v>
      </x:c>
      <x:c r="I22" s="87" t="n">
        <x:v>51</x:v>
      </x:c>
      <x:c r="J22" s="83" t="s">
        <x:v>543</x:v>
      </x:c>
      <x:c r="K22" s="83"/>
      <x:c r="L22" s="83" t="s">
        <x:v>395</x:v>
      </x:c>
      <x:c r="M22" s="83" t="n">
        <x:v>77</x:v>
      </x:c>
      <x:c r="N22" s="83" t="n">
        <x:v>92</x:v>
      </x:c>
      <x:c r="O22" s="85" t="n">
        <x:v>46274</x:v>
      </x:c>
      <x:c r="P22" s="89" t="str">
        <x:f aca="0">A22&amp;TEXT(COUNTIF($A$6:A22,A22),"00")</x:f>
        <x:v>P00305</x:v>
      </x:c>
      <x:c r="Q22" s="89" t="str">
        <x:f aca="0">IF(I22&lt;100,A22&amp;"O"&amp;COUNTIFS($A$6:A22,A22,$I$6:I22,"&lt;100"),"")</x:f>
        <x:v>P003O5</x:v>
      </x:c>
      <x:c r="R22" s="89" t="str">
        <x:f aca="0">IF(I22&lt;100,D22&amp;"O"&amp;COUNTIFS($D$6:D22,D22,$I$6:I22,"&lt;100"),"")</x:f>
        <x:v>AnilO2</x:v>
      </x:c>
      <x:c r="S22" s="278" t="n">
        <x:f>IF(COUNTIF($B$6:$B$605,B22)&gt;1,1,0)</x:f>
        <x:v>0</x:v>
      </x:c>
    </x:row>
    <x:row r="23" ht="15" hidden="0">
      <x:c r="A23" s="83" t="s">
        <x:v>236</x:v>
      </x:c>
      <x:c r="B23" s="83" t="s">
        <x:v>563</x:v>
      </x:c>
      <x:c r="C23" s="83" t="s">
        <x:v>454</x:v>
      </x:c>
      <x:c r="D23" s="83" t="s">
        <x:v>452</x:v>
      </x:c>
      <x:c r="E23" s="83" t="s">
        <x:v>360</x:v>
      </x:c>
      <x:c r="F23" s="83" t="s">
        <x:v>557</x:v>
      </x:c>
      <x:c r="G23" s="85" t="n">
        <x:v>46276</x:v>
      </x:c>
      <x:c r="H23" s="85" t="n">
        <x:v>46296</x:v>
      </x:c>
      <x:c r="I23" s="87" t="n">
        <x:v>68</x:v>
      </x:c>
      <x:c r="J23" s="83" t="s">
        <x:v>543</x:v>
      </x:c>
      <x:c r="K23" s="83"/>
      <x:c r="L23" s="83" t="s">
        <x:v>395</x:v>
      </x:c>
      <x:c r="M23" s="83" t="n">
        <x:v>28</x:v>
      </x:c>
      <x:c r="N23" s="83" t="n">
        <x:v>16</x:v>
      </x:c>
      <x:c r="O23" s="85" t="n">
        <x:v>46274</x:v>
      </x:c>
      <x:c r="P23" s="89" t="str">
        <x:f aca="0">A23&amp;TEXT(COUNTIF($A$6:A23,A23),"00")</x:f>
        <x:v>P00306</x:v>
      </x:c>
      <x:c r="Q23" s="89" t="str">
        <x:f aca="0">IF(I23&lt;100,A23&amp;"O"&amp;COUNTIFS($A$6:A23,A23,$I$6:I23,"&lt;100"),"")</x:f>
        <x:v>P003O6</x:v>
      </x:c>
      <x:c r="R23" s="89" t="str">
        <x:f aca="0">IF(I23&lt;100,D23&amp;"O"&amp;COUNTIFS($D$6:D23,D23,$I$6:I23,"&lt;100"),"")</x:f>
        <x:v>KavyaO1</x:v>
      </x:c>
      <x:c r="S23" s="278" t="n">
        <x:f>IF(COUNTIF($B$6:$B$605,B23)&gt;1,1,0)</x:f>
        <x:v>0</x:v>
      </x:c>
    </x:row>
    <x:row r="24" ht="15" hidden="0">
      <x:c r="A24" s="83" t="s">
        <x:v>200</x:v>
      </x:c>
      <x:c r="B24" s="83" t="s">
        <x:v>564</x:v>
      </x:c>
      <x:c r="C24" s="83" t="s">
        <x:v>433</x:v>
      </x:c>
      <x:c r="D24" s="83" t="s">
        <x:v>435</x:v>
      </x:c>
      <x:c r="E24" s="83" t="s">
        <x:v>449</x:v>
      </x:c>
      <x:c r="F24" s="83" t="s">
        <x:v>546</x:v>
      </x:c>
      <x:c r="G24" s="85" t="n">
        <x:v>46207</x:v>
      </x:c>
      <x:c r="H24" s="85" t="n">
        <x:v>46222</x:v>
      </x:c>
      <x:c r="I24" s="87" t="n">
        <x:v>29</x:v>
      </x:c>
      <x:c r="J24" s="83" t="s">
        <x:v>543</x:v>
      </x:c>
      <x:c r="K24" s="83"/>
      <x:c r="L24" s="83" t="s">
        <x:v>395</x:v>
      </x:c>
      <x:c r="M24" s="83" t="n">
        <x:v>28</x:v>
      </x:c>
      <x:c r="N24" s="83" t="n">
        <x:v>71</x:v>
      </x:c>
      <x:c r="O24" s="85" t="n">
        <x:v>46274</x:v>
      </x:c>
      <x:c r="P24" s="89" t="str">
        <x:f aca="0">A24&amp;TEXT(COUNTIF($A$6:A24,A24),"00")</x:f>
        <x:v>P00401</x:v>
      </x:c>
      <x:c r="Q24" s="89" t="str">
        <x:f aca="0">IF(I24&lt;100,A24&amp;"O"&amp;COUNTIFS($A$6:A24,A24,$I$6:I24,"&lt;100"),"")</x:f>
        <x:v>P004O1</x:v>
      </x:c>
      <x:c r="R24" s="89" t="str">
        <x:f aca="0">IF(I24&lt;100,D24&amp;"O"&amp;COUNTIFS($D$6:D24,D24,$I$6:I24,"&lt;100"),"")</x:f>
        <x:v>VivekO4</x:v>
      </x:c>
      <x:c r="S24" s="278" t="n">
        <x:f>IF(COUNTIF($B$6:$B$605,B24)&gt;1,1,0)</x:f>
        <x:v>0</x:v>
      </x:c>
    </x:row>
    <x:row r="25" ht="15" hidden="0">
      <x:c r="A25" s="83" t="s">
        <x:v>200</x:v>
      </x:c>
      <x:c r="B25" s="83" t="s">
        <x:v>565</x:v>
      </x:c>
      <x:c r="C25" s="83" t="s">
        <x:v>440</x:v>
      </x:c>
      <x:c r="D25" s="83" t="s">
        <x:v>442</x:v>
      </x:c>
      <x:c r="E25" s="83" t="s">
        <x:v>452</x:v>
      </x:c>
      <x:c r="F25" s="83" t="s">
        <x:v>550</x:v>
      </x:c>
      <x:c r="G25" s="85" t="n">
        <x:v>46221</x:v>
      </x:c>
      <x:c r="H25" s="85" t="n">
        <x:v>46232</x:v>
      </x:c>
      <x:c r="I25" s="87" t="n">
        <x:v>20</x:v>
      </x:c>
      <x:c r="J25" s="83" t="s">
        <x:v>543</x:v>
      </x:c>
      <x:c r="K25" s="83"/>
      <x:c r="L25" s="83" t="s">
        <x:v>395</x:v>
      </x:c>
      <x:c r="M25" s="83" t="n">
        <x:v>80</x:v>
      </x:c>
      <x:c r="N25" s="83" t="n">
        <x:v>58</x:v>
      </x:c>
      <x:c r="O25" s="85" t="n">
        <x:v>46274</x:v>
      </x:c>
      <x:c r="P25" s="89" t="str">
        <x:f aca="0">A25&amp;TEXT(COUNTIF($A$6:A25,A25),"00")</x:f>
        <x:v>P00402</x:v>
      </x:c>
      <x:c r="Q25" s="89" t="str">
        <x:f aca="0">IF(I25&lt;100,A25&amp;"O"&amp;COUNTIFS($A$6:A25,A25,$I$6:I25,"&lt;100"),"")</x:f>
        <x:v>P004O2</x:v>
      </x:c>
      <x:c r="R25" s="89" t="str">
        <x:f aca="0">IF(I25&lt;100,D25&amp;"O"&amp;COUNTIFS($D$6:D25,D25,$I$6:I25,"&lt;100"),"")</x:f>
        <x:v>RituO4</x:v>
      </x:c>
      <x:c r="S25" s="278" t="n">
        <x:f>IF(COUNTIF($B$6:$B$605,B25)&gt;1,1,0)</x:f>
        <x:v>0</x:v>
      </x:c>
    </x:row>
    <x:row r="26" ht="15" hidden="0">
      <x:c r="A26" s="83" t="s">
        <x:v>200</x:v>
      </x:c>
      <x:c r="B26" s="83" t="s">
        <x:v>566</x:v>
      </x:c>
      <x:c r="C26" s="83" t="s">
        <x:v>444</x:v>
      </x:c>
      <x:c r="D26" s="83" t="s">
        <x:v>446</x:v>
      </x:c>
      <x:c r="E26" s="83" t="s">
        <x:v>455</x:v>
      </x:c>
      <x:c r="F26" s="83" t="s">
        <x:v>557</x:v>
      </x:c>
      <x:c r="G26" s="85" t="n">
        <x:v>46235</x:v>
      </x:c>
      <x:c r="H26" s="85" t="n">
        <x:v>46256</x:v>
      </x:c>
      <x:c r="I26" s="87" t="n">
        <x:v>4</x:v>
      </x:c>
      <x:c r="J26" s="83" t="s">
        <x:v>543</x:v>
      </x:c>
      <x:c r="K26" s="83"/>
      <x:c r="L26" s="83" t="s">
        <x:v>395</x:v>
      </x:c>
      <x:c r="M26" s="83" t="n">
        <x:v>61</x:v>
      </x:c>
      <x:c r="N26" s="83" t="n">
        <x:v>41</x:v>
      </x:c>
      <x:c r="O26" s="85" t="n">
        <x:v>46274</x:v>
      </x:c>
      <x:c r="P26" s="89" t="str">
        <x:f aca="0">A26&amp;TEXT(COUNTIF($A$6:A26,A26),"00")</x:f>
        <x:v>P00403</x:v>
      </x:c>
      <x:c r="Q26" s="89" t="str">
        <x:f aca="0">IF(I26&lt;100,A26&amp;"O"&amp;COUNTIFS($A$6:A26,A26,$I$6:I26,"&lt;100"),"")</x:f>
        <x:v>P004O3</x:v>
      </x:c>
      <x:c r="R26" s="89" t="str">
        <x:f aca="0">IF(I26&lt;100,D26&amp;"O"&amp;COUNTIFS($D$6:D26,D26,$I$6:I26,"&lt;100"),"")</x:f>
        <x:v>SanjayO4</x:v>
      </x:c>
      <x:c r="S26" s="278" t="n">
        <x:f>IF(COUNTIF($B$6:$B$605,B26)&gt;1,1,0)</x:f>
        <x:v>0</x:v>
      </x:c>
    </x:row>
    <x:row r="27" ht="15" hidden="0">
      <x:c r="A27" s="83" t="s">
        <x:v>200</x:v>
      </x:c>
      <x:c r="B27" s="83" t="s">
        <x:v>567</x:v>
      </x:c>
      <x:c r="C27" s="83" t="s">
        <x:v>448</x:v>
      </x:c>
      <x:c r="D27" s="83" t="s">
        <x:v>449</x:v>
      </x:c>
      <x:c r="E27" s="83" t="s">
        <x:v>462</x:v>
      </x:c>
      <x:c r="F27" s="83" t="s">
        <x:v>550</x:v>
      </x:c>
      <x:c r="G27" s="85" t="n">
        <x:v>46249</x:v>
      </x:c>
      <x:c r="H27" s="85" t="n">
        <x:v>46270</x:v>
      </x:c>
      <x:c r="I27" s="87" t="n">
        <x:v>12</x:v>
      </x:c>
      <x:c r="J27" s="83" t="s">
        <x:v>543</x:v>
      </x:c>
      <x:c r="K27" s="83"/>
      <x:c r="L27" s="83" t="s">
        <x:v>395</x:v>
      </x:c>
      <x:c r="M27" s="83" t="n">
        <x:v>56</x:v>
      </x:c>
      <x:c r="N27" s="83" t="n">
        <x:v>28</x:v>
      </x:c>
      <x:c r="O27" s="85" t="n">
        <x:v>46274</x:v>
      </x:c>
      <x:c r="P27" s="89" t="str">
        <x:f aca="0">A27&amp;TEXT(COUNTIF($A$6:A27,A27),"00")</x:f>
        <x:v>P00404</x:v>
      </x:c>
      <x:c r="Q27" s="89" t="str">
        <x:f aca="0">IF(I27&lt;100,A27&amp;"O"&amp;COUNTIFS($A$6:A27,A27,$I$6:I27,"&lt;100"),"")</x:f>
        <x:v>P004O4</x:v>
      </x:c>
      <x:c r="R27" s="89" t="str">
        <x:f aca="0">IF(I27&lt;100,D27&amp;"O"&amp;COUNTIFS($D$6:D27,D27,$I$6:I27,"&lt;100"),"")</x:f>
        <x:v>AnilO3</x:v>
      </x:c>
      <x:c r="S27" s="278" t="n">
        <x:f>IF(COUNTIF($B$6:$B$605,B27)&gt;1,1,0)</x:f>
        <x:v>0</x:v>
      </x:c>
    </x:row>
    <x:row r="28" ht="15" hidden="0">
      <x:c r="A28" s="83" t="s">
        <x:v>200</x:v>
      </x:c>
      <x:c r="B28" s="83" t="s">
        <x:v>568</x:v>
      </x:c>
      <x:c r="C28" s="83" t="s">
        <x:v>451</x:v>
      </x:c>
      <x:c r="D28" s="83" t="s">
        <x:v>452</x:v>
      </x:c>
      <x:c r="E28" s="83" t="s">
        <x:v>360</x:v>
      </x:c>
      <x:c r="F28" s="83" t="s">
        <x:v>546</x:v>
      </x:c>
      <x:c r="G28" s="85" t="n">
        <x:v>46263</x:v>
      </x:c>
      <x:c r="H28" s="85" t="n">
        <x:v>46281</x:v>
      </x:c>
      <x:c r="I28" s="87" t="n">
        <x:v>33</x:v>
      </x:c>
      <x:c r="J28" s="83" t="s">
        <x:v>543</x:v>
      </x:c>
      <x:c r="K28" s="83"/>
      <x:c r="L28" s="83" t="s">
        <x:v>395</x:v>
      </x:c>
      <x:c r="M28" s="83" t="n">
        <x:v>57</x:v>
      </x:c>
      <x:c r="N28" s="83" t="n">
        <x:v>43</x:v>
      </x:c>
      <x:c r="O28" s="85" t="n">
        <x:v>46274</x:v>
      </x:c>
      <x:c r="P28" s="89" t="str">
        <x:f aca="0">A28&amp;TEXT(COUNTIF($A$6:A28,A28),"00")</x:f>
        <x:v>P00405</x:v>
      </x:c>
      <x:c r="Q28" s="89" t="str">
        <x:f aca="0">IF(I28&lt;100,A28&amp;"O"&amp;COUNTIFS($A$6:A28,A28,$I$6:I28,"&lt;100"),"")</x:f>
        <x:v>P004O5</x:v>
      </x:c>
      <x:c r="R28" s="89" t="str">
        <x:f aca="0">IF(I28&lt;100,D28&amp;"O"&amp;COUNTIFS($D$6:D28,D28,$I$6:I28,"&lt;100"),"")</x:f>
        <x:v>KavyaO2</x:v>
      </x:c>
      <x:c r="S28" s="278" t="n">
        <x:f>IF(COUNTIF($B$6:$B$605,B28)&gt;1,1,0)</x:f>
        <x:v>0</x:v>
      </x:c>
    </x:row>
    <x:row r="29" ht="15" hidden="0">
      <x:c r="A29" s="83" t="s">
        <x:v>200</x:v>
      </x:c>
      <x:c r="B29" s="83" t="s">
        <x:v>569</x:v>
      </x:c>
      <x:c r="C29" s="83" t="s">
        <x:v>454</x:v>
      </x:c>
      <x:c r="D29" s="83" t="s">
        <x:v>455</x:v>
      </x:c>
      <x:c r="E29" s="83" t="s">
        <x:v>475</x:v>
      </x:c>
      <x:c r="F29" s="83" t="s">
        <x:v>550</x:v>
      </x:c>
      <x:c r="G29" s="85" t="n">
        <x:v>46277</x:v>
      </x:c>
      <x:c r="H29" s="85" t="n">
        <x:v>46289</x:v>
      </x:c>
      <x:c r="I29" s="87" t="n">
        <x:v>21</x:v>
      </x:c>
      <x:c r="J29" s="83" t="s">
        <x:v>543</x:v>
      </x:c>
      <x:c r="K29" s="83" t="s">
        <x:v>396</x:v>
      </x:c>
      <x:c r="L29" s="83" t="s">
        <x:v>395</x:v>
      </x:c>
      <x:c r="M29" s="83" t="n">
        <x:v>33</x:v>
      </x:c>
      <x:c r="N29" s="83" t="n">
        <x:v>40</x:v>
      </x:c>
      <x:c r="O29" s="85" t="n">
        <x:v>46274</x:v>
      </x:c>
      <x:c r="P29" s="89" t="str">
        <x:f aca="0">A29&amp;TEXT(COUNTIF($A$6:A29,A29),"00")</x:f>
        <x:v>P00406</x:v>
      </x:c>
      <x:c r="Q29" s="89" t="str">
        <x:f aca="0">IF(I29&lt;100,A29&amp;"O"&amp;COUNTIFS($A$6:A29,A29,$I$6:I29,"&lt;100"),"")</x:f>
        <x:v>P004O6</x:v>
      </x:c>
      <x:c r="R29" s="89" t="str">
        <x:f aca="0">IF(I29&lt;100,D29&amp;"O"&amp;COUNTIFS($D$6:D29,D29,$I$6:I29,"&lt;100"),"")</x:f>
        <x:v>RohanO1</x:v>
      </x:c>
      <x:c r="S29" s="278" t="n">
        <x:f>IF(COUNTIF($B$6:$B$605,B29)&gt;1,1,0)</x:f>
        <x:v>0</x:v>
      </x:c>
    </x:row>
    <x:row r="30" ht="15" hidden="0">
      <x:c r="A30" s="83" t="s">
        <x:v>296</x:v>
      </x:c>
      <x:c r="B30" s="83" t="s">
        <x:v>570</x:v>
      </x:c>
      <x:c r="C30" s="83" t="s">
        <x:v>433</x:v>
      </x:c>
      <x:c r="D30" s="83" t="s">
        <x:v>442</x:v>
      </x:c>
      <x:c r="E30" s="83" t="s">
        <x:v>452</x:v>
      </x:c>
      <x:c r="F30" s="83" t="s">
        <x:v>550</x:v>
      </x:c>
      <x:c r="G30" s="85" t="n">
        <x:v>46208</x:v>
      </x:c>
      <x:c r="H30" s="85" t="n">
        <x:v>46232</x:v>
      </x:c>
      <x:c r="I30" s="87" t="n">
        <x:v>72</x:v>
      </x:c>
      <x:c r="J30" s="83" t="s">
        <x:v>543</x:v>
      </x:c>
      <x:c r="K30" s="83"/>
      <x:c r="L30" s="83" t="s">
        <x:v>395</x:v>
      </x:c>
      <x:c r="M30" s="83" t="n">
        <x:v>100</x:v>
      </x:c>
      <x:c r="N30" s="83" t="n">
        <x:v>32</x:v>
      </x:c>
      <x:c r="O30" s="85" t="n">
        <x:v>46274</x:v>
      </x:c>
      <x:c r="P30" s="89" t="str">
        <x:f aca="0">A30&amp;TEXT(COUNTIF($A$6:A30,A30),"00")</x:f>
        <x:v>P00501</x:v>
      </x:c>
      <x:c r="Q30" s="89" t="str">
        <x:f aca="0">IF(I30&lt;100,A30&amp;"O"&amp;COUNTIFS($A$6:A30,A30,$I$6:I30,"&lt;100"),"")</x:f>
        <x:v>P005O1</x:v>
      </x:c>
      <x:c r="R30" s="89" t="str">
        <x:f aca="0">IF(I30&lt;100,D30&amp;"O"&amp;COUNTIFS($D$6:D30,D30,$I$6:I30,"&lt;100"),"")</x:f>
        <x:v>RituO5</x:v>
      </x:c>
      <x:c r="S30" s="278" t="n">
        <x:f>IF(COUNTIF($B$6:$B$605,B30)&gt;1,1,0)</x:f>
        <x:v>0</x:v>
      </x:c>
    </x:row>
    <x:row r="31" ht="15" hidden="0">
      <x:c r="A31" s="83" t="s">
        <x:v>296</x:v>
      </x:c>
      <x:c r="B31" s="83" t="s">
        <x:v>571</x:v>
      </x:c>
      <x:c r="C31" s="83" t="s">
        <x:v>440</x:v>
      </x:c>
      <x:c r="D31" s="83" t="s">
        <x:v>446</x:v>
      </x:c>
      <x:c r="E31" s="83" t="s">
        <x:v>455</x:v>
      </x:c>
      <x:c r="F31" s="83" t="s">
        <x:v>546</x:v>
      </x:c>
      <x:c r="G31" s="85" t="n">
        <x:v>46222</x:v>
      </x:c>
      <x:c r="H31" s="85" t="n">
        <x:v>46235</x:v>
      </x:c>
      <x:c r="I31" s="87" t="n">
        <x:v>78</x:v>
      </x:c>
      <x:c r="J31" s="83" t="s">
        <x:v>543</x:v>
      </x:c>
      <x:c r="K31" s="83" t="s">
        <x:v>396</x:v>
      </x:c>
      <x:c r="L31" s="83" t="s">
        <x:v>395</x:v>
      </x:c>
      <x:c r="M31" s="83" t="n">
        <x:v>63</x:v>
      </x:c>
      <x:c r="N31" s="83" t="n">
        <x:v>19</x:v>
      </x:c>
      <x:c r="O31" s="85" t="n">
        <x:v>46274</x:v>
      </x:c>
      <x:c r="P31" s="89" t="str">
        <x:f aca="0">A31&amp;TEXT(COUNTIF($A$6:A31,A31),"00")</x:f>
        <x:v>P00502</x:v>
      </x:c>
      <x:c r="Q31" s="89" t="str">
        <x:f aca="0">IF(I31&lt;100,A31&amp;"O"&amp;COUNTIFS($A$6:A31,A31,$I$6:I31,"&lt;100"),"")</x:f>
        <x:v>P005O2</x:v>
      </x:c>
      <x:c r="R31" s="89" t="str">
        <x:f aca="0">IF(I31&lt;100,D31&amp;"O"&amp;COUNTIFS($D$6:D31,D31,$I$6:I31,"&lt;100"),"")</x:f>
        <x:v>SanjayO5</x:v>
      </x:c>
      <x:c r="S31" s="278" t="n">
        <x:f>IF(COUNTIF($B$6:$B$605,B31)&gt;1,1,0)</x:f>
        <x:v>0</x:v>
      </x:c>
    </x:row>
    <x:row r="32" ht="15" hidden="0">
      <x:c r="A32" s="83" t="s">
        <x:v>296</x:v>
      </x:c>
      <x:c r="B32" s="83" t="s">
        <x:v>572</x:v>
      </x:c>
      <x:c r="C32" s="83" t="s">
        <x:v>444</x:v>
      </x:c>
      <x:c r="D32" s="83" t="s">
        <x:v>449</x:v>
      </x:c>
      <x:c r="E32" s="83" t="s">
        <x:v>462</x:v>
      </x:c>
      <x:c r="F32" s="83" t="s">
        <x:v>493</x:v>
      </x:c>
      <x:c r="G32" s="85" t="n">
        <x:v>46236</x:v>
      </x:c>
      <x:c r="H32" s="85" t="n">
        <x:v>46247</x:v>
      </x:c>
      <x:c r="I32" s="87" t="n">
        <x:v>91</x:v>
      </x:c>
      <x:c r="J32" s="83" t="s">
        <x:v>543</x:v>
      </x:c>
      <x:c r="K32" s="83"/>
      <x:c r="L32" s="83" t="s">
        <x:v>395</x:v>
      </x:c>
      <x:c r="M32" s="83" t="n">
        <x:v>66</x:v>
      </x:c>
      <x:c r="N32" s="83" t="n">
        <x:v>44</x:v>
      </x:c>
      <x:c r="O32" s="85" t="n">
        <x:v>46274</x:v>
      </x:c>
      <x:c r="P32" s="89" t="str">
        <x:f aca="0">A32&amp;TEXT(COUNTIF($A$6:A32,A32),"00")</x:f>
        <x:v>P00503</x:v>
      </x:c>
      <x:c r="Q32" s="89" t="str">
        <x:f aca="0">IF(I32&lt;100,A32&amp;"O"&amp;COUNTIFS($A$6:A32,A32,$I$6:I32,"&lt;100"),"")</x:f>
        <x:v>P005O3</x:v>
      </x:c>
      <x:c r="R32" s="89" t="str">
        <x:f aca="0">IF(I32&lt;100,D32&amp;"O"&amp;COUNTIFS($D$6:D32,D32,$I$6:I32,"&lt;100"),"")</x:f>
        <x:v>AnilO4</x:v>
      </x:c>
      <x:c r="S32" s="278" t="n">
        <x:f>IF(COUNTIF($B$6:$B$605,B32)&gt;1,1,0)</x:f>
        <x:v>0</x:v>
      </x:c>
    </x:row>
    <x:row r="33" ht="15" hidden="0">
      <x:c r="A33" s="83" t="s">
        <x:v>296</x:v>
      </x:c>
      <x:c r="B33" s="83" t="s">
        <x:v>573</x:v>
      </x:c>
      <x:c r="C33" s="83" t="s">
        <x:v>448</x:v>
      </x:c>
      <x:c r="D33" s="83" t="s">
        <x:v>452</x:v>
      </x:c>
      <x:c r="E33" s="83" t="s">
        <x:v>360</x:v>
      </x:c>
      <x:c r="F33" s="83" t="s">
        <x:v>493</x:v>
      </x:c>
      <x:c r="G33" s="85" t="n">
        <x:v>46250</x:v>
      </x:c>
      <x:c r="H33" s="85" t="n">
        <x:v>46266</x:v>
      </x:c>
      <x:c r="I33" s="87" t="n">
        <x:v>80</x:v>
      </x:c>
      <x:c r="J33" s="83" t="s">
        <x:v>543</x:v>
      </x:c>
      <x:c r="K33" s="83"/>
      <x:c r="L33" s="83" t="s">
        <x:v>395</x:v>
      </x:c>
      <x:c r="M33" s="83" t="n">
        <x:v>86</x:v>
      </x:c>
      <x:c r="N33" s="83" t="n">
        <x:v>26</x:v>
      </x:c>
      <x:c r="O33" s="85" t="n">
        <x:v>46274</x:v>
      </x:c>
      <x:c r="P33" s="89" t="str">
        <x:f aca="0">A33&amp;TEXT(COUNTIF($A$6:A33,A33),"00")</x:f>
        <x:v>P00504</x:v>
      </x:c>
      <x:c r="Q33" s="89" t="str">
        <x:f aca="0">IF(I33&lt;100,A33&amp;"O"&amp;COUNTIFS($A$6:A33,A33,$I$6:I33,"&lt;100"),"")</x:f>
        <x:v>P005O4</x:v>
      </x:c>
      <x:c r="R33" s="89" t="str">
        <x:f aca="0">IF(I33&lt;100,D33&amp;"O"&amp;COUNTIFS($D$6:D33,D33,$I$6:I33,"&lt;100"),"")</x:f>
        <x:v>KavyaO3</x:v>
      </x:c>
      <x:c r="S33" s="278" t="n">
        <x:f>IF(COUNTIF($B$6:$B$605,B33)&gt;1,1,0)</x:f>
        <x:v>0</x:v>
      </x:c>
    </x:row>
    <x:row r="34" ht="15" hidden="0">
      <x:c r="A34" s="83" t="s">
        <x:v>296</x:v>
      </x:c>
      <x:c r="B34" s="83" t="s">
        <x:v>574</x:v>
      </x:c>
      <x:c r="C34" s="83" t="s">
        <x:v>451</x:v>
      </x:c>
      <x:c r="D34" s="83" t="s">
        <x:v>455</x:v>
      </x:c>
      <x:c r="E34" s="83" t="s">
        <x:v>475</x:v>
      </x:c>
      <x:c r="F34" s="83" t="s">
        <x:v>546</x:v>
      </x:c>
      <x:c r="G34" s="85" t="n">
        <x:v>46264</x:v>
      </x:c>
      <x:c r="H34" s="85" t="n">
        <x:v>46288</x:v>
      </x:c>
      <x:c r="I34" s="87" t="n">
        <x:v>95</x:v>
      </x:c>
      <x:c r="J34" s="83" t="s">
        <x:v>543</x:v>
      </x:c>
      <x:c r="K34" s="83" t="s">
        <x:v>396</x:v>
      </x:c>
      <x:c r="L34" s="83" t="s">
        <x:v>395</x:v>
      </x:c>
      <x:c r="M34" s="83" t="n">
        <x:v>78</x:v>
      </x:c>
      <x:c r="N34" s="83" t="n">
        <x:v>54</x:v>
      </x:c>
      <x:c r="O34" s="85" t="n">
        <x:v>46274</x:v>
      </x:c>
      <x:c r="P34" s="89" t="str">
        <x:f aca="0">A34&amp;TEXT(COUNTIF($A$6:A34,A34),"00")</x:f>
        <x:v>P00505</x:v>
      </x:c>
      <x:c r="Q34" s="89" t="str">
        <x:f aca="0">IF(I34&lt;100,A34&amp;"O"&amp;COUNTIFS($A$6:A34,A34,$I$6:I34,"&lt;100"),"")</x:f>
        <x:v>P005O5</x:v>
      </x:c>
      <x:c r="R34" s="89" t="str">
        <x:f aca="0">IF(I34&lt;100,D34&amp;"O"&amp;COUNTIFS($D$6:D34,D34,$I$6:I34,"&lt;100"),"")</x:f>
        <x:v>RohanO2</x:v>
      </x:c>
      <x:c r="S34" s="278" t="n">
        <x:f>IF(COUNTIF($B$6:$B$605,B34)&gt;1,1,0)</x:f>
        <x:v>0</x:v>
      </x:c>
    </x:row>
    <x:row r="35" ht="15" hidden="0">
      <x:c r="A35" s="83" t="s">
        <x:v>296</x:v>
      </x:c>
      <x:c r="B35" s="83" t="s">
        <x:v>575</x:v>
      </x:c>
      <x:c r="C35" s="83" t="s">
        <x:v>454</x:v>
      </x:c>
      <x:c r="D35" s="83" t="s">
        <x:v>462</x:v>
      </x:c>
      <x:c r="E35" s="83" t="s">
        <x:v>434</x:v>
      </x:c>
      <x:c r="F35" s="83" t="s">
        <x:v>557</x:v>
      </x:c>
      <x:c r="G35" s="85" t="n">
        <x:v>46278</x:v>
      </x:c>
      <x:c r="H35" s="85" t="n">
        <x:v>46291</x:v>
      </x:c>
      <x:c r="I35" s="87" t="n">
        <x:v>96</x:v>
      </x:c>
      <x:c r="J35" s="83" t="s">
        <x:v>543</x:v>
      </x:c>
      <x:c r="K35" s="83"/>
      <x:c r="L35" s="83" t="s">
        <x:v>395</x:v>
      </x:c>
      <x:c r="M35" s="83" t="n">
        <x:v>80</x:v>
      </x:c>
      <x:c r="N35" s="83" t="n">
        <x:v>73</x:v>
      </x:c>
      <x:c r="O35" s="85" t="n">
        <x:v>46274</x:v>
      </x:c>
      <x:c r="P35" s="89" t="str">
        <x:f aca="0">A35&amp;TEXT(COUNTIF($A$6:A35,A35),"00")</x:f>
        <x:v>P00506</x:v>
      </x:c>
      <x:c r="Q35" s="89" t="str">
        <x:f aca="0">IF(I35&lt;100,A35&amp;"O"&amp;COUNTIFS($A$6:A35,A35,$I$6:I35,"&lt;100"),"")</x:f>
        <x:v>P005O6</x:v>
      </x:c>
      <x:c r="R35" s="89" t="str">
        <x:f aca="0">IF(I35&lt;100,D35&amp;"O"&amp;COUNTIFS($D$6:D35,D35,$I$6:I35,"&lt;100"),"")</x:f>
        <x:v>DeepaO1</x:v>
      </x:c>
      <x:c r="S35" s="278" t="n">
        <x:f>IF(COUNTIF($B$6:$B$605,B35)&gt;1,1,0)</x:f>
        <x:v>0</x:v>
      </x:c>
    </x:row>
    <x:row r="36" ht="15" hidden="0">
      <x:c r="A36" s="83" t="s">
        <x:v>185</x:v>
      </x:c>
      <x:c r="B36" s="83" t="s">
        <x:v>576</x:v>
      </x:c>
      <x:c r="C36" s="83" t="s">
        <x:v>433</x:v>
      </x:c>
      <x:c r="D36" s="83" t="s">
        <x:v>446</x:v>
      </x:c>
      <x:c r="E36" s="83" t="s">
        <x:v>455</x:v>
      </x:c>
      <x:c r="F36" s="83" t="s">
        <x:v>550</x:v>
      </x:c>
      <x:c r="G36" s="85" t="n">
        <x:v>46209</x:v>
      </x:c>
      <x:c r="H36" s="85" t="n">
        <x:v>46233</x:v>
      </x:c>
      <x:c r="I36" s="87" t="n">
        <x:v>49</x:v>
      </x:c>
      <x:c r="J36" s="83" t="s">
        <x:v>543</x:v>
      </x:c>
      <x:c r="K36" s="83" t="s">
        <x:v>396</x:v>
      </x:c>
      <x:c r="L36" s="83" t="s">
        <x:v>395</x:v>
      </x:c>
      <x:c r="M36" s="83" t="n">
        <x:v>42</x:v>
      </x:c>
      <x:c r="N36" s="83" t="n">
        <x:v>15</x:v>
      </x:c>
      <x:c r="O36" s="85" t="n">
        <x:v>46274</x:v>
      </x:c>
      <x:c r="P36" s="89" t="str">
        <x:f aca="0">A36&amp;TEXT(COUNTIF($A$6:A36,A36),"00")</x:f>
        <x:v>P00601</x:v>
      </x:c>
      <x:c r="Q36" s="89" t="str">
        <x:f aca="0">IF(I36&lt;100,A36&amp;"O"&amp;COUNTIFS($A$6:A36,A36,$I$6:I36,"&lt;100"),"")</x:f>
        <x:v>P006O1</x:v>
      </x:c>
      <x:c r="R36" s="89" t="str">
        <x:f aca="0">IF(I36&lt;100,D36&amp;"O"&amp;COUNTIFS($D$6:D36,D36,$I$6:I36,"&lt;100"),"")</x:f>
        <x:v>SanjayO6</x:v>
      </x:c>
      <x:c r="S36" s="278" t="n">
        <x:f>IF(COUNTIF($B$6:$B$605,B36)&gt;1,1,0)</x:f>
        <x:v>0</x:v>
      </x:c>
    </x:row>
    <x:row r="37" ht="15" hidden="0">
      <x:c r="A37" s="83" t="s">
        <x:v>185</x:v>
      </x:c>
      <x:c r="B37" s="83" t="s">
        <x:v>577</x:v>
      </x:c>
      <x:c r="C37" s="83" t="s">
        <x:v>440</x:v>
      </x:c>
      <x:c r="D37" s="83" t="s">
        <x:v>449</x:v>
      </x:c>
      <x:c r="E37" s="83" t="s">
        <x:v>462</x:v>
      </x:c>
      <x:c r="F37" s="83" t="s">
        <x:v>557</x:v>
      </x:c>
      <x:c r="G37" s="85" t="n">
        <x:v>46223</x:v>
      </x:c>
      <x:c r="H37" s="85" t="n">
        <x:v>46235</x:v>
      </x:c>
      <x:c r="I37" s="87" t="n">
        <x:v>42</x:v>
      </x:c>
      <x:c r="J37" s="83" t="s">
        <x:v>543</x:v>
      </x:c>
      <x:c r="K37" s="83" t="s">
        <x:v>396</x:v>
      </x:c>
      <x:c r="L37" s="83" t="s">
        <x:v>395</x:v>
      </x:c>
      <x:c r="M37" s="83" t="n">
        <x:v>63</x:v>
      </x:c>
      <x:c r="N37" s="83" t="n">
        <x:v>64</x:v>
      </x:c>
      <x:c r="O37" s="85" t="n">
        <x:v>46274</x:v>
      </x:c>
      <x:c r="P37" s="89" t="str">
        <x:f aca="0">A37&amp;TEXT(COUNTIF($A$6:A37,A37),"00")</x:f>
        <x:v>P00602</x:v>
      </x:c>
      <x:c r="Q37" s="89" t="str">
        <x:f aca="0">IF(I37&lt;100,A37&amp;"O"&amp;COUNTIFS($A$6:A37,A37,$I$6:I37,"&lt;100"),"")</x:f>
        <x:v>P006O2</x:v>
      </x:c>
      <x:c r="R37" s="89" t="str">
        <x:f aca="0">IF(I37&lt;100,D37&amp;"O"&amp;COUNTIFS($D$6:D37,D37,$I$6:I37,"&lt;100"),"")</x:f>
        <x:v>AnilO5</x:v>
      </x:c>
      <x:c r="S37" s="278" t="n">
        <x:f>IF(COUNTIF($B$6:$B$605,B37)&gt;1,1,0)</x:f>
        <x:v>0</x:v>
      </x:c>
    </x:row>
    <x:row r="38" ht="15" hidden="0">
      <x:c r="A38" s="83" t="s">
        <x:v>185</x:v>
      </x:c>
      <x:c r="B38" s="83" t="s">
        <x:v>578</x:v>
      </x:c>
      <x:c r="C38" s="83" t="s">
        <x:v>444</x:v>
      </x:c>
      <x:c r="D38" s="83" t="s">
        <x:v>452</x:v>
      </x:c>
      <x:c r="E38" s="83" t="s">
        <x:v>360</x:v>
      </x:c>
      <x:c r="F38" s="83" t="s">
        <x:v>546</x:v>
      </x:c>
      <x:c r="G38" s="85" t="n">
        <x:v>46237</x:v>
      </x:c>
      <x:c r="H38" s="85" t="n">
        <x:v>46260</x:v>
      </x:c>
      <x:c r="I38" s="87" t="n">
        <x:v>65</x:v>
      </x:c>
      <x:c r="J38" s="83" t="s">
        <x:v>543</x:v>
      </x:c>
      <x:c r="K38" s="83"/>
      <x:c r="L38" s="83" t="s">
        <x:v>395</x:v>
      </x:c>
      <x:c r="M38" s="83" t="n">
        <x:v>22</x:v>
      </x:c>
      <x:c r="N38" s="83" t="n">
        <x:v>101</x:v>
      </x:c>
      <x:c r="O38" s="85" t="n">
        <x:v>46274</x:v>
      </x:c>
      <x:c r="P38" s="89" t="str">
        <x:f aca="0">A38&amp;TEXT(COUNTIF($A$6:A38,A38),"00")</x:f>
        <x:v>P00603</x:v>
      </x:c>
      <x:c r="Q38" s="89" t="str">
        <x:f aca="0">IF(I38&lt;100,A38&amp;"O"&amp;COUNTIFS($A$6:A38,A38,$I$6:I38,"&lt;100"),"")</x:f>
        <x:v>P006O3</x:v>
      </x:c>
      <x:c r="R38" s="89" t="str">
        <x:f aca="0">IF(I38&lt;100,D38&amp;"O"&amp;COUNTIFS($D$6:D38,D38,$I$6:I38,"&lt;100"),"")</x:f>
        <x:v>KavyaO4</x:v>
      </x:c>
      <x:c r="S38" s="278" t="n">
        <x:f>IF(COUNTIF($B$6:$B$605,B38)&gt;1,1,0)</x:f>
        <x:v>0</x:v>
      </x:c>
    </x:row>
    <x:row r="39" ht="15" hidden="0">
      <x:c r="A39" s="83" t="s">
        <x:v>185</x:v>
      </x:c>
      <x:c r="B39" s="83" t="s">
        <x:v>579</x:v>
      </x:c>
      <x:c r="C39" s="83" t="s">
        <x:v>448</x:v>
      </x:c>
      <x:c r="D39" s="83" t="s">
        <x:v>455</x:v>
      </x:c>
      <x:c r="E39" s="83" t="s">
        <x:v>475</x:v>
      </x:c>
      <x:c r="F39" s="83" t="s">
        <x:v>546</x:v>
      </x:c>
      <x:c r="G39" s="85" t="n">
        <x:v>46251</x:v>
      </x:c>
      <x:c r="H39" s="85" t="n">
        <x:v>46265</x:v>
      </x:c>
      <x:c r="I39" s="87" t="n">
        <x:v>54</x:v>
      </x:c>
      <x:c r="J39" s="83" t="s">
        <x:v>543</x:v>
      </x:c>
      <x:c r="K39" s="83"/>
      <x:c r="L39" s="83" t="s">
        <x:v>395</x:v>
      </x:c>
      <x:c r="M39" s="83" t="n">
        <x:v>79</x:v>
      </x:c>
      <x:c r="N39" s="83" t="n">
        <x:v>68</x:v>
      </x:c>
      <x:c r="O39" s="85" t="n">
        <x:v>46274</x:v>
      </x:c>
      <x:c r="P39" s="89" t="str">
        <x:f aca="0">A39&amp;TEXT(COUNTIF($A$6:A39,A39),"00")</x:f>
        <x:v>P00604</x:v>
      </x:c>
      <x:c r="Q39" s="89" t="str">
        <x:f aca="0">IF(I39&lt;100,A39&amp;"O"&amp;COUNTIFS($A$6:A39,A39,$I$6:I39,"&lt;100"),"")</x:f>
        <x:v>P006O4</x:v>
      </x:c>
      <x:c r="R39" s="89" t="str">
        <x:f aca="0">IF(I39&lt;100,D39&amp;"O"&amp;COUNTIFS($D$6:D39,D39,$I$6:I39,"&lt;100"),"")</x:f>
        <x:v>RohanO3</x:v>
      </x:c>
      <x:c r="S39" s="278" t="n">
        <x:f>IF(COUNTIF($B$6:$B$605,B39)&gt;1,1,0)</x:f>
        <x:v>0</x:v>
      </x:c>
    </x:row>
    <x:row r="40" ht="15" hidden="0">
      <x:c r="A40" s="83" t="s">
        <x:v>185</x:v>
      </x:c>
      <x:c r="B40" s="83" t="s">
        <x:v>580</x:v>
      </x:c>
      <x:c r="C40" s="83" t="s">
        <x:v>451</x:v>
      </x:c>
      <x:c r="D40" s="83" t="s">
        <x:v>462</x:v>
      </x:c>
      <x:c r="E40" s="83" t="s">
        <x:v>434</x:v>
      </x:c>
      <x:c r="F40" s="83" t="s">
        <x:v>546</x:v>
      </x:c>
      <x:c r="G40" s="85" t="n">
        <x:v>46265</x:v>
      </x:c>
      <x:c r="H40" s="85" t="n">
        <x:v>46285</x:v>
      </x:c>
      <x:c r="I40" s="87" t="n">
        <x:v>71</x:v>
      </x:c>
      <x:c r="J40" s="83" t="s">
        <x:v>543</x:v>
      </x:c>
      <x:c r="K40" s="83" t="s">
        <x:v>396</x:v>
      </x:c>
      <x:c r="L40" s="83" t="s">
        <x:v>395</x:v>
      </x:c>
      <x:c r="M40" s="83" t="n">
        <x:v>32</x:v>
      </x:c>
      <x:c r="N40" s="83" t="n">
        <x:v>39</x:v>
      </x:c>
      <x:c r="O40" s="85" t="n">
        <x:v>46274</x:v>
      </x:c>
      <x:c r="P40" s="89" t="str">
        <x:f aca="0">A40&amp;TEXT(COUNTIF($A$6:A40,A40),"00")</x:f>
        <x:v>P00605</x:v>
      </x:c>
      <x:c r="Q40" s="89" t="str">
        <x:f aca="0">IF(I40&lt;100,A40&amp;"O"&amp;COUNTIFS($A$6:A40,A40,$I$6:I40,"&lt;100"),"")</x:f>
        <x:v>P006O5</x:v>
      </x:c>
      <x:c r="R40" s="89" t="str">
        <x:f aca="0">IF(I40&lt;100,D40&amp;"O"&amp;COUNTIFS($D$6:D40,D40,$I$6:I40,"&lt;100"),"")</x:f>
        <x:v>DeepaO2</x:v>
      </x:c>
      <x:c r="S40" s="278" t="n">
        <x:f>IF(COUNTIF($B$6:$B$605,B40)&gt;1,1,0)</x:f>
        <x:v>0</x:v>
      </x:c>
    </x:row>
    <x:row r="41" ht="15" hidden="0">
      <x:c r="A41" s="83" t="s">
        <x:v>185</x:v>
      </x:c>
      <x:c r="B41" s="83" t="s">
        <x:v>581</x:v>
      </x:c>
      <x:c r="C41" s="83" t="s">
        <x:v>454</x:v>
      </x:c>
      <x:c r="D41" s="83" t="s">
        <x:v>360</x:v>
      </x:c>
      <x:c r="E41" s="83" t="s">
        <x:v>441</x:v>
      </x:c>
      <x:c r="F41" s="83" t="s">
        <x:v>550</x:v>
      </x:c>
      <x:c r="G41" s="85" t="n">
        <x:v>46279</x:v>
      </x:c>
      <x:c r="H41" s="85" t="n">
        <x:v>46300</x:v>
      </x:c>
      <x:c r="I41" s="87" t="n">
        <x:v>79</x:v>
      </x:c>
      <x:c r="J41" s="83" t="s">
        <x:v>543</x:v>
      </x:c>
      <x:c r="K41" s="83"/>
      <x:c r="L41" s="83" t="s">
        <x:v>395</x:v>
      </x:c>
      <x:c r="M41" s="83" t="n">
        <x:v>95</x:v>
      </x:c>
      <x:c r="N41" s="83" t="n">
        <x:v>77</x:v>
      </x:c>
      <x:c r="O41" s="85" t="n">
        <x:v>46274</x:v>
      </x:c>
      <x:c r="P41" s="89" t="str">
        <x:f aca="0">A41&amp;TEXT(COUNTIF($A$6:A41,A41),"00")</x:f>
        <x:v>P00606</x:v>
      </x:c>
      <x:c r="Q41" s="89" t="str">
        <x:f aca="0">IF(I41&lt;100,A41&amp;"O"&amp;COUNTIFS($A$6:A41,A41,$I$6:I41,"&lt;100"),"")</x:f>
        <x:v>P006O6</x:v>
      </x:c>
      <x:c r="R41" s="89" t="str">
        <x:f aca="0">IF(I41&lt;100,D41&amp;"O"&amp;COUNTIFS($D$6:D41,D41,$I$6:I41,"&lt;100"),"")</x:f>
        <x:v>AmitO1</x:v>
      </x:c>
      <x:c r="S41" s="278" t="n">
        <x:f>IF(COUNTIF($B$6:$B$605,B41)&gt;1,1,0)</x:f>
        <x:v>0</x:v>
      </x:c>
    </x:row>
    <x:row r="42" ht="15" hidden="0">
      <x:c r="A42" s="83" t="s">
        <x:v>152</x:v>
      </x:c>
      <x:c r="B42" s="83" t="s">
        <x:v>582</x:v>
      </x:c>
      <x:c r="C42" s="83" t="s">
        <x:v>433</x:v>
      </x:c>
      <x:c r="D42" s="83" t="s">
        <x:v>449</x:v>
      </x:c>
      <x:c r="E42" s="83" t="s">
        <x:v>462</x:v>
      </x:c>
      <x:c r="F42" s="83" t="s">
        <x:v>550</x:v>
      </x:c>
      <x:c r="G42" s="85" t="n">
        <x:v>46210</x:v>
      </x:c>
      <x:c r="H42" s="85" t="n">
        <x:v>46229</x:v>
      </x:c>
      <x:c r="I42" s="87" t="n">
        <x:v>21</x:v>
      </x:c>
      <x:c r="J42" s="83" t="s">
        <x:v>543</x:v>
      </x:c>
      <x:c r="K42" s="83"/>
      <x:c r="L42" s="83" t="s">
        <x:v>395</x:v>
      </x:c>
      <x:c r="M42" s="83" t="n">
        <x:v>62</x:v>
      </x:c>
      <x:c r="N42" s="83" t="n">
        <x:v>93</x:v>
      </x:c>
      <x:c r="O42" s="85" t="n">
        <x:v>46274</x:v>
      </x:c>
      <x:c r="P42" s="89" t="str">
        <x:f aca="0">A42&amp;TEXT(COUNTIF($A$6:A42,A42),"00")</x:f>
        <x:v>P00701</x:v>
      </x:c>
      <x:c r="Q42" s="89" t="str">
        <x:f aca="0">IF(I42&lt;100,A42&amp;"O"&amp;COUNTIFS($A$6:A42,A42,$I$6:I42,"&lt;100"),"")</x:f>
        <x:v>P007O1</x:v>
      </x:c>
      <x:c r="R42" s="89" t="str">
        <x:f aca="0">IF(I42&lt;100,D42&amp;"O"&amp;COUNTIFS($D$6:D42,D42,$I$6:I42,"&lt;100"),"")</x:f>
        <x:v>AnilO6</x:v>
      </x:c>
      <x:c r="S42" s="278" t="n">
        <x:f>IF(COUNTIF($B$6:$B$605,B42)&gt;1,1,0)</x:f>
        <x:v>0</x:v>
      </x:c>
    </x:row>
    <x:row r="43" ht="15" hidden="0">
      <x:c r="A43" s="83" t="s">
        <x:v>152</x:v>
      </x:c>
      <x:c r="B43" s="83" t="s">
        <x:v>583</x:v>
      </x:c>
      <x:c r="C43" s="83" t="s">
        <x:v>440</x:v>
      </x:c>
      <x:c r="D43" s="83" t="s">
        <x:v>452</x:v>
      </x:c>
      <x:c r="E43" s="83" t="s">
        <x:v>360</x:v>
      </x:c>
      <x:c r="F43" s="83" t="s">
        <x:v>493</x:v>
      </x:c>
      <x:c r="G43" s="85" t="n">
        <x:v>46224</x:v>
      </x:c>
      <x:c r="H43" s="85" t="n">
        <x:v>46245</x:v>
      </x:c>
      <x:c r="I43" s="87" t="n">
        <x:v>40</x:v>
      </x:c>
      <x:c r="J43" s="83" t="s">
        <x:v>543</x:v>
      </x:c>
      <x:c r="K43" s="83"/>
      <x:c r="L43" s="83" t="s">
        <x:v>395</x:v>
      </x:c>
      <x:c r="M43" s="83" t="n">
        <x:v>91</x:v>
      </x:c>
      <x:c r="N43" s="83" t="n">
        <x:v>69</x:v>
      </x:c>
      <x:c r="O43" s="85" t="n">
        <x:v>46274</x:v>
      </x:c>
      <x:c r="P43" s="89" t="str">
        <x:f aca="0">A43&amp;TEXT(COUNTIF($A$6:A43,A43),"00")</x:f>
        <x:v>P00702</x:v>
      </x:c>
      <x:c r="Q43" s="89" t="str">
        <x:f aca="0">IF(I43&lt;100,A43&amp;"O"&amp;COUNTIFS($A$6:A43,A43,$I$6:I43,"&lt;100"),"")</x:f>
        <x:v>P007O2</x:v>
      </x:c>
      <x:c r="R43" s="89" t="str">
        <x:f aca="0">IF(I43&lt;100,D43&amp;"O"&amp;COUNTIFS($D$6:D43,D43,$I$6:I43,"&lt;100"),"")</x:f>
        <x:v>KavyaO5</x:v>
      </x:c>
      <x:c r="S43" s="278" t="n">
        <x:f>IF(COUNTIF($B$6:$B$605,B43)&gt;1,1,0)</x:f>
        <x:v>0</x:v>
      </x:c>
    </x:row>
    <x:row r="44" ht="15" hidden="0">
      <x:c r="A44" s="83" t="s">
        <x:v>152</x:v>
      </x:c>
      <x:c r="B44" s="83" t="s">
        <x:v>584</x:v>
      </x:c>
      <x:c r="C44" s="83" t="s">
        <x:v>444</x:v>
      </x:c>
      <x:c r="D44" s="83" t="s">
        <x:v>455</x:v>
      </x:c>
      <x:c r="E44" s="83" t="s">
        <x:v>475</x:v>
      </x:c>
      <x:c r="F44" s="83" t="s">
        <x:v>550</x:v>
      </x:c>
      <x:c r="G44" s="85" t="n">
        <x:v>46238</x:v>
      </x:c>
      <x:c r="H44" s="85" t="n">
        <x:v>46252</x:v>
      </x:c>
      <x:c r="I44" s="87" t="n">
        <x:v>34</x:v>
      </x:c>
      <x:c r="J44" s="83" t="s">
        <x:v>543</x:v>
      </x:c>
      <x:c r="K44" s="83"/>
      <x:c r="L44" s="83" t="s">
        <x:v>395</x:v>
      </x:c>
      <x:c r="M44" s="83" t="n">
        <x:v>52</x:v>
      </x:c>
      <x:c r="N44" s="83" t="n">
        <x:v>26</x:v>
      </x:c>
      <x:c r="O44" s="85" t="n">
        <x:v>46274</x:v>
      </x:c>
      <x:c r="P44" s="89" t="str">
        <x:f aca="0">A44&amp;TEXT(COUNTIF($A$6:A44,A44),"00")</x:f>
        <x:v>P00703</x:v>
      </x:c>
      <x:c r="Q44" s="89" t="str">
        <x:f aca="0">IF(I44&lt;100,A44&amp;"O"&amp;COUNTIFS($A$6:A44,A44,$I$6:I44,"&lt;100"),"")</x:f>
        <x:v>P007O3</x:v>
      </x:c>
      <x:c r="R44" s="89" t="str">
        <x:f aca="0">IF(I44&lt;100,D44&amp;"O"&amp;COUNTIFS($D$6:D44,D44,$I$6:I44,"&lt;100"),"")</x:f>
        <x:v>RohanO4</x:v>
      </x:c>
      <x:c r="S44" s="278" t="n">
        <x:f>IF(COUNTIF($B$6:$B$605,B44)&gt;1,1,0)</x:f>
        <x:v>0</x:v>
      </x:c>
    </x:row>
    <x:row r="45" ht="15" hidden="0">
      <x:c r="A45" s="83" t="s">
        <x:v>152</x:v>
      </x:c>
      <x:c r="B45" s="83" t="s">
        <x:v>585</x:v>
      </x:c>
      <x:c r="C45" s="83" t="s">
        <x:v>448</x:v>
      </x:c>
      <x:c r="D45" s="83" t="s">
        <x:v>462</x:v>
      </x:c>
      <x:c r="E45" s="83" t="s">
        <x:v>434</x:v>
      </x:c>
      <x:c r="F45" s="83" t="s">
        <x:v>550</x:v>
      </x:c>
      <x:c r="G45" s="85" t="n">
        <x:v>46252</x:v>
      </x:c>
      <x:c r="H45" s="85" t="n">
        <x:v>46269</x:v>
      </x:c>
      <x:c r="I45" s="87" t="n">
        <x:v>46</x:v>
      </x:c>
      <x:c r="J45" s="83" t="s">
        <x:v>586</x:v>
      </x:c>
      <x:c r="K45" s="83" t="s">
        <x:v>413</x:v>
      </x:c>
      <x:c r="L45" s="83" t="s">
        <x:v>412</x:v>
      </x:c>
      <x:c r="M45" s="83" t="n">
        <x:v>98</x:v>
      </x:c>
      <x:c r="N45" s="83" t="n">
        <x:v>105</x:v>
      </x:c>
      <x:c r="O45" s="85" t="n">
        <x:v>46274</x:v>
      </x:c>
      <x:c r="P45" s="89" t="str">
        <x:f aca="0">A45&amp;TEXT(COUNTIF($A$6:A45,A45),"00")</x:f>
        <x:v>P00704</x:v>
      </x:c>
      <x:c r="Q45" s="89" t="str">
        <x:f aca="0">IF(I45&lt;100,A45&amp;"O"&amp;COUNTIFS($A$6:A45,A45,$I$6:I45,"&lt;100"),"")</x:f>
        <x:v>P007O4</x:v>
      </x:c>
      <x:c r="R45" s="89" t="str">
        <x:f aca="0">IF(I45&lt;100,D45&amp;"O"&amp;COUNTIFS($D$6:D45,D45,$I$6:I45,"&lt;100"),"")</x:f>
        <x:v>DeepaO3</x:v>
      </x:c>
      <x:c r="S45" s="278" t="n">
        <x:f>IF(COUNTIF($B$6:$B$605,B45)&gt;1,1,0)</x:f>
        <x:v>0</x:v>
      </x:c>
    </x:row>
    <x:row r="46" ht="15" hidden="0">
      <x:c r="A46" s="83" t="s">
        <x:v>152</x:v>
      </x:c>
      <x:c r="B46" s="83" t="s">
        <x:v>587</x:v>
      </x:c>
      <x:c r="C46" s="83" t="s">
        <x:v>451</x:v>
      </x:c>
      <x:c r="D46" s="83" t="s">
        <x:v>360</x:v>
      </x:c>
      <x:c r="E46" s="83" t="s">
        <x:v>441</x:v>
      </x:c>
      <x:c r="F46" s="83" t="s">
        <x:v>557</x:v>
      </x:c>
      <x:c r="G46" s="85" t="n">
        <x:v>46266</x:v>
      </x:c>
      <x:c r="H46" s="85" t="n">
        <x:v>46289</x:v>
      </x:c>
      <x:c r="I46" s="87" t="n">
        <x:v>47</x:v>
      </x:c>
      <x:c r="J46" s="83" t="s">
        <x:v>586</x:v>
      </x:c>
      <x:c r="K46" s="83" t="s">
        <x:v>413</x:v>
      </x:c>
      <x:c r="L46" s="83" t="s">
        <x:v>412</x:v>
      </x:c>
      <x:c r="M46" s="83" t="n">
        <x:v>47</x:v>
      </x:c>
      <x:c r="N46" s="83" t="n">
        <x:v>62</x:v>
      </x:c>
      <x:c r="O46" s="85" t="n">
        <x:v>46274</x:v>
      </x:c>
      <x:c r="P46" s="89" t="str">
        <x:f aca="0">A46&amp;TEXT(COUNTIF($A$6:A46,A46),"00")</x:f>
        <x:v>P00705</x:v>
      </x:c>
      <x:c r="Q46" s="89" t="str">
        <x:f aca="0">IF(I46&lt;100,A46&amp;"O"&amp;COUNTIFS($A$6:A46,A46,$I$6:I46,"&lt;100"),"")</x:f>
        <x:v>P007O5</x:v>
      </x:c>
      <x:c r="R46" s="89" t="str">
        <x:f aca="0">IF(I46&lt;100,D46&amp;"O"&amp;COUNTIFS($D$6:D46,D46,$I$6:I46,"&lt;100"),"")</x:f>
        <x:v>AmitO2</x:v>
      </x:c>
      <x:c r="S46" s="278" t="n">
        <x:f>IF(COUNTIF($B$6:$B$605,B46)&gt;1,1,0)</x:f>
        <x:v>0</x:v>
      </x:c>
    </x:row>
    <x:row r="47" ht="15" hidden="0">
      <x:c r="A47" s="83" t="s">
        <x:v>152</x:v>
      </x:c>
      <x:c r="B47" s="83" t="s">
        <x:v>588</x:v>
      </x:c>
      <x:c r="C47" s="83" t="s">
        <x:v>454</x:v>
      </x:c>
      <x:c r="D47" s="83" t="s">
        <x:v>475</x:v>
      </x:c>
      <x:c r="E47" s="83" t="s">
        <x:v>445</x:v>
      </x:c>
      <x:c r="F47" s="83" t="s">
        <x:v>557</x:v>
      </x:c>
      <x:c r="G47" s="85" t="n">
        <x:v>46280</x:v>
      </x:c>
      <x:c r="H47" s="85" t="n">
        <x:v>46292</x:v>
      </x:c>
      <x:c r="I47" s="87" t="n">
        <x:v>26</x:v>
      </x:c>
      <x:c r="J47" s="83" t="s">
        <x:v>586</x:v>
      </x:c>
      <x:c r="K47" s="83" t="s">
        <x:v>413</x:v>
      </x:c>
      <x:c r="L47" s="83" t="s">
        <x:v>412</x:v>
      </x:c>
      <x:c r="M47" s="83" t="n">
        <x:v>26</x:v>
      </x:c>
      <x:c r="N47" s="83" t="n">
        <x:v>73</x:v>
      </x:c>
      <x:c r="O47" s="85" t="n">
        <x:v>46274</x:v>
      </x:c>
      <x:c r="P47" s="89" t="str">
        <x:f aca="0">A47&amp;TEXT(COUNTIF($A$6:A47,A47),"00")</x:f>
        <x:v>P00706</x:v>
      </x:c>
      <x:c r="Q47" s="89" t="str">
        <x:f aca="0">IF(I47&lt;100,A47&amp;"O"&amp;COUNTIFS($A$6:A47,A47,$I$6:I47,"&lt;100"),"")</x:f>
        <x:v>P007O6</x:v>
      </x:c>
      <x:c r="R47" s="89" t="str">
        <x:f aca="0">IF(I47&lt;100,D47&amp;"O"&amp;COUNTIFS($D$6:D47,D47,$I$6:I47,"&lt;100"),"")</x:f>
        <x:v>PriyaO1</x:v>
      </x:c>
      <x:c r="S47" s="278" t="n">
        <x:f>IF(COUNTIF($B$6:$B$605,B47)&gt;1,1,0)</x:f>
        <x:v>0</x:v>
      </x:c>
    </x:row>
    <x:row r="48" ht="15" hidden="0">
      <x:c r="A48" s="83" t="s">
        <x:v>304</x:v>
      </x:c>
      <x:c r="B48" s="83" t="s">
        <x:v>589</x:v>
      </x:c>
      <x:c r="C48" s="83" t="s">
        <x:v>433</x:v>
      </x:c>
      <x:c r="D48" s="83" t="s">
        <x:v>452</x:v>
      </x:c>
      <x:c r="E48" s="83" t="s">
        <x:v>360</x:v>
      </x:c>
      <x:c r="F48" s="83" t="s">
        <x:v>493</x:v>
      </x:c>
      <x:c r="G48" s="85" t="n">
        <x:v>46211</x:v>
      </x:c>
      <x:c r="H48" s="85" t="n">
        <x:v>46225</x:v>
      </x:c>
      <x:c r="I48" s="87" t="n">
        <x:v>98</x:v>
      </x:c>
      <x:c r="J48" s="83" t="s">
        <x:v>543</x:v>
      </x:c>
      <x:c r="K48" s="83"/>
      <x:c r="L48" s="83" t="s">
        <x:v>395</x:v>
      </x:c>
      <x:c r="M48" s="83" t="n">
        <x:v>88</x:v>
      </x:c>
      <x:c r="N48" s="83" t="n">
        <x:v>74</x:v>
      </x:c>
      <x:c r="O48" s="85" t="n">
        <x:v>46274</x:v>
      </x:c>
      <x:c r="P48" s="89" t="str">
        <x:f aca="0">A48&amp;TEXT(COUNTIF($A$6:A48,A48),"00")</x:f>
        <x:v>P00801</x:v>
      </x:c>
      <x:c r="Q48" s="89" t="str">
        <x:f aca="0">IF(I48&lt;100,A48&amp;"O"&amp;COUNTIFS($A$6:A48,A48,$I$6:I48,"&lt;100"),"")</x:f>
        <x:v>P008O1</x:v>
      </x:c>
      <x:c r="R48" s="89" t="str">
        <x:f aca="0">IF(I48&lt;100,D48&amp;"O"&amp;COUNTIFS($D$6:D48,D48,$I$6:I48,"&lt;100"),"")</x:f>
        <x:v>KavyaO6</x:v>
      </x:c>
      <x:c r="S48" s="278" t="n">
        <x:f>IF(COUNTIF($B$6:$B$605,B48)&gt;1,1,0)</x:f>
        <x:v>0</x:v>
      </x:c>
    </x:row>
    <x:row r="49" ht="15" hidden="0">
      <x:c r="A49" s="83" t="s">
        <x:v>304</x:v>
      </x:c>
      <x:c r="B49" s="83" t="s">
        <x:v>590</x:v>
      </x:c>
      <x:c r="C49" s="83" t="s">
        <x:v>440</x:v>
      </x:c>
      <x:c r="D49" s="83" t="s">
        <x:v>455</x:v>
      </x:c>
      <x:c r="E49" s="83" t="s">
        <x:v>475</x:v>
      </x:c>
      <x:c r="F49" s="83" t="s">
        <x:v>550</x:v>
      </x:c>
      <x:c r="G49" s="85" t="n">
        <x:v>46225</x:v>
      </x:c>
      <x:c r="H49" s="85" t="n">
        <x:v>46247</x:v>
      </x:c>
      <x:c r="I49" s="87" t="n">
        <x:v>72</x:v>
      </x:c>
      <x:c r="J49" s="83" t="s">
        <x:v>543</x:v>
      </x:c>
      <x:c r="K49" s="83"/>
      <x:c r="L49" s="83" t="s">
        <x:v>395</x:v>
      </x:c>
      <x:c r="M49" s="83" t="n">
        <x:v>92</x:v>
      </x:c>
      <x:c r="N49" s="83" t="n">
        <x:v>48</x:v>
      </x:c>
      <x:c r="O49" s="85" t="n">
        <x:v>46274</x:v>
      </x:c>
      <x:c r="P49" s="89" t="str">
        <x:f aca="0">A49&amp;TEXT(COUNTIF($A$6:A49,A49),"00")</x:f>
        <x:v>P00802</x:v>
      </x:c>
      <x:c r="Q49" s="89" t="str">
        <x:f aca="0">IF(I49&lt;100,A49&amp;"O"&amp;COUNTIFS($A$6:A49,A49,$I$6:I49,"&lt;100"),"")</x:f>
        <x:v>P008O2</x:v>
      </x:c>
      <x:c r="R49" s="89" t="str">
        <x:f aca="0">IF(I49&lt;100,D49&amp;"O"&amp;COUNTIFS($D$6:D49,D49,$I$6:I49,"&lt;100"),"")</x:f>
        <x:v>RohanO5</x:v>
      </x:c>
      <x:c r="S49" s="278" t="n">
        <x:f>IF(COUNTIF($B$6:$B$605,B49)&gt;1,1,0)</x:f>
        <x:v>0</x:v>
      </x:c>
    </x:row>
    <x:row r="50" ht="15" hidden="0">
      <x:c r="A50" s="83" t="s">
        <x:v>304</x:v>
      </x:c>
      <x:c r="B50" s="83" t="s">
        <x:v>591</x:v>
      </x:c>
      <x:c r="C50" s="83" t="s">
        <x:v>444</x:v>
      </x:c>
      <x:c r="D50" s="83" t="s">
        <x:v>462</x:v>
      </x:c>
      <x:c r="E50" s="83" t="s">
        <x:v>434</x:v>
      </x:c>
      <x:c r="F50" s="83" t="s">
        <x:v>546</x:v>
      </x:c>
      <x:c r="G50" s="85" t="n">
        <x:v>46239</x:v>
      </x:c>
      <x:c r="H50" s="85" t="n">
        <x:v>46259</x:v>
      </x:c>
      <x:c r="I50" s="87" t="n">
        <x:v>78</x:v>
      </x:c>
      <x:c r="J50" s="83" t="s">
        <x:v>543</x:v>
      </x:c>
      <x:c r="K50" s="83" t="s">
        <x:v>396</x:v>
      </x:c>
      <x:c r="L50" s="83" t="s">
        <x:v>395</x:v>
      </x:c>
      <x:c r="M50" s="83" t="n">
        <x:v>44</x:v>
      </x:c>
      <x:c r="N50" s="83" t="n">
        <x:v>61</x:v>
      </x:c>
      <x:c r="O50" s="85" t="n">
        <x:v>46274</x:v>
      </x:c>
      <x:c r="P50" s="89" t="str">
        <x:f aca="0">A50&amp;TEXT(COUNTIF($A$6:A50,A50),"00")</x:f>
        <x:v>P00803</x:v>
      </x:c>
      <x:c r="Q50" s="89" t="str">
        <x:f aca="0">IF(I50&lt;100,A50&amp;"O"&amp;COUNTIFS($A$6:A50,A50,$I$6:I50,"&lt;100"),"")</x:f>
        <x:v>P008O3</x:v>
      </x:c>
      <x:c r="R50" s="89" t="str">
        <x:f aca="0">IF(I50&lt;100,D50&amp;"O"&amp;COUNTIFS($D$6:D50,D50,$I$6:I50,"&lt;100"),"")</x:f>
        <x:v>DeepaO4</x:v>
      </x:c>
      <x:c r="S50" s="278" t="n">
        <x:f>IF(COUNTIF($B$6:$B$605,B50)&gt;1,1,0)</x:f>
        <x:v>0</x:v>
      </x:c>
    </x:row>
    <x:row r="51" ht="15" hidden="0">
      <x:c r="A51" s="83" t="s">
        <x:v>304</x:v>
      </x:c>
      <x:c r="B51" s="83" t="s">
        <x:v>592</x:v>
      </x:c>
      <x:c r="C51" s="83" t="s">
        <x:v>448</x:v>
      </x:c>
      <x:c r="D51" s="83" t="s">
        <x:v>360</x:v>
      </x:c>
      <x:c r="E51" s="83" t="s">
        <x:v>441</x:v>
      </x:c>
      <x:c r="F51" s="83" t="s">
        <x:v>550</x:v>
      </x:c>
      <x:c r="G51" s="85" t="n">
        <x:v>46253</x:v>
      </x:c>
      <x:c r="H51" s="85" t="n">
        <x:v>46274</x:v>
      </x:c>
      <x:c r="I51" s="87" t="n">
        <x:v>68</x:v>
      </x:c>
      <x:c r="J51" s="83" t="s">
        <x:v>543</x:v>
      </x:c>
      <x:c r="K51" s="83"/>
      <x:c r="L51" s="83" t="s">
        <x:v>395</x:v>
      </x:c>
      <x:c r="M51" s="83" t="n">
        <x:v>58</x:v>
      </x:c>
      <x:c r="N51" s="83" t="n">
        <x:v>69</x:v>
      </x:c>
      <x:c r="O51" s="85" t="n">
        <x:v>46274</x:v>
      </x:c>
      <x:c r="P51" s="89" t="str">
        <x:f aca="0">A51&amp;TEXT(COUNTIF($A$6:A51,A51),"00")</x:f>
        <x:v>P00804</x:v>
      </x:c>
      <x:c r="Q51" s="89" t="str">
        <x:f aca="0">IF(I51&lt;100,A51&amp;"O"&amp;COUNTIFS($A$6:A51,A51,$I$6:I51,"&lt;100"),"")</x:f>
        <x:v>P008O4</x:v>
      </x:c>
      <x:c r="R51" s="89" t="str">
        <x:f aca="0">IF(I51&lt;100,D51&amp;"O"&amp;COUNTIFS($D$6:D51,D51,$I$6:I51,"&lt;100"),"")</x:f>
        <x:v>AmitO3</x:v>
      </x:c>
      <x:c r="S51" s="278" t="n">
        <x:f>IF(COUNTIF($B$6:$B$605,B51)&gt;1,1,0)</x:f>
        <x:v>0</x:v>
      </x:c>
    </x:row>
    <x:row r="52" ht="15" hidden="0">
      <x:c r="A52" s="83" t="s">
        <x:v>304</x:v>
      </x:c>
      <x:c r="B52" s="83" t="s">
        <x:v>593</x:v>
      </x:c>
      <x:c r="C52" s="83" t="s">
        <x:v>451</x:v>
      </x:c>
      <x:c r="D52" s="83" t="s">
        <x:v>475</x:v>
      </x:c>
      <x:c r="E52" s="83" t="s">
        <x:v>445</x:v>
      </x:c>
      <x:c r="F52" s="83" t="s">
        <x:v>493</x:v>
      </x:c>
      <x:c r="G52" s="85" t="n">
        <x:v>46267</x:v>
      </x:c>
      <x:c r="H52" s="85" t="n">
        <x:v>46276</x:v>
      </x:c>
      <x:c r="I52" s="87" t="n">
        <x:v>83</x:v>
      </x:c>
      <x:c r="J52" s="83" t="s">
        <x:v>543</x:v>
      </x:c>
      <x:c r="K52" s="83"/>
      <x:c r="L52" s="83" t="s">
        <x:v>395</x:v>
      </x:c>
      <x:c r="M52" s="83" t="n">
        <x:v>81</x:v>
      </x:c>
      <x:c r="N52" s="83" t="n">
        <x:v>42</x:v>
      </x:c>
      <x:c r="O52" s="85" t="n">
        <x:v>46274</x:v>
      </x:c>
      <x:c r="P52" s="89" t="str">
        <x:f aca="0">A52&amp;TEXT(COUNTIF($A$6:A52,A52),"00")</x:f>
        <x:v>P00805</x:v>
      </x:c>
      <x:c r="Q52" s="89" t="str">
        <x:f aca="0">IF(I52&lt;100,A52&amp;"O"&amp;COUNTIFS($A$6:A52,A52,$I$6:I52,"&lt;100"),"")</x:f>
        <x:v>P008O5</x:v>
      </x:c>
      <x:c r="R52" s="89" t="str">
        <x:f aca="0">IF(I52&lt;100,D52&amp;"O"&amp;COUNTIFS($D$6:D52,D52,$I$6:I52,"&lt;100"),"")</x:f>
        <x:v>PriyaO2</x:v>
      </x:c>
      <x:c r="S52" s="278" t="n">
        <x:f>IF(COUNTIF($B$6:$B$605,B52)&gt;1,1,0)</x:f>
        <x:v>0</x:v>
      </x:c>
    </x:row>
    <x:row r="53" ht="15" hidden="0">
      <x:c r="A53" s="83" t="s">
        <x:v>304</x:v>
      </x:c>
      <x:c r="B53" s="83" t="s">
        <x:v>594</x:v>
      </x:c>
      <x:c r="C53" s="83" t="s">
        <x:v>454</x:v>
      </x:c>
      <x:c r="D53" s="83" t="s">
        <x:v>434</x:v>
      </x:c>
      <x:c r="E53" s="83" t="s">
        <x:v>435</x:v>
      </x:c>
      <x:c r="F53" s="83" t="s">
        <x:v>557</x:v>
      </x:c>
      <x:c r="G53" s="85" t="n">
        <x:v>46281</x:v>
      </x:c>
      <x:c r="H53" s="85" t="n">
        <x:v>46298</x:v>
      </x:c>
      <x:c r="I53" s="87" t="n">
        <x:v>100</x:v>
      </x:c>
      <x:c r="J53" s="83" t="s">
        <x:v>595</x:v>
      </x:c>
      <x:c r="K53" s="83"/>
      <x:c r="L53" s="83" t="s">
        <x:v>395</x:v>
      </x:c>
      <x:c r="M53" s="83" t="n">
        <x:v>32</x:v>
      </x:c>
      <x:c r="N53" s="83" t="n">
        <x:v>87</x:v>
      </x:c>
      <x:c r="O53" s="85" t="n">
        <x:v>46274</x:v>
      </x:c>
      <x:c r="P53" s="89" t="str">
        <x:f aca="0">A53&amp;TEXT(COUNTIF($A$6:A53,A53),"00")</x:f>
        <x:v>P00806</x:v>
      </x:c>
      <x:c r="Q53" s="89" t="str">
        <x:f aca="0">IF(I53&lt;100,A53&amp;"O"&amp;COUNTIFS($A$6:A53,A53,$I$6:I53,"&lt;100"),"")</x:f>
      </x:c>
      <x:c r="R53" s="89" t="str">
        <x:f aca="0">IF(I53&lt;100,D53&amp;"O"&amp;COUNTIFS($D$6:D53,D53,$I$6:I53,"&lt;100"),"")</x:f>
      </x:c>
      <x:c r="S53" s="278" t="n">
        <x:f>IF(COUNTIF($B$6:$B$605,B53)&gt;1,1,0)</x:f>
        <x:v>0</x:v>
      </x:c>
    </x:row>
    <x:row r="54" ht="15" hidden="0">
      <x:c r="A54" s="83" t="s">
        <x:v>179</x:v>
      </x:c>
      <x:c r="B54" s="83" t="s">
        <x:v>596</x:v>
      </x:c>
      <x:c r="C54" s="83" t="s">
        <x:v>433</x:v>
      </x:c>
      <x:c r="D54" s="83" t="s">
        <x:v>455</x:v>
      </x:c>
      <x:c r="E54" s="83" t="s">
        <x:v>475</x:v>
      </x:c>
      <x:c r="F54" s="83" t="s">
        <x:v>546</x:v>
      </x:c>
      <x:c r="G54" s="85" t="n">
        <x:v>46212</x:v>
      </x:c>
      <x:c r="H54" s="85" t="n">
        <x:v>46228</x:v>
      </x:c>
      <x:c r="I54" s="87" t="n">
        <x:v>13</x:v>
      </x:c>
      <x:c r="J54" s="83" t="s">
        <x:v>543</x:v>
      </x:c>
      <x:c r="K54" s="83"/>
      <x:c r="L54" s="83" t="s">
        <x:v>395</x:v>
      </x:c>
      <x:c r="M54" s="83" t="n">
        <x:v>68</x:v>
      </x:c>
      <x:c r="N54" s="83" t="n">
        <x:v>23</x:v>
      </x:c>
      <x:c r="O54" s="85" t="n">
        <x:v>46274</x:v>
      </x:c>
      <x:c r="P54" s="89" t="str">
        <x:f aca="0">A54&amp;TEXT(COUNTIF($A$6:A54,A54),"00")</x:f>
        <x:v>P00901</x:v>
      </x:c>
      <x:c r="Q54" s="89" t="str">
        <x:f aca="0">IF(I54&lt;100,A54&amp;"O"&amp;COUNTIFS($A$6:A54,A54,$I$6:I54,"&lt;100"),"")</x:f>
        <x:v>P009O1</x:v>
      </x:c>
      <x:c r="R54" s="89" t="str">
        <x:f aca="0">IF(I54&lt;100,D54&amp;"O"&amp;COUNTIFS($D$6:D54,D54,$I$6:I54,"&lt;100"),"")</x:f>
        <x:v>RohanO6</x:v>
      </x:c>
      <x:c r="S54" s="278" t="n">
        <x:f>IF(COUNTIF($B$6:$B$605,B54)&gt;1,1,0)</x:f>
        <x:v>0</x:v>
      </x:c>
    </x:row>
    <x:row r="55" ht="15" hidden="0">
      <x:c r="A55" s="83" t="s">
        <x:v>179</x:v>
      </x:c>
      <x:c r="B55" s="83" t="s">
        <x:v>597</x:v>
      </x:c>
      <x:c r="C55" s="83" t="s">
        <x:v>440</x:v>
      </x:c>
      <x:c r="D55" s="83" t="s">
        <x:v>462</x:v>
      </x:c>
      <x:c r="E55" s="83" t="s">
        <x:v>434</x:v>
      </x:c>
      <x:c r="F55" s="83" t="s">
        <x:v>546</x:v>
      </x:c>
      <x:c r="G55" s="85" t="n">
        <x:v>46226</x:v>
      </x:c>
      <x:c r="H55" s="85" t="n">
        <x:v>46236</x:v>
      </x:c>
      <x:c r="I55" s="87" t="n">
        <x:v>17</x:v>
      </x:c>
      <x:c r="J55" s="83" t="s">
        <x:v>543</x:v>
      </x:c>
      <x:c r="K55" s="83" t="s">
        <x:v>396</x:v>
      </x:c>
      <x:c r="L55" s="83" t="s">
        <x:v>395</x:v>
      </x:c>
      <x:c r="M55" s="83" t="n">
        <x:v>80</x:v>
      </x:c>
      <x:c r="N55" s="83" t="n">
        <x:v>84</x:v>
      </x:c>
      <x:c r="O55" s="85" t="n">
        <x:v>46274</x:v>
      </x:c>
      <x:c r="P55" s="89" t="str">
        <x:f aca="0">A55&amp;TEXT(COUNTIF($A$6:A55,A55),"00")</x:f>
        <x:v>P00902</x:v>
      </x:c>
      <x:c r="Q55" s="89" t="str">
        <x:f aca="0">IF(I55&lt;100,A55&amp;"O"&amp;COUNTIFS($A$6:A55,A55,$I$6:I55,"&lt;100"),"")</x:f>
        <x:v>P009O2</x:v>
      </x:c>
      <x:c r="R55" s="89" t="str">
        <x:f aca="0">IF(I55&lt;100,D55&amp;"O"&amp;COUNTIFS($D$6:D55,D55,$I$6:I55,"&lt;100"),"")</x:f>
        <x:v>DeepaO5</x:v>
      </x:c>
      <x:c r="S55" s="278" t="n">
        <x:f>IF(COUNTIF($B$6:$B$605,B55)&gt;1,1,0)</x:f>
        <x:v>0</x:v>
      </x:c>
    </x:row>
    <x:row r="56" ht="15" hidden="0">
      <x:c r="A56" s="83" t="s">
        <x:v>179</x:v>
      </x:c>
      <x:c r="B56" s="83" t="s">
        <x:v>598</x:v>
      </x:c>
      <x:c r="C56" s="83" t="s">
        <x:v>444</x:v>
      </x:c>
      <x:c r="D56" s="83" t="s">
        <x:v>360</x:v>
      </x:c>
      <x:c r="E56" s="83" t="s">
        <x:v>441</x:v>
      </x:c>
      <x:c r="F56" s="83" t="s">
        <x:v>557</x:v>
      </x:c>
      <x:c r="G56" s="85" t="n">
        <x:v>46240</x:v>
      </x:c>
      <x:c r="H56" s="85" t="n">
        <x:v>46251</x:v>
      </x:c>
      <x:c r="I56" s="87" t="n">
        <x:v>33</x:v>
      </x:c>
      <x:c r="J56" s="83" t="s">
        <x:v>543</x:v>
      </x:c>
      <x:c r="K56" s="83"/>
      <x:c r="L56" s="83" t="s">
        <x:v>395</x:v>
      </x:c>
      <x:c r="M56" s="83" t="n">
        <x:v>83</x:v>
      </x:c>
      <x:c r="N56" s="83" t="n">
        <x:v>65</x:v>
      </x:c>
      <x:c r="O56" s="85" t="n">
        <x:v>46274</x:v>
      </x:c>
      <x:c r="P56" s="89" t="str">
        <x:f aca="0">A56&amp;TEXT(COUNTIF($A$6:A56,A56),"00")</x:f>
        <x:v>P00903</x:v>
      </x:c>
      <x:c r="Q56" s="89" t="str">
        <x:f aca="0">IF(I56&lt;100,A56&amp;"O"&amp;COUNTIFS($A$6:A56,A56,$I$6:I56,"&lt;100"),"")</x:f>
        <x:v>P009O3</x:v>
      </x:c>
      <x:c r="R56" s="89" t="str">
        <x:f aca="0">IF(I56&lt;100,D56&amp;"O"&amp;COUNTIFS($D$6:D56,D56,$I$6:I56,"&lt;100"),"")</x:f>
        <x:v>AmitO4</x:v>
      </x:c>
      <x:c r="S56" s="278" t="n">
        <x:f>IF(COUNTIF($B$6:$B$605,B56)&gt;1,1,0)</x:f>
        <x:v>0</x:v>
      </x:c>
    </x:row>
    <x:row r="57" ht="15" hidden="0">
      <x:c r="A57" s="83" t="s">
        <x:v>179</x:v>
      </x:c>
      <x:c r="B57" s="83" t="s">
        <x:v>599</x:v>
      </x:c>
      <x:c r="C57" s="83" t="s">
        <x:v>448</x:v>
      </x:c>
      <x:c r="D57" s="83" t="s">
        <x:v>475</x:v>
      </x:c>
      <x:c r="E57" s="83" t="s">
        <x:v>445</x:v>
      </x:c>
      <x:c r="F57" s="83" t="s">
        <x:v>550</x:v>
      </x:c>
      <x:c r="G57" s="85" t="n">
        <x:v>46254</x:v>
      </x:c>
      <x:c r="H57" s="85" t="n">
        <x:v>46264</x:v>
      </x:c>
      <x:c r="I57" s="87" t="n">
        <x:v>21</x:v>
      </x:c>
      <x:c r="J57" s="83" t="s">
        <x:v>543</x:v>
      </x:c>
      <x:c r="K57" s="83"/>
      <x:c r="L57" s="83" t="s">
        <x:v>395</x:v>
      </x:c>
      <x:c r="M57" s="83" t="n">
        <x:v>41</x:v>
      </x:c>
      <x:c r="N57" s="83" t="n">
        <x:v>79</x:v>
      </x:c>
      <x:c r="O57" s="85" t="n">
        <x:v>46274</x:v>
      </x:c>
      <x:c r="P57" s="89" t="str">
        <x:f aca="0">A57&amp;TEXT(COUNTIF($A$6:A57,A57),"00")</x:f>
        <x:v>P00904</x:v>
      </x:c>
      <x:c r="Q57" s="89" t="str">
        <x:f aca="0">IF(I57&lt;100,A57&amp;"O"&amp;COUNTIFS($A$6:A57,A57,$I$6:I57,"&lt;100"),"")</x:f>
        <x:v>P009O4</x:v>
      </x:c>
      <x:c r="R57" s="89" t="str">
        <x:f aca="0">IF(I57&lt;100,D57&amp;"O"&amp;COUNTIFS($D$6:D57,D57,$I$6:I57,"&lt;100"),"")</x:f>
        <x:v>PriyaO3</x:v>
      </x:c>
      <x:c r="S57" s="278" t="n">
        <x:f>IF(COUNTIF($B$6:$B$605,B57)&gt;1,1,0)</x:f>
        <x:v>0</x:v>
      </x:c>
    </x:row>
    <x:row r="58" ht="15" hidden="0">
      <x:c r="A58" s="83" t="s">
        <x:v>179</x:v>
      </x:c>
      <x:c r="B58" s="83" t="s">
        <x:v>600</x:v>
      </x:c>
      <x:c r="C58" s="83" t="s">
        <x:v>451</x:v>
      </x:c>
      <x:c r="D58" s="83" t="s">
        <x:v>434</x:v>
      </x:c>
      <x:c r="E58" s="83" t="s">
        <x:v>435</x:v>
      </x:c>
      <x:c r="F58" s="83" t="s">
        <x:v>557</x:v>
      </x:c>
      <x:c r="G58" s="85" t="n">
        <x:v>46268</x:v>
      </x:c>
      <x:c r="H58" s="85" t="n">
        <x:v>46285</x:v>
      </x:c>
      <x:c r="I58" s="87" t="n">
        <x:v>34</x:v>
      </x:c>
      <x:c r="J58" s="83" t="s">
        <x:v>543</x:v>
      </x:c>
      <x:c r="K58" s="83"/>
      <x:c r="L58" s="83" t="s">
        <x:v>395</x:v>
      </x:c>
      <x:c r="M58" s="83" t="n">
        <x:v>72</x:v>
      </x:c>
      <x:c r="N58" s="83" t="n">
        <x:v>32</x:v>
      </x:c>
      <x:c r="O58" s="85" t="n">
        <x:v>46274</x:v>
      </x:c>
      <x:c r="P58" s="89" t="str">
        <x:f aca="0">A58&amp;TEXT(COUNTIF($A$6:A58,A58),"00")</x:f>
        <x:v>P00905</x:v>
      </x:c>
      <x:c r="Q58" s="89" t="str">
        <x:f aca="0">IF(I58&lt;100,A58&amp;"O"&amp;COUNTIFS($A$6:A58,A58,$I$6:I58,"&lt;100"),"")</x:f>
        <x:v>P009O5</x:v>
      </x:c>
      <x:c r="R58" s="89" t="str">
        <x:f aca="0">IF(I58&lt;100,D58&amp;"O"&amp;COUNTIFS($D$6:D58,D58,$I$6:I58,"&lt;100"),"")</x:f>
        <x:v>RahulO2</x:v>
      </x:c>
      <x:c r="S58" s="278" t="n">
        <x:f>IF(COUNTIF($B$6:$B$605,B58)&gt;1,1,0)</x:f>
        <x:v>0</x:v>
      </x:c>
    </x:row>
    <x:row r="59" ht="15" hidden="0">
      <x:c r="A59" s="83" t="s">
        <x:v>179</x:v>
      </x:c>
      <x:c r="B59" s="83" t="s">
        <x:v>601</x:v>
      </x:c>
      <x:c r="C59" s="83" t="s">
        <x:v>454</x:v>
      </x:c>
      <x:c r="D59" s="83" t="s">
        <x:v>441</x:v>
      </x:c>
      <x:c r="E59" s="83" t="s">
        <x:v>442</x:v>
      </x:c>
      <x:c r="F59" s="83" t="s">
        <x:v>557</x:v>
      </x:c>
      <x:c r="G59" s="85" t="n">
        <x:v>46282</x:v>
      </x:c>
      <x:c r="H59" s="85" t="n">
        <x:v>46295</x:v>
      </x:c>
      <x:c r="I59" s="87" t="n">
        <x:v>15</x:v>
      </x:c>
      <x:c r="J59" s="83" t="s">
        <x:v>543</x:v>
      </x:c>
      <x:c r="K59" s="83" t="s">
        <x:v>396</x:v>
      </x:c>
      <x:c r="L59" s="83" t="s">
        <x:v>395</x:v>
      </x:c>
      <x:c r="M59" s="83" t="n">
        <x:v>47</x:v>
      </x:c>
      <x:c r="N59" s="83" t="n">
        <x:v>60</x:v>
      </x:c>
      <x:c r="O59" s="85" t="n">
        <x:v>46274</x:v>
      </x:c>
      <x:c r="P59" s="89" t="str">
        <x:f aca="0">A59&amp;TEXT(COUNTIF($A$6:A59,A59),"00")</x:f>
        <x:v>P00906</x:v>
      </x:c>
      <x:c r="Q59" s="89" t="str">
        <x:f aca="0">IF(I59&lt;100,A59&amp;"O"&amp;COUNTIFS($A$6:A59,A59,$I$6:I59,"&lt;100"),"")</x:f>
        <x:v>P009O6</x:v>
      </x:c>
      <x:c r="R59" s="89" t="str">
        <x:f aca="0">IF(I59&lt;100,D59&amp;"O"&amp;COUNTIFS($D$6:D59,D59,$I$6:I59,"&lt;100"),"")</x:f>
        <x:v>KaranO3</x:v>
      </x:c>
      <x:c r="S59" s="278" t="n">
        <x:f>IF(COUNTIF($B$6:$B$605,B59)&gt;1,1,0)</x:f>
        <x:v>0</x:v>
      </x:c>
    </x:row>
    <x:row r="60" ht="15" hidden="0">
      <x:c r="A60" s="83" t="s">
        <x:v>169</x:v>
      </x:c>
      <x:c r="B60" s="83" t="s">
        <x:v>602</x:v>
      </x:c>
      <x:c r="C60" s="83" t="s">
        <x:v>433</x:v>
      </x:c>
      <x:c r="D60" s="83" t="s">
        <x:v>462</x:v>
      </x:c>
      <x:c r="E60" s="83" t="s">
        <x:v>434</x:v>
      </x:c>
      <x:c r="F60" s="83" t="s">
        <x:v>557</x:v>
      </x:c>
      <x:c r="G60" s="85" t="n">
        <x:v>46213</x:v>
      </x:c>
      <x:c r="H60" s="85" t="n">
        <x:v>46230</x:v>
      </x:c>
      <x:c r="I60" s="87" t="n">
        <x:v>83</x:v>
      </x:c>
      <x:c r="J60" s="83" t="s">
        <x:v>543</x:v>
      </x:c>
      <x:c r="K60" s="83"/>
      <x:c r="L60" s="83" t="s">
        <x:v>395</x:v>
      </x:c>
      <x:c r="M60" s="83" t="n">
        <x:v>51</x:v>
      </x:c>
      <x:c r="N60" s="83" t="n">
        <x:v>28</x:v>
      </x:c>
      <x:c r="O60" s="85" t="n">
        <x:v>46274</x:v>
      </x:c>
      <x:c r="P60" s="89" t="str">
        <x:f aca="0">A60&amp;TEXT(COUNTIF($A$6:A60,A60),"00")</x:f>
        <x:v>P01001</x:v>
      </x:c>
      <x:c r="Q60" s="89" t="str">
        <x:f aca="0">IF(I60&lt;100,A60&amp;"O"&amp;COUNTIFS($A$6:A60,A60,$I$6:I60,"&lt;100"),"")</x:f>
        <x:v>P010O1</x:v>
      </x:c>
      <x:c r="R60" s="89" t="str">
        <x:f aca="0">IF(I60&lt;100,D60&amp;"O"&amp;COUNTIFS($D$6:D60,D60,$I$6:I60,"&lt;100"),"")</x:f>
        <x:v>DeepaO6</x:v>
      </x:c>
      <x:c r="S60" s="278" t="n">
        <x:f>IF(COUNTIF($B$6:$B$605,B60)&gt;1,1,0)</x:f>
        <x:v>0</x:v>
      </x:c>
    </x:row>
    <x:row r="61" ht="15" hidden="0">
      <x:c r="A61" s="83" t="s">
        <x:v>169</x:v>
      </x:c>
      <x:c r="B61" s="83" t="s">
        <x:v>603</x:v>
      </x:c>
      <x:c r="C61" s="83" t="s">
        <x:v>440</x:v>
      </x:c>
      <x:c r="D61" s="83" t="s">
        <x:v>360</x:v>
      </x:c>
      <x:c r="E61" s="83" t="s">
        <x:v>441</x:v>
      </x:c>
      <x:c r="F61" s="83" t="s">
        <x:v>557</x:v>
      </x:c>
      <x:c r="G61" s="85" t="n">
        <x:v>46227</x:v>
      </x:c>
      <x:c r="H61" s="85" t="n">
        <x:v>46246</x:v>
      </x:c>
      <x:c r="I61" s="87" t="n">
        <x:v>96</x:v>
      </x:c>
      <x:c r="J61" s="83" t="s">
        <x:v>543</x:v>
      </x:c>
      <x:c r="K61" s="83"/>
      <x:c r="L61" s="83" t="s">
        <x:v>395</x:v>
      </x:c>
      <x:c r="M61" s="83" t="n">
        <x:v>64</x:v>
      </x:c>
      <x:c r="N61" s="83" t="n">
        <x:v>27</x:v>
      </x:c>
      <x:c r="O61" s="85" t="n">
        <x:v>46274</x:v>
      </x:c>
      <x:c r="P61" s="89" t="str">
        <x:f aca="0">A61&amp;TEXT(COUNTIF($A$6:A61,A61),"00")</x:f>
        <x:v>P01002</x:v>
      </x:c>
      <x:c r="Q61" s="89" t="str">
        <x:f aca="0">IF(I61&lt;100,A61&amp;"O"&amp;COUNTIFS($A$6:A61,A61,$I$6:I61,"&lt;100"),"")</x:f>
        <x:v>P010O2</x:v>
      </x:c>
      <x:c r="R61" s="89" t="str">
        <x:f aca="0">IF(I61&lt;100,D61&amp;"O"&amp;COUNTIFS($D$6:D61,D61,$I$6:I61,"&lt;100"),"")</x:f>
        <x:v>AmitO5</x:v>
      </x:c>
      <x:c r="S61" s="278" t="n">
        <x:f>IF(COUNTIF($B$6:$B$605,B61)&gt;1,1,0)</x:f>
        <x:v>0</x:v>
      </x:c>
    </x:row>
    <x:row r="62" ht="15" hidden="0">
      <x:c r="A62" s="83" t="s">
        <x:v>169</x:v>
      </x:c>
      <x:c r="B62" s="83" t="s">
        <x:v>604</x:v>
      </x:c>
      <x:c r="C62" s="83" t="s">
        <x:v>444</x:v>
      </x:c>
      <x:c r="D62" s="83" t="s">
        <x:v>475</x:v>
      </x:c>
      <x:c r="E62" s="83" t="s">
        <x:v>445</x:v>
      </x:c>
      <x:c r="F62" s="83" t="s">
        <x:v>550</x:v>
      </x:c>
      <x:c r="G62" s="85" t="n">
        <x:v>46241</x:v>
      </x:c>
      <x:c r="H62" s="85" t="n">
        <x:v>46250</x:v>
      </x:c>
      <x:c r="I62" s="87" t="n">
        <x:v>76</x:v>
      </x:c>
      <x:c r="J62" s="83" t="s">
        <x:v>543</x:v>
      </x:c>
      <x:c r="K62" s="83"/>
      <x:c r="L62" s="83" t="s">
        <x:v>395</x:v>
      </x:c>
      <x:c r="M62" s="83" t="n">
        <x:v>80</x:v>
      </x:c>
      <x:c r="N62" s="83" t="n">
        <x:v>78</x:v>
      </x:c>
      <x:c r="O62" s="85" t="n">
        <x:v>46274</x:v>
      </x:c>
      <x:c r="P62" s="89" t="str">
        <x:f aca="0">A62&amp;TEXT(COUNTIF($A$6:A62,A62),"00")</x:f>
        <x:v>P01003</x:v>
      </x:c>
      <x:c r="Q62" s="89" t="str">
        <x:f aca="0">IF(I62&lt;100,A62&amp;"O"&amp;COUNTIFS($A$6:A62,A62,$I$6:I62,"&lt;100"),"")</x:f>
        <x:v>P010O3</x:v>
      </x:c>
      <x:c r="R62" s="89" t="str">
        <x:f aca="0">IF(I62&lt;100,D62&amp;"O"&amp;COUNTIFS($D$6:D62,D62,$I$6:I62,"&lt;100"),"")</x:f>
        <x:v>PriyaO4</x:v>
      </x:c>
      <x:c r="S62" s="278" t="n">
        <x:f>IF(COUNTIF($B$6:$B$605,B62)&gt;1,1,0)</x:f>
        <x:v>0</x:v>
      </x:c>
    </x:row>
    <x:row r="63" ht="15" hidden="0">
      <x:c r="A63" s="83" t="s">
        <x:v>169</x:v>
      </x:c>
      <x:c r="B63" s="83" t="s">
        <x:v>605</x:v>
      </x:c>
      <x:c r="C63" s="83" t="s">
        <x:v>448</x:v>
      </x:c>
      <x:c r="D63" s="83" t="s">
        <x:v>434</x:v>
      </x:c>
      <x:c r="E63" s="83" t="s">
        <x:v>435</x:v>
      </x:c>
      <x:c r="F63" s="83" t="s">
        <x:v>557</x:v>
      </x:c>
      <x:c r="G63" s="85" t="n">
        <x:v>46255</x:v>
      </x:c>
      <x:c r="H63" s="85" t="n">
        <x:v>46270</x:v>
      </x:c>
      <x:c r="I63" s="87" t="n">
        <x:v>71</x:v>
      </x:c>
      <x:c r="J63" s="83" t="s">
        <x:v>543</x:v>
      </x:c>
      <x:c r="K63" s="83" t="s">
        <x:v>396</x:v>
      </x:c>
      <x:c r="L63" s="83" t="s">
        <x:v>395</x:v>
      </x:c>
      <x:c r="M63" s="83" t="n">
        <x:v>90</x:v>
      </x:c>
      <x:c r="N63" s="83" t="n">
        <x:v>24</x:v>
      </x:c>
      <x:c r="O63" s="85" t="n">
        <x:v>46274</x:v>
      </x:c>
      <x:c r="P63" s="89" t="str">
        <x:f aca="0">A63&amp;TEXT(COUNTIF($A$6:A63,A63),"00")</x:f>
        <x:v>P01004</x:v>
      </x:c>
      <x:c r="Q63" s="89" t="str">
        <x:f aca="0">IF(I63&lt;100,A63&amp;"O"&amp;COUNTIFS($A$6:A63,A63,$I$6:I63,"&lt;100"),"")</x:f>
        <x:v>P010O4</x:v>
      </x:c>
      <x:c r="R63" s="89" t="str">
        <x:f aca="0">IF(I63&lt;100,D63&amp;"O"&amp;COUNTIFS($D$6:D63,D63,$I$6:I63,"&lt;100"),"")</x:f>
        <x:v>RahulO3</x:v>
      </x:c>
      <x:c r="S63" s="278" t="n">
        <x:f>IF(COUNTIF($B$6:$B$605,B63)&gt;1,1,0)</x:f>
        <x:v>0</x:v>
      </x:c>
    </x:row>
    <x:row r="64" ht="15" hidden="0">
      <x:c r="A64" s="83" t="s">
        <x:v>169</x:v>
      </x:c>
      <x:c r="B64" s="83" t="s">
        <x:v>606</x:v>
      </x:c>
      <x:c r="C64" s="83" t="s">
        <x:v>451</x:v>
      </x:c>
      <x:c r="D64" s="83" t="s">
        <x:v>441</x:v>
      </x:c>
      <x:c r="E64" s="83" t="s">
        <x:v>442</x:v>
      </x:c>
      <x:c r="F64" s="83" t="s">
        <x:v>546</x:v>
      </x:c>
      <x:c r="G64" s="85" t="n">
        <x:v>46269</x:v>
      </x:c>
      <x:c r="H64" s="85" t="n">
        <x:v>46283</x:v>
      </x:c>
      <x:c r="I64" s="87" t="n">
        <x:v>65</x:v>
      </x:c>
      <x:c r="J64" s="83" t="s">
        <x:v>543</x:v>
      </x:c>
      <x:c r="K64" s="83"/>
      <x:c r="L64" s="83" t="s">
        <x:v>395</x:v>
      </x:c>
      <x:c r="M64" s="83" t="n">
        <x:v>81</x:v>
      </x:c>
      <x:c r="N64" s="83" t="n">
        <x:v>43</x:v>
      </x:c>
      <x:c r="O64" s="85" t="n">
        <x:v>46274</x:v>
      </x:c>
      <x:c r="P64" s="89" t="str">
        <x:f aca="0">A64&amp;TEXT(COUNTIF($A$6:A64,A64),"00")</x:f>
        <x:v>P01005</x:v>
      </x:c>
      <x:c r="Q64" s="89" t="str">
        <x:f aca="0">IF(I64&lt;100,A64&amp;"O"&amp;COUNTIFS($A$6:A64,A64,$I$6:I64,"&lt;100"),"")</x:f>
        <x:v>P010O5</x:v>
      </x:c>
      <x:c r="R64" s="89" t="str">
        <x:f aca="0">IF(I64&lt;100,D64&amp;"O"&amp;COUNTIFS($D$6:D64,D64,$I$6:I64,"&lt;100"),"")</x:f>
        <x:v>KaranO4</x:v>
      </x:c>
      <x:c r="S64" s="278" t="n">
        <x:f>IF(COUNTIF($B$6:$B$605,B64)&gt;1,1,0)</x:f>
        <x:v>0</x:v>
      </x:c>
    </x:row>
    <x:row r="65" ht="15" hidden="0">
      <x:c r="A65" s="83" t="s">
        <x:v>169</x:v>
      </x:c>
      <x:c r="B65" s="83" t="s">
        <x:v>607</x:v>
      </x:c>
      <x:c r="C65" s="83" t="s">
        <x:v>454</x:v>
      </x:c>
      <x:c r="D65" s="83" t="s">
        <x:v>445</x:v>
      </x:c>
      <x:c r="E65" s="83" t="s">
        <x:v>446</x:v>
      </x:c>
      <x:c r="F65" s="83" t="s">
        <x:v>546</x:v>
      </x:c>
      <x:c r="G65" s="85" t="n">
        <x:v>46283</x:v>
      </x:c>
      <x:c r="H65" s="85" t="n">
        <x:v>46295</x:v>
      </x:c>
      <x:c r="I65" s="87" t="n">
        <x:v>75</x:v>
      </x:c>
      <x:c r="J65" s="83" t="s">
        <x:v>543</x:v>
      </x:c>
      <x:c r="K65" s="83"/>
      <x:c r="L65" s="83" t="s">
        <x:v>395</x:v>
      </x:c>
      <x:c r="M65" s="83" t="n">
        <x:v>70</x:v>
      </x:c>
      <x:c r="N65" s="83" t="n">
        <x:v>19</x:v>
      </x:c>
      <x:c r="O65" s="85" t="n">
        <x:v>46274</x:v>
      </x:c>
      <x:c r="P65" s="89" t="str">
        <x:f aca="0">A65&amp;TEXT(COUNTIF($A$6:A65,A65),"00")</x:f>
        <x:v>P01006</x:v>
      </x:c>
      <x:c r="Q65" s="89" t="str">
        <x:f aca="0">IF(I65&lt;100,A65&amp;"O"&amp;COUNTIFS($A$6:A65,A65,$I$6:I65,"&lt;100"),"")</x:f>
        <x:v>P010O6</x:v>
      </x:c>
      <x:c r="R65" s="89" t="str">
        <x:f aca="0">IF(I65&lt;100,D65&amp;"O"&amp;COUNTIFS($D$6:D65,D65,$I$6:I65,"&lt;100"),"")</x:f>
        <x:v>MeeraO4</x:v>
      </x:c>
      <x:c r="S65" s="278" t="n">
        <x:f>IF(COUNTIF($B$6:$B$605,B65)&gt;1,1,0)</x:f>
        <x:v>0</x:v>
      </x:c>
    </x:row>
    <x:row r="66" ht="15" hidden="0">
      <x:c r="A66" s="83" t="s">
        <x:v>130</x:v>
      </x:c>
      <x:c r="B66" s="83" t="s">
        <x:v>608</x:v>
      </x:c>
      <x:c r="C66" s="83" t="s">
        <x:v>433</x:v>
      </x:c>
      <x:c r="D66" s="83" t="s">
        <x:v>360</x:v>
      </x:c>
      <x:c r="E66" s="83" t="s">
        <x:v>441</x:v>
      </x:c>
      <x:c r="F66" s="83" t="s">
        <x:v>557</x:v>
      </x:c>
      <x:c r="G66" s="85" t="n">
        <x:v>46214</x:v>
      </x:c>
      <x:c r="H66" s="85" t="n">
        <x:v>46236</x:v>
      </x:c>
      <x:c r="I66" s="87" t="n">
        <x:v>91</x:v>
      </x:c>
      <x:c r="J66" s="83" t="s">
        <x:v>543</x:v>
      </x:c>
      <x:c r="K66" s="83"/>
      <x:c r="L66" s="83" t="s">
        <x:v>395</x:v>
      </x:c>
      <x:c r="M66" s="83" t="n">
        <x:v>84</x:v>
      </x:c>
      <x:c r="N66" s="83" t="n">
        <x:v>91</x:v>
      </x:c>
      <x:c r="O66" s="85" t="n">
        <x:v>46274</x:v>
      </x:c>
      <x:c r="P66" s="89" t="str">
        <x:f aca="0">A66&amp;TEXT(COUNTIF($A$6:A66,A66),"00")</x:f>
        <x:v>P01101</x:v>
      </x:c>
      <x:c r="Q66" s="89" t="str">
        <x:f aca="0">IF(I66&lt;100,A66&amp;"O"&amp;COUNTIFS($A$6:A66,A66,$I$6:I66,"&lt;100"),"")</x:f>
        <x:v>P011O1</x:v>
      </x:c>
      <x:c r="R66" s="89" t="str">
        <x:f aca="0">IF(I66&lt;100,D66&amp;"O"&amp;COUNTIFS($D$6:D66,D66,$I$6:I66,"&lt;100"),"")</x:f>
        <x:v>AmitO6</x:v>
      </x:c>
      <x:c r="S66" s="278" t="n">
        <x:f>IF(COUNTIF($B$6:$B$605,B66)&gt;1,1,0)</x:f>
        <x:v>0</x:v>
      </x:c>
    </x:row>
    <x:row r="67" ht="15" hidden="0">
      <x:c r="A67" s="83" t="s">
        <x:v>130</x:v>
      </x:c>
      <x:c r="B67" s="83" t="s">
        <x:v>609</x:v>
      </x:c>
      <x:c r="C67" s="83" t="s">
        <x:v>440</x:v>
      </x:c>
      <x:c r="D67" s="83" t="s">
        <x:v>475</x:v>
      </x:c>
      <x:c r="E67" s="83" t="s">
        <x:v>445</x:v>
      </x:c>
      <x:c r="F67" s="83" t="s">
        <x:v>546</x:v>
      </x:c>
      <x:c r="G67" s="85" t="n">
        <x:v>46228</x:v>
      </x:c>
      <x:c r="H67" s="85" t="n">
        <x:v>46246</x:v>
      </x:c>
      <x:c r="I67" s="87" t="n">
        <x:v>78</x:v>
      </x:c>
      <x:c r="J67" s="83" t="s">
        <x:v>543</x:v>
      </x:c>
      <x:c r="K67" s="83" t="s">
        <x:v>396</x:v>
      </x:c>
      <x:c r="L67" s="83" t="s">
        <x:v>395</x:v>
      </x:c>
      <x:c r="M67" s="83" t="n">
        <x:v>56</x:v>
      </x:c>
      <x:c r="N67" s="83" t="n">
        <x:v>40</x:v>
      </x:c>
      <x:c r="O67" s="85" t="n">
        <x:v>46274</x:v>
      </x:c>
      <x:c r="P67" s="89" t="str">
        <x:f aca="0">A67&amp;TEXT(COUNTIF($A$6:A67,A67),"00")</x:f>
        <x:v>P01102</x:v>
      </x:c>
      <x:c r="Q67" s="89" t="str">
        <x:f aca="0">IF(I67&lt;100,A67&amp;"O"&amp;COUNTIFS($A$6:A67,A67,$I$6:I67,"&lt;100"),"")</x:f>
        <x:v>P011O2</x:v>
      </x:c>
      <x:c r="R67" s="89" t="str">
        <x:f aca="0">IF(I67&lt;100,D67&amp;"O"&amp;COUNTIFS($D$6:D67,D67,$I$6:I67,"&lt;100"),"")</x:f>
        <x:v>PriyaO5</x:v>
      </x:c>
      <x:c r="S67" s="278" t="n">
        <x:f>IF(COUNTIF($B$6:$B$605,B67)&gt;1,1,0)</x:f>
        <x:v>0</x:v>
      </x:c>
    </x:row>
    <x:row r="68" ht="15" hidden="0">
      <x:c r="A68" s="83" t="s">
        <x:v>130</x:v>
      </x:c>
      <x:c r="B68" s="83" t="s">
        <x:v>610</x:v>
      </x:c>
      <x:c r="C68" s="83" t="s">
        <x:v>444</x:v>
      </x:c>
      <x:c r="D68" s="83" t="s">
        <x:v>434</x:v>
      </x:c>
      <x:c r="E68" s="83" t="s">
        <x:v>435</x:v>
      </x:c>
      <x:c r="F68" s="83" t="s">
        <x:v>557</x:v>
      </x:c>
      <x:c r="G68" s="85" t="n">
        <x:v>46242</x:v>
      </x:c>
      <x:c r="H68" s="85" t="n">
        <x:v>46257</x:v>
      </x:c>
      <x:c r="I68" s="87" t="n">
        <x:v>81</x:v>
      </x:c>
      <x:c r="J68" s="83" t="s">
        <x:v>543</x:v>
      </x:c>
      <x:c r="K68" s="83"/>
      <x:c r="L68" s="83" t="s">
        <x:v>395</x:v>
      </x:c>
      <x:c r="M68" s="83" t="n">
        <x:v>97</x:v>
      </x:c>
      <x:c r="N68" s="83" t="n">
        <x:v>101</x:v>
      </x:c>
      <x:c r="O68" s="85" t="n">
        <x:v>46274</x:v>
      </x:c>
      <x:c r="P68" s="89" t="str">
        <x:f aca="0">A68&amp;TEXT(COUNTIF($A$6:A68,A68),"00")</x:f>
        <x:v>P01103</x:v>
      </x:c>
      <x:c r="Q68" s="89" t="str">
        <x:f aca="0">IF(I68&lt;100,A68&amp;"O"&amp;COUNTIFS($A$6:A68,A68,$I$6:I68,"&lt;100"),"")</x:f>
        <x:v>P011O3</x:v>
      </x:c>
      <x:c r="R68" s="89" t="str">
        <x:f aca="0">IF(I68&lt;100,D68&amp;"O"&amp;COUNTIFS($D$6:D68,D68,$I$6:I68,"&lt;100"),"")</x:f>
        <x:v>RahulO4</x:v>
      </x:c>
      <x:c r="S68" s="278" t="n">
        <x:f>IF(COUNTIF($B$6:$B$605,B68)&gt;1,1,0)</x:f>
        <x:v>0</x:v>
      </x:c>
    </x:row>
    <x:row r="69" ht="15" hidden="0">
      <x:c r="A69" s="83" t="s">
        <x:v>130</x:v>
      </x:c>
      <x:c r="B69" s="83" t="s">
        <x:v>611</x:v>
      </x:c>
      <x:c r="C69" s="83" t="s">
        <x:v>448</x:v>
      </x:c>
      <x:c r="D69" s="83" t="s">
        <x:v>441</x:v>
      </x:c>
      <x:c r="E69" s="83" t="s">
        <x:v>442</x:v>
      </x:c>
      <x:c r="F69" s="83" t="s">
        <x:v>557</x:v>
      </x:c>
      <x:c r="G69" s="85" t="n">
        <x:v>46256</x:v>
      </x:c>
      <x:c r="H69" s="85" t="n">
        <x:v>46274</x:v>
      </x:c>
      <x:c r="I69" s="87" t="n">
        <x:v>90</x:v>
      </x:c>
      <x:c r="J69" s="83" t="s">
        <x:v>543</x:v>
      </x:c>
      <x:c r="K69" s="83" t="s">
        <x:v>396</x:v>
      </x:c>
      <x:c r="L69" s="83" t="s">
        <x:v>395</x:v>
      </x:c>
      <x:c r="M69" s="83" t="n">
        <x:v>45</x:v>
      </x:c>
      <x:c r="N69" s="83" t="n">
        <x:v>94</x:v>
      </x:c>
      <x:c r="O69" s="85" t="n">
        <x:v>46274</x:v>
      </x:c>
      <x:c r="P69" s="89" t="str">
        <x:f aca="0">A69&amp;TEXT(COUNTIF($A$6:A69,A69),"00")</x:f>
        <x:v>P01104</x:v>
      </x:c>
      <x:c r="Q69" s="89" t="str">
        <x:f aca="0">IF(I69&lt;100,A69&amp;"O"&amp;COUNTIFS($A$6:A69,A69,$I$6:I69,"&lt;100"),"")</x:f>
        <x:v>P011O4</x:v>
      </x:c>
      <x:c r="R69" s="89" t="str">
        <x:f aca="0">IF(I69&lt;100,D69&amp;"O"&amp;COUNTIFS($D$6:D69,D69,$I$6:I69,"&lt;100"),"")</x:f>
        <x:v>KaranO5</x:v>
      </x:c>
      <x:c r="S69" s="278" t="n">
        <x:f>IF(COUNTIF($B$6:$B$605,B69)&gt;1,1,0)</x:f>
        <x:v>0</x:v>
      </x:c>
    </x:row>
    <x:row r="70" ht="15" hidden="0">
      <x:c r="A70" s="83" t="s">
        <x:v>130</x:v>
      </x:c>
      <x:c r="B70" s="83" t="s">
        <x:v>612</x:v>
      </x:c>
      <x:c r="C70" s="83" t="s">
        <x:v>451</x:v>
      </x:c>
      <x:c r="D70" s="83" t="s">
        <x:v>445</x:v>
      </x:c>
      <x:c r="E70" s="83" t="s">
        <x:v>446</x:v>
      </x:c>
      <x:c r="F70" s="83" t="s">
        <x:v>550</x:v>
      </x:c>
      <x:c r="G70" s="85" t="n">
        <x:v>46270</x:v>
      </x:c>
      <x:c r="H70" s="85" t="n">
        <x:v>46288</x:v>
      </x:c>
      <x:c r="I70" s="87" t="n">
        <x:v>91</x:v>
      </x:c>
      <x:c r="J70" s="83" t="s">
        <x:v>543</x:v>
      </x:c>
      <x:c r="K70" s="83"/>
      <x:c r="L70" s="83" t="s">
        <x:v>395</x:v>
      </x:c>
      <x:c r="M70" s="83" t="n">
        <x:v>34</x:v>
      </x:c>
      <x:c r="N70" s="83" t="n">
        <x:v>46</x:v>
      </x:c>
      <x:c r="O70" s="85" t="n">
        <x:v>46274</x:v>
      </x:c>
      <x:c r="P70" s="89" t="str">
        <x:f aca="0">A70&amp;TEXT(COUNTIF($A$6:A70,A70),"00")</x:f>
        <x:v>P01105</x:v>
      </x:c>
      <x:c r="Q70" s="89" t="str">
        <x:f aca="0">IF(I70&lt;100,A70&amp;"O"&amp;COUNTIFS($A$6:A70,A70,$I$6:I70,"&lt;100"),"")</x:f>
        <x:v>P011O5</x:v>
      </x:c>
      <x:c r="R70" s="89" t="str">
        <x:f aca="0">IF(I70&lt;100,D70&amp;"O"&amp;COUNTIFS($D$6:D70,D70,$I$6:I70,"&lt;100"),"")</x:f>
        <x:v>MeeraO5</x:v>
      </x:c>
      <x:c r="S70" s="278" t="n">
        <x:f>IF(COUNTIF($B$6:$B$605,B70)&gt;1,1,0)</x:f>
        <x:v>0</x:v>
      </x:c>
    </x:row>
    <x:row r="71" ht="15" hidden="0">
      <x:c r="A71" s="83" t="s">
        <x:v>130</x:v>
      </x:c>
      <x:c r="B71" s="83" t="s">
        <x:v>613</x:v>
      </x:c>
      <x:c r="C71" s="83" t="s">
        <x:v>454</x:v>
      </x:c>
      <x:c r="D71" s="83" t="s">
        <x:v>435</x:v>
      </x:c>
      <x:c r="E71" s="83" t="s">
        <x:v>449</x:v>
      </x:c>
      <x:c r="F71" s="83" t="s">
        <x:v>557</x:v>
      </x:c>
      <x:c r="G71" s="85" t="n">
        <x:v>46284</x:v>
      </x:c>
      <x:c r="H71" s="85" t="n">
        <x:v>46297</x:v>
      </x:c>
      <x:c r="I71" s="87" t="n">
        <x:v>97</x:v>
      </x:c>
      <x:c r="J71" s="83" t="s">
        <x:v>543</x:v>
      </x:c>
      <x:c r="K71" s="83"/>
      <x:c r="L71" s="83" t="s">
        <x:v>395</x:v>
      </x:c>
      <x:c r="M71" s="83" t="n">
        <x:v>29</x:v>
      </x:c>
      <x:c r="N71" s="83" t="n">
        <x:v>74</x:v>
      </x:c>
      <x:c r="O71" s="85" t="n">
        <x:v>46274</x:v>
      </x:c>
      <x:c r="P71" s="89" t="str">
        <x:f aca="0">A71&amp;TEXT(COUNTIF($A$6:A71,A71),"00")</x:f>
        <x:v>P01106</x:v>
      </x:c>
      <x:c r="Q71" s="89" t="str">
        <x:f aca="0">IF(I71&lt;100,A71&amp;"O"&amp;COUNTIFS($A$6:A71,A71,$I$6:I71,"&lt;100"),"")</x:f>
        <x:v>P011O6</x:v>
      </x:c>
      <x:c r="R71" s="89" t="str">
        <x:f aca="0">IF(I71&lt;100,D71&amp;"O"&amp;COUNTIFS($D$6:D71,D71,$I$6:I71,"&lt;100"),"")</x:f>
        <x:v>VivekO5</x:v>
      </x:c>
      <x:c r="S71" s="278" t="n">
        <x:f>IF(COUNTIF($B$6:$B$605,B71)&gt;1,1,0)</x:f>
        <x:v>0</x:v>
      </x:c>
    </x:row>
    <x:row r="72" ht="15" hidden="0">
      <x:c r="A72" s="83" t="s">
        <x:v>163</x:v>
      </x:c>
      <x:c r="B72" s="83" t="s">
        <x:v>614</x:v>
      </x:c>
      <x:c r="C72" s="83" t="s">
        <x:v>433</x:v>
      </x:c>
      <x:c r="D72" s="83" t="s">
        <x:v>475</x:v>
      </x:c>
      <x:c r="E72" s="83" t="s">
        <x:v>445</x:v>
      </x:c>
      <x:c r="F72" s="83" t="s">
        <x:v>557</x:v>
      </x:c>
      <x:c r="G72" s="85" t="n">
        <x:v>46215</x:v>
      </x:c>
      <x:c r="H72" s="85" t="n">
        <x:v>46230</x:v>
      </x:c>
      <x:c r="I72" s="87" t="n">
        <x:v>22</x:v>
      </x:c>
      <x:c r="J72" s="83" t="s">
        <x:v>543</x:v>
      </x:c>
      <x:c r="K72" s="83"/>
      <x:c r="L72" s="83" t="s">
        <x:v>395</x:v>
      </x:c>
      <x:c r="M72" s="83" t="n">
        <x:v>76</x:v>
      </x:c>
      <x:c r="N72" s="83" t="n">
        <x:v>63</x:v>
      </x:c>
      <x:c r="O72" s="85" t="n">
        <x:v>46274</x:v>
      </x:c>
      <x:c r="P72" s="89" t="str">
        <x:f aca="0">A72&amp;TEXT(COUNTIF($A$6:A72,A72),"00")</x:f>
        <x:v>P01201</x:v>
      </x:c>
      <x:c r="Q72" s="89" t="str">
        <x:f aca="0">IF(I72&lt;100,A72&amp;"O"&amp;COUNTIFS($A$6:A72,A72,$I$6:I72,"&lt;100"),"")</x:f>
        <x:v>P012O1</x:v>
      </x:c>
      <x:c r="R72" s="89" t="str">
        <x:f aca="0">IF(I72&lt;100,D72&amp;"O"&amp;COUNTIFS($D$6:D72,D72,$I$6:I72,"&lt;100"),"")</x:f>
        <x:v>PriyaO6</x:v>
      </x:c>
      <x:c r="S72" s="278" t="n">
        <x:f>IF(COUNTIF($B$6:$B$605,B72)&gt;1,1,0)</x:f>
        <x:v>0</x:v>
      </x:c>
    </x:row>
    <x:row r="73" ht="15" hidden="0">
      <x:c r="A73" s="83" t="s">
        <x:v>163</x:v>
      </x:c>
      <x:c r="B73" s="83" t="s">
        <x:v>615</x:v>
      </x:c>
      <x:c r="C73" s="83" t="s">
        <x:v>440</x:v>
      </x:c>
      <x:c r="D73" s="83" t="s">
        <x:v>434</x:v>
      </x:c>
      <x:c r="E73" s="83" t="s">
        <x:v>435</x:v>
      </x:c>
      <x:c r="F73" s="83" t="s">
        <x:v>493</x:v>
      </x:c>
      <x:c r="G73" s="85" t="n">
        <x:v>46229</x:v>
      </x:c>
      <x:c r="H73" s="85" t="n">
        <x:v>46250</x:v>
      </x:c>
      <x:c r="I73" s="87" t="n">
        <x:v>58</x:v>
      </x:c>
      <x:c r="J73" s="83" t="s">
        <x:v>543</x:v>
      </x:c>
      <x:c r="K73" s="83"/>
      <x:c r="L73" s="83" t="s">
        <x:v>395</x:v>
      </x:c>
      <x:c r="M73" s="83" t="n">
        <x:v>65</x:v>
      </x:c>
      <x:c r="N73" s="83" t="n">
        <x:v>75</x:v>
      </x:c>
      <x:c r="O73" s="85" t="n">
        <x:v>46274</x:v>
      </x:c>
      <x:c r="P73" s="89" t="str">
        <x:f aca="0">A73&amp;TEXT(COUNTIF($A$6:A73,A73),"00")</x:f>
        <x:v>P01202</x:v>
      </x:c>
      <x:c r="Q73" s="89" t="str">
        <x:f aca="0">IF(I73&lt;100,A73&amp;"O"&amp;COUNTIFS($A$6:A73,A73,$I$6:I73,"&lt;100"),"")</x:f>
        <x:v>P012O2</x:v>
      </x:c>
      <x:c r="R73" s="89" t="str">
        <x:f aca="0">IF(I73&lt;100,D73&amp;"O"&amp;COUNTIFS($D$6:D73,D73,$I$6:I73,"&lt;100"),"")</x:f>
        <x:v>RahulO5</x:v>
      </x:c>
      <x:c r="S73" s="278" t="n">
        <x:f>IF(COUNTIF($B$6:$B$605,B73)&gt;1,1,0)</x:f>
        <x:v>0</x:v>
      </x:c>
    </x:row>
    <x:row r="74" ht="15" hidden="0">
      <x:c r="A74" s="83" t="s">
        <x:v>163</x:v>
      </x:c>
      <x:c r="B74" s="83" t="s">
        <x:v>616</x:v>
      </x:c>
      <x:c r="C74" s="83" t="s">
        <x:v>444</x:v>
      </x:c>
      <x:c r="D74" s="83" t="s">
        <x:v>441</x:v>
      </x:c>
      <x:c r="E74" s="83" t="s">
        <x:v>442</x:v>
      </x:c>
      <x:c r="F74" s="83" t="s">
        <x:v>546</x:v>
      </x:c>
      <x:c r="G74" s="85" t="n">
        <x:v>46243</x:v>
      </x:c>
      <x:c r="H74" s="85" t="n">
        <x:v>46257</x:v>
      </x:c>
      <x:c r="I74" s="87" t="n">
        <x:v>35</x:v>
      </x:c>
      <x:c r="J74" s="83" t="s">
        <x:v>543</x:v>
      </x:c>
      <x:c r="K74" s="83" t="s">
        <x:v>396</x:v>
      </x:c>
      <x:c r="L74" s="83" t="s">
        <x:v>395</x:v>
      </x:c>
      <x:c r="M74" s="83" t="n">
        <x:v>44</x:v>
      </x:c>
      <x:c r="N74" s="83" t="n">
        <x:v>47</x:v>
      </x:c>
      <x:c r="O74" s="85" t="n">
        <x:v>46274</x:v>
      </x:c>
      <x:c r="P74" s="89" t="str">
        <x:f aca="0">A74&amp;TEXT(COUNTIF($A$6:A74,A74),"00")</x:f>
        <x:v>P01203</x:v>
      </x:c>
      <x:c r="Q74" s="89" t="str">
        <x:f aca="0">IF(I74&lt;100,A74&amp;"O"&amp;COUNTIFS($A$6:A74,A74,$I$6:I74,"&lt;100"),"")</x:f>
        <x:v>P012O3</x:v>
      </x:c>
      <x:c r="R74" s="89" t="str">
        <x:f aca="0">IF(I74&lt;100,D74&amp;"O"&amp;COUNTIFS($D$6:D74,D74,$I$6:I74,"&lt;100"),"")</x:f>
        <x:v>KaranO6</x:v>
      </x:c>
      <x:c r="S74" s="278" t="n">
        <x:f>IF(COUNTIF($B$6:$B$605,B74)&gt;1,1,0)</x:f>
        <x:v>0</x:v>
      </x:c>
    </x:row>
    <x:row r="75" ht="15" hidden="0">
      <x:c r="A75" s="83" t="s">
        <x:v>163</x:v>
      </x:c>
      <x:c r="B75" s="83" t="s">
        <x:v>617</x:v>
      </x:c>
      <x:c r="C75" s="83" t="s">
        <x:v>448</x:v>
      </x:c>
      <x:c r="D75" s="83" t="s">
        <x:v>445</x:v>
      </x:c>
      <x:c r="E75" s="83" t="s">
        <x:v>446</x:v>
      </x:c>
      <x:c r="F75" s="83" t="s">
        <x:v>493</x:v>
      </x:c>
      <x:c r="G75" s="85" t="n">
        <x:v>46257</x:v>
      </x:c>
      <x:c r="H75" s="85" t="n">
        <x:v>46266</x:v>
      </x:c>
      <x:c r="I75" s="87" t="n">
        <x:v>44</x:v>
      </x:c>
      <x:c r="J75" s="83" t="s">
        <x:v>586</x:v>
      </x:c>
      <x:c r="K75" s="83" t="s">
        <x:v>413</x:v>
      </x:c>
      <x:c r="L75" s="83" t="s">
        <x:v>412</x:v>
      </x:c>
      <x:c r="M75" s="83" t="n">
        <x:v>51</x:v>
      </x:c>
      <x:c r="N75" s="83" t="n">
        <x:v>93</x:v>
      </x:c>
      <x:c r="O75" s="85" t="n">
        <x:v>46274</x:v>
      </x:c>
      <x:c r="P75" s="89" t="str">
        <x:f aca="0">A75&amp;TEXT(COUNTIF($A$6:A75,A75),"00")</x:f>
        <x:v>P01204</x:v>
      </x:c>
      <x:c r="Q75" s="89" t="str">
        <x:f aca="0">IF(I75&lt;100,A75&amp;"O"&amp;COUNTIFS($A$6:A75,A75,$I$6:I75,"&lt;100"),"")</x:f>
        <x:v>P012O4</x:v>
      </x:c>
      <x:c r="R75" s="89" t="str">
        <x:f aca="0">IF(I75&lt;100,D75&amp;"O"&amp;COUNTIFS($D$6:D75,D75,$I$6:I75,"&lt;100"),"")</x:f>
        <x:v>MeeraO6</x:v>
      </x:c>
      <x:c r="S75" s="278" t="n">
        <x:f>IF(COUNTIF($B$6:$B$605,B75)&gt;1,1,0)</x:f>
        <x:v>0</x:v>
      </x:c>
    </x:row>
    <x:row r="76" ht="15" hidden="0">
      <x:c r="A76" s="83" t="s">
        <x:v>163</x:v>
      </x:c>
      <x:c r="B76" s="83" t="s">
        <x:v>618</x:v>
      </x:c>
      <x:c r="C76" s="83" t="s">
        <x:v>451</x:v>
      </x:c>
      <x:c r="D76" s="83" t="s">
        <x:v>435</x:v>
      </x:c>
      <x:c r="E76" s="83" t="s">
        <x:v>449</x:v>
      </x:c>
      <x:c r="F76" s="83" t="s">
        <x:v>493</x:v>
      </x:c>
      <x:c r="G76" s="85" t="n">
        <x:v>46271</x:v>
      </x:c>
      <x:c r="H76" s="85" t="n">
        <x:v>46281</x:v>
      </x:c>
      <x:c r="I76" s="87" t="n">
        <x:v>29</x:v>
      </x:c>
      <x:c r="J76" s="83" t="s">
        <x:v>586</x:v>
      </x:c>
      <x:c r="K76" s="83" t="s">
        <x:v>413</x:v>
      </x:c>
      <x:c r="L76" s="83" t="s">
        <x:v>412</x:v>
      </x:c>
      <x:c r="M76" s="83" t="n">
        <x:v>72</x:v>
      </x:c>
      <x:c r="N76" s="83" t="n">
        <x:v>63</x:v>
      </x:c>
      <x:c r="O76" s="85" t="n">
        <x:v>46274</x:v>
      </x:c>
      <x:c r="P76" s="89" t="str">
        <x:f aca="0">A76&amp;TEXT(COUNTIF($A$6:A76,A76),"00")</x:f>
        <x:v>P01205</x:v>
      </x:c>
      <x:c r="Q76" s="89" t="str">
        <x:f aca="0">IF(I76&lt;100,A76&amp;"O"&amp;COUNTIFS($A$6:A76,A76,$I$6:I76,"&lt;100"),"")</x:f>
        <x:v>P012O5</x:v>
      </x:c>
      <x:c r="R76" s="89" t="str">
        <x:f aca="0">IF(I76&lt;100,D76&amp;"O"&amp;COUNTIFS($D$6:D76,D76,$I$6:I76,"&lt;100"),"")</x:f>
        <x:v>VivekO6</x:v>
      </x:c>
      <x:c r="S76" s="278" t="n">
        <x:f>IF(COUNTIF($B$6:$B$605,B76)&gt;1,1,0)</x:f>
        <x:v>0</x:v>
      </x:c>
    </x:row>
    <x:row r="77" ht="15" hidden="0">
      <x:c r="A77" s="83" t="s">
        <x:v>163</x:v>
      </x:c>
      <x:c r="B77" s="83" t="s">
        <x:v>619</x:v>
      </x:c>
      <x:c r="C77" s="83" t="s">
        <x:v>454</x:v>
      </x:c>
      <x:c r="D77" s="83" t="s">
        <x:v>442</x:v>
      </x:c>
      <x:c r="E77" s="83" t="s">
        <x:v>452</x:v>
      </x:c>
      <x:c r="F77" s="83" t="s">
        <x:v>550</x:v>
      </x:c>
      <x:c r="G77" s="85" t="n">
        <x:v>46285</x:v>
      </x:c>
      <x:c r="H77" s="85" t="n">
        <x:v>46304</x:v>
      </x:c>
      <x:c r="I77" s="87" t="n">
        <x:v>29</x:v>
      </x:c>
      <x:c r="J77" s="83" t="s">
        <x:v>586</x:v>
      </x:c>
      <x:c r="K77" s="83" t="s">
        <x:v>413</x:v>
      </x:c>
      <x:c r="L77" s="83" t="s">
        <x:v>412</x:v>
      </x:c>
      <x:c r="M77" s="83" t="n">
        <x:v>70</x:v>
      </x:c>
      <x:c r="N77" s="83" t="n">
        <x:v>42</x:v>
      </x:c>
      <x:c r="O77" s="85" t="n">
        <x:v>46274</x:v>
      </x:c>
      <x:c r="P77" s="89" t="str">
        <x:f aca="0">A77&amp;TEXT(COUNTIF($A$6:A77,A77),"00")</x:f>
        <x:v>P01206</x:v>
      </x:c>
      <x:c r="Q77" s="89" t="str">
        <x:f aca="0">IF(I77&lt;100,A77&amp;"O"&amp;COUNTIFS($A$6:A77,A77,$I$6:I77,"&lt;100"),"")</x:f>
        <x:v>P012O6</x:v>
      </x:c>
      <x:c r="R77" s="89" t="str">
        <x:f aca="0">IF(I77&lt;100,D77&amp;"O"&amp;COUNTIFS($D$6:D77,D77,$I$6:I77,"&lt;100"),"")</x:f>
        <x:v>RituO6</x:v>
      </x:c>
      <x:c r="S77" s="278" t="n">
        <x:f>IF(COUNTIF($B$6:$B$605,B77)&gt;1,1,0)</x:f>
        <x:v>0</x:v>
      </x:c>
    </x:row>
    <x:row r="78" ht="15" hidden="0">
      <x:c r="A78" s="83" t="s">
        <x:v>302</x:v>
      </x:c>
      <x:c r="B78" s="83" t="s">
        <x:v>620</x:v>
      </x:c>
      <x:c r="C78" s="83" t="s">
        <x:v>433</x:v>
      </x:c>
      <x:c r="D78" s="83" t="s">
        <x:v>434</x:v>
      </x:c>
      <x:c r="E78" s="83" t="s">
        <x:v>435</x:v>
      </x:c>
      <x:c r="F78" s="83" t="s">
        <x:v>493</x:v>
      </x:c>
      <x:c r="G78" s="85" t="n">
        <x:v>46216</x:v>
      </x:c>
      <x:c r="H78" s="85" t="n">
        <x:v>46232</x:v>
      </x:c>
      <x:c r="I78" s="87" t="n">
        <x:v>62</x:v>
      </x:c>
      <x:c r="J78" s="83" t="s">
        <x:v>543</x:v>
      </x:c>
      <x:c r="K78" s="83" t="s">
        <x:v>396</x:v>
      </x:c>
      <x:c r="L78" s="83" t="s">
        <x:v>395</x:v>
      </x:c>
      <x:c r="M78" s="83" t="n">
        <x:v>91</x:v>
      </x:c>
      <x:c r="N78" s="83" t="n">
        <x:v>88</x:v>
      </x:c>
      <x:c r="O78" s="85" t="n">
        <x:v>46274</x:v>
      </x:c>
      <x:c r="P78" s="89" t="str">
        <x:f aca="0">A78&amp;TEXT(COUNTIF($A$6:A78,A78),"00")</x:f>
        <x:v>P01301</x:v>
      </x:c>
      <x:c r="Q78" s="89" t="str">
        <x:f aca="0">IF(I78&lt;100,A78&amp;"O"&amp;COUNTIFS($A$6:A78,A78,$I$6:I78,"&lt;100"),"")</x:f>
        <x:v>P013O1</x:v>
      </x:c>
      <x:c r="R78" s="89" t="str">
        <x:f aca="0">IF(I78&lt;100,D78&amp;"O"&amp;COUNTIFS($D$6:D78,D78,$I$6:I78,"&lt;100"),"")</x:f>
        <x:v>RahulO6</x:v>
      </x:c>
      <x:c r="S78" s="278" t="n">
        <x:f>IF(COUNTIF($B$6:$B$605,B78)&gt;1,1,0)</x:f>
        <x:v>0</x:v>
      </x:c>
    </x:row>
    <x:row r="79" ht="15" hidden="0">
      <x:c r="A79" s="83" t="s">
        <x:v>302</x:v>
      </x:c>
      <x:c r="B79" s="83" t="s">
        <x:v>621</x:v>
      </x:c>
      <x:c r="C79" s="83" t="s">
        <x:v>440</x:v>
      </x:c>
      <x:c r="D79" s="83" t="s">
        <x:v>441</x:v>
      </x:c>
      <x:c r="E79" s="83" t="s">
        <x:v>442</x:v>
      </x:c>
      <x:c r="F79" s="83" t="s">
        <x:v>493</x:v>
      </x:c>
      <x:c r="G79" s="85" t="n">
        <x:v>46230</x:v>
      </x:c>
      <x:c r="H79" s="85" t="n">
        <x:v>46254</x:v>
      </x:c>
      <x:c r="I79" s="87" t="n">
        <x:v>61</x:v>
      </x:c>
      <x:c r="J79" s="83" t="s">
        <x:v>543</x:v>
      </x:c>
      <x:c r="K79" s="83"/>
      <x:c r="L79" s="83" t="s">
        <x:v>395</x:v>
      </x:c>
      <x:c r="M79" s="83" t="n">
        <x:v>68</x:v>
      </x:c>
      <x:c r="N79" s="83" t="n">
        <x:v>43</x:v>
      </x:c>
      <x:c r="O79" s="85" t="n">
        <x:v>46274</x:v>
      </x:c>
      <x:c r="P79" s="89" t="str">
        <x:f aca="0">A79&amp;TEXT(COUNTIF($A$6:A79,A79),"00")</x:f>
        <x:v>P01302</x:v>
      </x:c>
      <x:c r="Q79" s="89" t="str">
        <x:f aca="0">IF(I79&lt;100,A79&amp;"O"&amp;COUNTIFS($A$6:A79,A79,$I$6:I79,"&lt;100"),"")</x:f>
        <x:v>P013O2</x:v>
      </x:c>
      <x:c r="R79" s="89" t="str">
        <x:f aca="0">IF(I79&lt;100,D79&amp;"O"&amp;COUNTIFS($D$6:D79,D79,$I$6:I79,"&lt;100"),"")</x:f>
        <x:v>KaranO7</x:v>
      </x:c>
      <x:c r="S79" s="278" t="n">
        <x:f>IF(COUNTIF($B$6:$B$605,B79)&gt;1,1,0)</x:f>
        <x:v>0</x:v>
      </x:c>
    </x:row>
    <x:row r="80" ht="15" hidden="0">
      <x:c r="A80" s="83" t="s">
        <x:v>302</x:v>
      </x:c>
      <x:c r="B80" s="83" t="s">
        <x:v>622</x:v>
      </x:c>
      <x:c r="C80" s="83" t="s">
        <x:v>444</x:v>
      </x:c>
      <x:c r="D80" s="83" t="s">
        <x:v>445</x:v>
      </x:c>
      <x:c r="E80" s="83" t="s">
        <x:v>446</x:v>
      </x:c>
      <x:c r="F80" s="83" t="s">
        <x:v>557</x:v>
      </x:c>
      <x:c r="G80" s="85" t="n">
        <x:v>46244</x:v>
      </x:c>
      <x:c r="H80" s="85" t="n">
        <x:v>46268</x:v>
      </x:c>
      <x:c r="I80" s="87" t="n">
        <x:v>67</x:v>
      </x:c>
      <x:c r="J80" s="83" t="s">
        <x:v>543</x:v>
      </x:c>
      <x:c r="K80" s="83"/>
      <x:c r="L80" s="83" t="s">
        <x:v>395</x:v>
      </x:c>
      <x:c r="M80" s="83" t="n">
        <x:v>36</x:v>
      </x:c>
      <x:c r="N80" s="83" t="n">
        <x:v>83</x:v>
      </x:c>
      <x:c r="O80" s="85" t="n">
        <x:v>46274</x:v>
      </x:c>
      <x:c r="P80" s="89" t="str">
        <x:f aca="0">A80&amp;TEXT(COUNTIF($A$6:A80,A80),"00")</x:f>
        <x:v>P01303</x:v>
      </x:c>
      <x:c r="Q80" s="89" t="str">
        <x:f aca="0">IF(I80&lt;100,A80&amp;"O"&amp;COUNTIFS($A$6:A80,A80,$I$6:I80,"&lt;100"),"")</x:f>
        <x:v>P013O3</x:v>
      </x:c>
      <x:c r="R80" s="89" t="str">
        <x:f aca="0">IF(I80&lt;100,D80&amp;"O"&amp;COUNTIFS($D$6:D80,D80,$I$6:I80,"&lt;100"),"")</x:f>
        <x:v>MeeraO7</x:v>
      </x:c>
      <x:c r="S80" s="278" t="n">
        <x:f>IF(COUNTIF($B$6:$B$605,B80)&gt;1,1,0)</x:f>
        <x:v>0</x:v>
      </x:c>
    </x:row>
    <x:row r="81" ht="15" hidden="0">
      <x:c r="A81" s="83" t="s">
        <x:v>302</x:v>
      </x:c>
      <x:c r="B81" s="83" t="s">
        <x:v>623</x:v>
      </x:c>
      <x:c r="C81" s="83" t="s">
        <x:v>448</x:v>
      </x:c>
      <x:c r="D81" s="83" t="s">
        <x:v>435</x:v>
      </x:c>
      <x:c r="E81" s="83" t="s">
        <x:v>449</x:v>
      </x:c>
      <x:c r="F81" s="83" t="s">
        <x:v>550</x:v>
      </x:c>
      <x:c r="G81" s="85" t="n">
        <x:v>46258</x:v>
      </x:c>
      <x:c r="H81" s="85" t="n">
        <x:v>46274</x:v>
      </x:c>
      <x:c r="I81" s="87" t="n">
        <x:v>57</x:v>
      </x:c>
      <x:c r="J81" s="83" t="s">
        <x:v>543</x:v>
      </x:c>
      <x:c r="K81" s="83"/>
      <x:c r="L81" s="83" t="s">
        <x:v>395</x:v>
      </x:c>
      <x:c r="M81" s="83" t="n">
        <x:v>64</x:v>
      </x:c>
      <x:c r="N81" s="83" t="n">
        <x:v>50</x:v>
      </x:c>
      <x:c r="O81" s="85" t="n">
        <x:v>46274</x:v>
      </x:c>
      <x:c r="P81" s="89" t="str">
        <x:f aca="0">A81&amp;TEXT(COUNTIF($A$6:A81,A81),"00")</x:f>
        <x:v>P01304</x:v>
      </x:c>
      <x:c r="Q81" s="89" t="str">
        <x:f aca="0">IF(I81&lt;100,A81&amp;"O"&amp;COUNTIFS($A$6:A81,A81,$I$6:I81,"&lt;100"),"")</x:f>
        <x:v>P013O4</x:v>
      </x:c>
      <x:c r="R81" s="89" t="str">
        <x:f aca="0">IF(I81&lt;100,D81&amp;"O"&amp;COUNTIFS($D$6:D81,D81,$I$6:I81,"&lt;100"),"")</x:f>
        <x:v>VivekO7</x:v>
      </x:c>
      <x:c r="S81" s="278" t="n">
        <x:f>IF(COUNTIF($B$6:$B$605,B81)&gt;1,1,0)</x:f>
        <x:v>0</x:v>
      </x:c>
    </x:row>
    <x:row r="82" ht="15" hidden="0">
      <x:c r="A82" s="83" t="s">
        <x:v>302</x:v>
      </x:c>
      <x:c r="B82" s="83" t="s">
        <x:v>624</x:v>
      </x:c>
      <x:c r="C82" s="83" t="s">
        <x:v>451</x:v>
      </x:c>
      <x:c r="D82" s="83" t="s">
        <x:v>442</x:v>
      </x:c>
      <x:c r="E82" s="83" t="s">
        <x:v>452</x:v>
      </x:c>
      <x:c r="F82" s="83" t="s">
        <x:v>557</x:v>
      </x:c>
      <x:c r="G82" s="85" t="n">
        <x:v>46272</x:v>
      </x:c>
      <x:c r="H82" s="85" t="n">
        <x:v>46291</x:v>
      </x:c>
      <x:c r="I82" s="87" t="n">
        <x:v>80</x:v>
      </x:c>
      <x:c r="J82" s="83" t="s">
        <x:v>543</x:v>
      </x:c>
      <x:c r="K82" s="83"/>
      <x:c r="L82" s="83" t="s">
        <x:v>395</x:v>
      </x:c>
      <x:c r="M82" s="83" t="n">
        <x:v>53</x:v>
      </x:c>
      <x:c r="N82" s="83" t="n">
        <x:v>69</x:v>
      </x:c>
      <x:c r="O82" s="85" t="n">
        <x:v>46274</x:v>
      </x:c>
      <x:c r="P82" s="89" t="str">
        <x:f aca="0">A82&amp;TEXT(COUNTIF($A$6:A82,A82),"00")</x:f>
        <x:v>P01305</x:v>
      </x:c>
      <x:c r="Q82" s="89" t="str">
        <x:f aca="0">IF(I82&lt;100,A82&amp;"O"&amp;COUNTIFS($A$6:A82,A82,$I$6:I82,"&lt;100"),"")</x:f>
        <x:v>P013O5</x:v>
      </x:c>
      <x:c r="R82" s="89" t="str">
        <x:f aca="0">IF(I82&lt;100,D82&amp;"O"&amp;COUNTIFS($D$6:D82,D82,$I$6:I82,"&lt;100"),"")</x:f>
        <x:v>RituO7</x:v>
      </x:c>
      <x:c r="S82" s="278" t="n">
        <x:f>IF(COUNTIF($B$6:$B$605,B82)&gt;1,1,0)</x:f>
        <x:v>0</x:v>
      </x:c>
    </x:row>
    <x:row r="83" ht="15" hidden="0">
      <x:c r="A83" s="83" t="s">
        <x:v>302</x:v>
      </x:c>
      <x:c r="B83" s="83" t="s">
        <x:v>625</x:v>
      </x:c>
      <x:c r="C83" s="83" t="s">
        <x:v>454</x:v>
      </x:c>
      <x:c r="D83" s="83" t="s">
        <x:v>446</x:v>
      </x:c>
      <x:c r="E83" s="83" t="s">
        <x:v>455</x:v>
      </x:c>
      <x:c r="F83" s="83" t="s">
        <x:v>493</x:v>
      </x:c>
      <x:c r="G83" s="85" t="n">
        <x:v>46286</x:v>
      </x:c>
      <x:c r="H83" s="85" t="n">
        <x:v>46308</x:v>
      </x:c>
      <x:c r="I83" s="87" t="n">
        <x:v>59</x:v>
      </x:c>
      <x:c r="J83" s="83" t="s">
        <x:v>543</x:v>
      </x:c>
      <x:c r="K83" s="83"/>
      <x:c r="L83" s="83" t="s">
        <x:v>395</x:v>
      </x:c>
      <x:c r="M83" s="83" t="n">
        <x:v>33</x:v>
      </x:c>
      <x:c r="N83" s="83" t="n">
        <x:v>100</x:v>
      </x:c>
      <x:c r="O83" s="85" t="n">
        <x:v>46274</x:v>
      </x:c>
      <x:c r="P83" s="89" t="str">
        <x:f aca="0">A83&amp;TEXT(COUNTIF($A$6:A83,A83),"00")</x:f>
        <x:v>P01306</x:v>
      </x:c>
      <x:c r="Q83" s="89" t="str">
        <x:f aca="0">IF(I83&lt;100,A83&amp;"O"&amp;COUNTIFS($A$6:A83,A83,$I$6:I83,"&lt;100"),"")</x:f>
        <x:v>P013O6</x:v>
      </x:c>
      <x:c r="R83" s="89" t="str">
        <x:f aca="0">IF(I83&lt;100,D83&amp;"O"&amp;COUNTIFS($D$6:D83,D83,$I$6:I83,"&lt;100"),"")</x:f>
        <x:v>SanjayO7</x:v>
      </x:c>
      <x:c r="S83" s="278" t="n">
        <x:f>IF(COUNTIF($B$6:$B$605,B83)&gt;1,1,0)</x:f>
        <x:v>0</x:v>
      </x:c>
    </x:row>
    <x:row r="84" ht="15" hidden="0">
      <x:c r="A84" s="83" t="s">
        <x:v>216</x:v>
      </x:c>
      <x:c r="B84" s="83" t="s">
        <x:v>626</x:v>
      </x:c>
      <x:c r="C84" s="83" t="s">
        <x:v>433</x:v>
      </x:c>
      <x:c r="D84" s="83" t="s">
        <x:v>441</x:v>
      </x:c>
      <x:c r="E84" s="83" t="s">
        <x:v>442</x:v>
      </x:c>
      <x:c r="F84" s="83" t="s">
        <x:v>550</x:v>
      </x:c>
      <x:c r="G84" s="85" t="n">
        <x:v>46217</x:v>
      </x:c>
      <x:c r="H84" s="85" t="n">
        <x:v>46235</x:v>
      </x:c>
      <x:c r="I84" s="87" t="n">
        <x:v>17</x:v>
      </x:c>
      <x:c r="J84" s="83" t="s">
        <x:v>543</x:v>
      </x:c>
      <x:c r="K84" s="83"/>
      <x:c r="L84" s="83" t="s">
        <x:v>395</x:v>
      </x:c>
      <x:c r="M84" s="83" t="n">
        <x:v>89</x:v>
      </x:c>
      <x:c r="N84" s="83" t="n">
        <x:v>38</x:v>
      </x:c>
      <x:c r="O84" s="85" t="n">
        <x:v>46274</x:v>
      </x:c>
      <x:c r="P84" s="89" t="str">
        <x:f aca="0">A84&amp;TEXT(COUNTIF($A$6:A84,A84),"00")</x:f>
        <x:v>P01401</x:v>
      </x:c>
      <x:c r="Q84" s="89" t="str">
        <x:f aca="0">IF(I84&lt;100,A84&amp;"O"&amp;COUNTIFS($A$6:A84,A84,$I$6:I84,"&lt;100"),"")</x:f>
        <x:v>P014O1</x:v>
      </x:c>
      <x:c r="R84" s="89" t="str">
        <x:f aca="0">IF(I84&lt;100,D84&amp;"O"&amp;COUNTIFS($D$6:D84,D84,$I$6:I84,"&lt;100"),"")</x:f>
        <x:v>KaranO8</x:v>
      </x:c>
      <x:c r="S84" s="278" t="n">
        <x:f>IF(COUNTIF($B$6:$B$605,B84)&gt;1,1,0)</x:f>
        <x:v>0</x:v>
      </x:c>
    </x:row>
    <x:row r="85" ht="15" hidden="0">
      <x:c r="A85" s="83" t="s">
        <x:v>216</x:v>
      </x:c>
      <x:c r="B85" s="83" t="s">
        <x:v>627</x:v>
      </x:c>
      <x:c r="C85" s="83" t="s">
        <x:v>440</x:v>
      </x:c>
      <x:c r="D85" s="83" t="s">
        <x:v>445</x:v>
      </x:c>
      <x:c r="E85" s="83" t="s">
        <x:v>446</x:v>
      </x:c>
      <x:c r="F85" s="83" t="s">
        <x:v>550</x:v>
      </x:c>
      <x:c r="G85" s="85" t="n">
        <x:v>46231</x:v>
      </x:c>
      <x:c r="H85" s="85" t="n">
        <x:v>46247</x:v>
      </x:c>
      <x:c r="I85" s="87" t="n">
        <x:v>32</x:v>
      </x:c>
      <x:c r="J85" s="83" t="s">
        <x:v>543</x:v>
      </x:c>
      <x:c r="K85" s="83" t="s">
        <x:v>396</x:v>
      </x:c>
      <x:c r="L85" s="83" t="s">
        <x:v>395</x:v>
      </x:c>
      <x:c r="M85" s="83" t="n">
        <x:v>26</x:v>
      </x:c>
      <x:c r="N85" s="83" t="n">
        <x:v>86</x:v>
      </x:c>
      <x:c r="O85" s="85" t="n">
        <x:v>46274</x:v>
      </x:c>
      <x:c r="P85" s="89" t="str">
        <x:f aca="0">A85&amp;TEXT(COUNTIF($A$6:A85,A85),"00")</x:f>
        <x:v>P01402</x:v>
      </x:c>
      <x:c r="Q85" s="89" t="str">
        <x:f aca="0">IF(I85&lt;100,A85&amp;"O"&amp;COUNTIFS($A$6:A85,A85,$I$6:I85,"&lt;100"),"")</x:f>
        <x:v>P014O2</x:v>
      </x:c>
      <x:c r="R85" s="89" t="str">
        <x:f aca="0">IF(I85&lt;100,D85&amp;"O"&amp;COUNTIFS($D$6:D85,D85,$I$6:I85,"&lt;100"),"")</x:f>
        <x:v>MeeraO8</x:v>
      </x:c>
      <x:c r="S85" s="278" t="n">
        <x:f>IF(COUNTIF($B$6:$B$605,B85)&gt;1,1,0)</x:f>
        <x:v>0</x:v>
      </x:c>
    </x:row>
    <x:row r="86" ht="15" hidden="0">
      <x:c r="A86" s="83" t="s">
        <x:v>216</x:v>
      </x:c>
      <x:c r="B86" s="83" t="s">
        <x:v>628</x:v>
      </x:c>
      <x:c r="C86" s="83" t="s">
        <x:v>444</x:v>
      </x:c>
      <x:c r="D86" s="83" t="s">
        <x:v>435</x:v>
      </x:c>
      <x:c r="E86" s="83" t="s">
        <x:v>449</x:v>
      </x:c>
      <x:c r="F86" s="83" t="s">
        <x:v>546</x:v>
      </x:c>
      <x:c r="G86" s="85" t="n">
        <x:v>46245</x:v>
      </x:c>
      <x:c r="H86" s="85" t="n">
        <x:v>46260</x:v>
      </x:c>
      <x:c r="I86" s="87" t="n">
        <x:v>51</x:v>
      </x:c>
      <x:c r="J86" s="83" t="s">
        <x:v>543</x:v>
      </x:c>
      <x:c r="K86" s="83"/>
      <x:c r="L86" s="83" t="s">
        <x:v>395</x:v>
      </x:c>
      <x:c r="M86" s="83" t="n">
        <x:v>68</x:v>
      </x:c>
      <x:c r="N86" s="83" t="n">
        <x:v>22</x:v>
      </x:c>
      <x:c r="O86" s="85" t="n">
        <x:v>46274</x:v>
      </x:c>
      <x:c r="P86" s="89" t="str">
        <x:f aca="0">A86&amp;TEXT(COUNTIF($A$6:A86,A86),"00")</x:f>
        <x:v>P01403</x:v>
      </x:c>
      <x:c r="Q86" s="89" t="str">
        <x:f aca="0">IF(I86&lt;100,A86&amp;"O"&amp;COUNTIFS($A$6:A86,A86,$I$6:I86,"&lt;100"),"")</x:f>
        <x:v>P014O3</x:v>
      </x:c>
      <x:c r="R86" s="89" t="str">
        <x:f aca="0">IF(I86&lt;100,D86&amp;"O"&amp;COUNTIFS($D$6:D86,D86,$I$6:I86,"&lt;100"),"")</x:f>
        <x:v>VivekO8</x:v>
      </x:c>
      <x:c r="S86" s="278" t="n">
        <x:f>IF(COUNTIF($B$6:$B$605,B86)&gt;1,1,0)</x:f>
        <x:v>0</x:v>
      </x:c>
    </x:row>
    <x:row r="87" ht="15" hidden="0">
      <x:c r="A87" s="83" t="s">
        <x:v>216</x:v>
      </x:c>
      <x:c r="B87" s="83" t="s">
        <x:v>629</x:v>
      </x:c>
      <x:c r="C87" s="83" t="s">
        <x:v>448</x:v>
      </x:c>
      <x:c r="D87" s="83" t="s">
        <x:v>442</x:v>
      </x:c>
      <x:c r="E87" s="83" t="s">
        <x:v>452</x:v>
      </x:c>
      <x:c r="F87" s="83" t="s">
        <x:v>557</x:v>
      </x:c>
      <x:c r="G87" s="85" t="n">
        <x:v>46259</x:v>
      </x:c>
      <x:c r="H87" s="85" t="n">
        <x:v>46273</x:v>
      </x:c>
      <x:c r="I87" s="87" t="n">
        <x:v>23</x:v>
      </x:c>
      <x:c r="J87" s="83" t="s">
        <x:v>543</x:v>
      </x:c>
      <x:c r="K87" s="83" t="s">
        <x:v>396</x:v>
      </x:c>
      <x:c r="L87" s="83" t="s">
        <x:v>395</x:v>
      </x:c>
      <x:c r="M87" s="83" t="n">
        <x:v>67</x:v>
      </x:c>
      <x:c r="N87" s="83" t="n">
        <x:v>34</x:v>
      </x:c>
      <x:c r="O87" s="85" t="n">
        <x:v>46274</x:v>
      </x:c>
      <x:c r="P87" s="89" t="str">
        <x:f aca="0">A87&amp;TEXT(COUNTIF($A$6:A87,A87),"00")</x:f>
        <x:v>P01404</x:v>
      </x:c>
      <x:c r="Q87" s="89" t="str">
        <x:f aca="0">IF(I87&lt;100,A87&amp;"O"&amp;COUNTIFS($A$6:A87,A87,$I$6:I87,"&lt;100"),"")</x:f>
        <x:v>P014O4</x:v>
      </x:c>
      <x:c r="R87" s="89" t="str">
        <x:f aca="0">IF(I87&lt;100,D87&amp;"O"&amp;COUNTIFS($D$6:D87,D87,$I$6:I87,"&lt;100"),"")</x:f>
        <x:v>RituO8</x:v>
      </x:c>
      <x:c r="S87" s="278" t="n">
        <x:f>IF(COUNTIF($B$6:$B$605,B87)&gt;1,1,0)</x:f>
        <x:v>0</x:v>
      </x:c>
    </x:row>
    <x:row r="88" ht="15" hidden="0">
      <x:c r="A88" s="83" t="s">
        <x:v>216</x:v>
      </x:c>
      <x:c r="B88" s="83" t="s">
        <x:v>630</x:v>
      </x:c>
      <x:c r="C88" s="83" t="s">
        <x:v>451</x:v>
      </x:c>
      <x:c r="D88" s="83" t="s">
        <x:v>446</x:v>
      </x:c>
      <x:c r="E88" s="83" t="s">
        <x:v>455</x:v>
      </x:c>
      <x:c r="F88" s="83" t="s">
        <x:v>493</x:v>
      </x:c>
      <x:c r="G88" s="85" t="n">
        <x:v>46273</x:v>
      </x:c>
      <x:c r="H88" s="85" t="n">
        <x:v>46283</x:v>
      </x:c>
      <x:c r="I88" s="87" t="n">
        <x:v>31</x:v>
      </x:c>
      <x:c r="J88" s="83" t="s">
        <x:v>543</x:v>
      </x:c>
      <x:c r="K88" s="83"/>
      <x:c r="L88" s="83" t="s">
        <x:v>395</x:v>
      </x:c>
      <x:c r="M88" s="83" t="n">
        <x:v>41</x:v>
      </x:c>
      <x:c r="N88" s="83" t="n">
        <x:v>29</x:v>
      </x:c>
      <x:c r="O88" s="85" t="n">
        <x:v>46274</x:v>
      </x:c>
      <x:c r="P88" s="89" t="str">
        <x:f aca="0">A88&amp;TEXT(COUNTIF($A$6:A88,A88),"00")</x:f>
        <x:v>P01405</x:v>
      </x:c>
      <x:c r="Q88" s="89" t="str">
        <x:f aca="0">IF(I88&lt;100,A88&amp;"O"&amp;COUNTIFS($A$6:A88,A88,$I$6:I88,"&lt;100"),"")</x:f>
        <x:v>P014O5</x:v>
      </x:c>
      <x:c r="R88" s="89" t="str">
        <x:f aca="0">IF(I88&lt;100,D88&amp;"O"&amp;COUNTIFS($D$6:D88,D88,$I$6:I88,"&lt;100"),"")</x:f>
        <x:v>SanjayO8</x:v>
      </x:c>
      <x:c r="S88" s="278" t="n">
        <x:f>IF(COUNTIF($B$6:$B$605,B88)&gt;1,1,0)</x:f>
        <x:v>0</x:v>
      </x:c>
    </x:row>
    <x:row r="89" ht="15" hidden="0">
      <x:c r="A89" s="83" t="s">
        <x:v>216</x:v>
      </x:c>
      <x:c r="B89" s="83" t="s">
        <x:v>631</x:v>
      </x:c>
      <x:c r="C89" s="83" t="s">
        <x:v>454</x:v>
      </x:c>
      <x:c r="D89" s="83" t="s">
        <x:v>449</x:v>
      </x:c>
      <x:c r="E89" s="83" t="s">
        <x:v>462</x:v>
      </x:c>
      <x:c r="F89" s="83" t="s">
        <x:v>493</x:v>
      </x:c>
      <x:c r="G89" s="85" t="n">
        <x:v>46287</x:v>
      </x:c>
      <x:c r="H89" s="85" t="n">
        <x:v>46306</x:v>
      </x:c>
      <x:c r="I89" s="87" t="n">
        <x:v>32</x:v>
      </x:c>
      <x:c r="J89" s="83" t="s">
        <x:v>543</x:v>
      </x:c>
      <x:c r="K89" s="83" t="s">
        <x:v>396</x:v>
      </x:c>
      <x:c r="L89" s="83" t="s">
        <x:v>395</x:v>
      </x:c>
      <x:c r="M89" s="83" t="n">
        <x:v>42</x:v>
      </x:c>
      <x:c r="N89" s="83" t="n">
        <x:v>55</x:v>
      </x:c>
      <x:c r="O89" s="85" t="n">
        <x:v>46274</x:v>
      </x:c>
      <x:c r="P89" s="89" t="str">
        <x:f aca="0">A89&amp;TEXT(COUNTIF($A$6:A89,A89),"00")</x:f>
        <x:v>P01406</x:v>
      </x:c>
      <x:c r="Q89" s="89" t="str">
        <x:f aca="0">IF(I89&lt;100,A89&amp;"O"&amp;COUNTIFS($A$6:A89,A89,$I$6:I89,"&lt;100"),"")</x:f>
        <x:v>P014O6</x:v>
      </x:c>
      <x:c r="R89" s="89" t="str">
        <x:f aca="0">IF(I89&lt;100,D89&amp;"O"&amp;COUNTIFS($D$6:D89,D89,$I$6:I89,"&lt;100"),"")</x:f>
        <x:v>AnilO7</x:v>
      </x:c>
      <x:c r="S89" s="278" t="n">
        <x:f>IF(COUNTIF($B$6:$B$605,B89)&gt;1,1,0)</x:f>
        <x:v>0</x:v>
      </x:c>
    </x:row>
    <x:row r="90" ht="15" hidden="0">
      <x:c r="A90" s="83" t="s">
        <x:v>125</x:v>
      </x:c>
      <x:c r="B90" s="83" t="s">
        <x:v>632</x:v>
      </x:c>
      <x:c r="C90" s="83" t="s">
        <x:v>433</x:v>
      </x:c>
      <x:c r="D90" s="83" t="s">
        <x:v>445</x:v>
      </x:c>
      <x:c r="E90" s="83" t="s">
        <x:v>446</x:v>
      </x:c>
      <x:c r="F90" s="83" t="s">
        <x:v>493</x:v>
      </x:c>
      <x:c r="G90" s="85" t="n">
        <x:v>46218</x:v>
      </x:c>
      <x:c r="H90" s="85" t="n">
        <x:v>46229</x:v>
      </x:c>
      <x:c r="I90" s="87" t="n">
        <x:v>91</x:v>
      </x:c>
      <x:c r="J90" s="83" t="s">
        <x:v>543</x:v>
      </x:c>
      <x:c r="K90" s="83" t="s">
        <x:v>396</x:v>
      </x:c>
      <x:c r="L90" s="83" t="s">
        <x:v>395</x:v>
      </x:c>
      <x:c r="M90" s="83" t="n">
        <x:v>71</x:v>
      </x:c>
      <x:c r="N90" s="83" t="n">
        <x:v>22</x:v>
      </x:c>
      <x:c r="O90" s="85" t="n">
        <x:v>46274</x:v>
      </x:c>
      <x:c r="P90" s="89" t="str">
        <x:f aca="0">A90&amp;TEXT(COUNTIF($A$6:A90,A90),"00")</x:f>
        <x:v>P01501</x:v>
      </x:c>
      <x:c r="Q90" s="89" t="str">
        <x:f aca="0">IF(I90&lt;100,A90&amp;"O"&amp;COUNTIFS($A$6:A90,A90,$I$6:I90,"&lt;100"),"")</x:f>
        <x:v>P015O1</x:v>
      </x:c>
      <x:c r="R90" s="89" t="str">
        <x:f aca="0">IF(I90&lt;100,D90&amp;"O"&amp;COUNTIFS($D$6:D90,D90,$I$6:I90,"&lt;100"),"")</x:f>
        <x:v>MeeraO9</x:v>
      </x:c>
      <x:c r="S90" s="278" t="n">
        <x:f>IF(COUNTIF($B$6:$B$605,B90)&gt;1,1,0)</x:f>
        <x:v>0</x:v>
      </x:c>
    </x:row>
    <x:row r="91" ht="15" hidden="0">
      <x:c r="A91" s="83" t="s">
        <x:v>125</x:v>
      </x:c>
      <x:c r="B91" s="83" t="s">
        <x:v>633</x:v>
      </x:c>
      <x:c r="C91" s="83" t="s">
        <x:v>440</x:v>
      </x:c>
      <x:c r="D91" s="83" t="s">
        <x:v>435</x:v>
      </x:c>
      <x:c r="E91" s="83" t="s">
        <x:v>449</x:v>
      </x:c>
      <x:c r="F91" s="83" t="s">
        <x:v>550</x:v>
      </x:c>
      <x:c r="G91" s="85" t="n">
        <x:v>46232</x:v>
      </x:c>
      <x:c r="H91" s="85" t="n">
        <x:v>46245</x:v>
      </x:c>
      <x:c r="I91" s="87" t="n">
        <x:v>92</x:v>
      </x:c>
      <x:c r="J91" s="83" t="s">
        <x:v>543</x:v>
      </x:c>
      <x:c r="K91" s="83"/>
      <x:c r="L91" s="83" t="s">
        <x:v>395</x:v>
      </x:c>
      <x:c r="M91" s="83" t="n">
        <x:v>56</x:v>
      </x:c>
      <x:c r="N91" s="83" t="n">
        <x:v>26</x:v>
      </x:c>
      <x:c r="O91" s="85" t="n">
        <x:v>46274</x:v>
      </x:c>
      <x:c r="P91" s="89" t="str">
        <x:f aca="0">A91&amp;TEXT(COUNTIF($A$6:A91,A91),"00")</x:f>
        <x:v>P01502</x:v>
      </x:c>
      <x:c r="Q91" s="89" t="str">
        <x:f aca="0">IF(I91&lt;100,A91&amp;"O"&amp;COUNTIFS($A$6:A91,A91,$I$6:I91,"&lt;100"),"")</x:f>
        <x:v>P015O2</x:v>
      </x:c>
      <x:c r="R91" s="89" t="str">
        <x:f aca="0">IF(I91&lt;100,D91&amp;"O"&amp;COUNTIFS($D$6:D91,D91,$I$6:I91,"&lt;100"),"")</x:f>
        <x:v>VivekO9</x:v>
      </x:c>
      <x:c r="S91" s="278" t="n">
        <x:f>IF(COUNTIF($B$6:$B$605,B91)&gt;1,1,0)</x:f>
        <x:v>0</x:v>
      </x:c>
    </x:row>
    <x:row r="92" ht="15" hidden="0">
      <x:c r="A92" s="83" t="s">
        <x:v>125</x:v>
      </x:c>
      <x:c r="B92" s="83" t="s">
        <x:v>634</x:v>
      </x:c>
      <x:c r="C92" s="83" t="s">
        <x:v>444</x:v>
      </x:c>
      <x:c r="D92" s="83" t="s">
        <x:v>442</x:v>
      </x:c>
      <x:c r="E92" s="83" t="s">
        <x:v>452</x:v>
      </x:c>
      <x:c r="F92" s="83" t="s">
        <x:v>546</x:v>
      </x:c>
      <x:c r="G92" s="85" t="n">
        <x:v>46246</x:v>
      </x:c>
      <x:c r="H92" s="85" t="n">
        <x:v>46259</x:v>
      </x:c>
      <x:c r="I92" s="87" t="n">
        <x:v>68</x:v>
      </x:c>
      <x:c r="J92" s="83" t="s">
        <x:v>543</x:v>
      </x:c>
      <x:c r="K92" s="83"/>
      <x:c r="L92" s="83" t="s">
        <x:v>395</x:v>
      </x:c>
      <x:c r="M92" s="83" t="n">
        <x:v>89</x:v>
      </x:c>
      <x:c r="N92" s="83" t="n">
        <x:v>16</x:v>
      </x:c>
      <x:c r="O92" s="85" t="n">
        <x:v>46274</x:v>
      </x:c>
      <x:c r="P92" s="89" t="str">
        <x:f aca="0">A92&amp;TEXT(COUNTIF($A$6:A92,A92),"00")</x:f>
        <x:v>P01503</x:v>
      </x:c>
      <x:c r="Q92" s="89" t="str">
        <x:f aca="0">IF(I92&lt;100,A92&amp;"O"&amp;COUNTIFS($A$6:A92,A92,$I$6:I92,"&lt;100"),"")</x:f>
        <x:v>P015O3</x:v>
      </x:c>
      <x:c r="R92" s="89" t="str">
        <x:f aca="0">IF(I92&lt;100,D92&amp;"O"&amp;COUNTIFS($D$6:D92,D92,$I$6:I92,"&lt;100"),"")</x:f>
        <x:v>RituO9</x:v>
      </x:c>
      <x:c r="S92" s="278" t="n">
        <x:f>IF(COUNTIF($B$6:$B$605,B92)&gt;1,1,0)</x:f>
        <x:v>0</x:v>
      </x:c>
    </x:row>
    <x:row r="93" ht="15" hidden="0">
      <x:c r="A93" s="83" t="s">
        <x:v>125</x:v>
      </x:c>
      <x:c r="B93" s="83" t="s">
        <x:v>635</x:v>
      </x:c>
      <x:c r="C93" s="83" t="s">
        <x:v>448</x:v>
      </x:c>
      <x:c r="D93" s="83" t="s">
        <x:v>446</x:v>
      </x:c>
      <x:c r="E93" s="83" t="s">
        <x:v>455</x:v>
      </x:c>
      <x:c r="F93" s="83" t="s">
        <x:v>557</x:v>
      </x:c>
      <x:c r="G93" s="85" t="n">
        <x:v>46260</x:v>
      </x:c>
      <x:c r="H93" s="85" t="n">
        <x:v>46278</x:v>
      </x:c>
      <x:c r="I93" s="87" t="n">
        <x:v>95</x:v>
      </x:c>
      <x:c r="J93" s="83" t="s">
        <x:v>543</x:v>
      </x:c>
      <x:c r="K93" s="83" t="s">
        <x:v>396</x:v>
      </x:c>
      <x:c r="L93" s="83" t="s">
        <x:v>412</x:v>
      </x:c>
      <x:c r="M93" s="83" t="n">
        <x:v>97</x:v>
      </x:c>
      <x:c r="N93" s="83" t="n">
        <x:v>37</x:v>
      </x:c>
      <x:c r="O93" s="85" t="n">
        <x:v>46274</x:v>
      </x:c>
      <x:c r="P93" s="89" t="str">
        <x:f aca="0">A93&amp;TEXT(COUNTIF($A$6:A93,A93),"00")</x:f>
        <x:v>P01504</x:v>
      </x:c>
      <x:c r="Q93" s="89" t="str">
        <x:f aca="0">IF(I93&lt;100,A93&amp;"O"&amp;COUNTIFS($A$6:A93,A93,$I$6:I93,"&lt;100"),"")</x:f>
        <x:v>P015O4</x:v>
      </x:c>
      <x:c r="R93" s="89" t="str">
        <x:f aca="0">IF(I93&lt;100,D93&amp;"O"&amp;COUNTIFS($D$6:D93,D93,$I$6:I93,"&lt;100"),"")</x:f>
        <x:v>SanjayO9</x:v>
      </x:c>
      <x:c r="S93" s="278" t="n">
        <x:f>IF(COUNTIF($B$6:$B$605,B93)&gt;1,1,0)</x:f>
        <x:v>0</x:v>
      </x:c>
    </x:row>
    <x:row r="94" ht="15" hidden="0">
      <x:c r="A94" s="83" t="s">
        <x:v>125</x:v>
      </x:c>
      <x:c r="B94" s="83" t="s">
        <x:v>636</x:v>
      </x:c>
      <x:c r="C94" s="83" t="s">
        <x:v>451</x:v>
      </x:c>
      <x:c r="D94" s="83" t="s">
        <x:v>449</x:v>
      </x:c>
      <x:c r="E94" s="83" t="s">
        <x:v>462</x:v>
      </x:c>
      <x:c r="F94" s="83" t="s">
        <x:v>550</x:v>
      </x:c>
      <x:c r="G94" s="85" t="n">
        <x:v>46274</x:v>
      </x:c>
      <x:c r="H94" s="85" t="n">
        <x:v>46291</x:v>
      </x:c>
      <x:c r="I94" s="87" t="n">
        <x:v>72</x:v>
      </x:c>
      <x:c r="J94" s="83" t="s">
        <x:v>543</x:v>
      </x:c>
      <x:c r="K94" s="83"/>
      <x:c r="L94" s="83" t="s">
        <x:v>412</x:v>
      </x:c>
      <x:c r="M94" s="83" t="n">
        <x:v>21</x:v>
      </x:c>
      <x:c r="N94" s="83" t="n">
        <x:v>94</x:v>
      </x:c>
      <x:c r="O94" s="85" t="n">
        <x:v>46274</x:v>
      </x:c>
      <x:c r="P94" s="89" t="str">
        <x:f aca="0">A94&amp;TEXT(COUNTIF($A$6:A94,A94),"00")</x:f>
        <x:v>P01505</x:v>
      </x:c>
      <x:c r="Q94" s="89" t="str">
        <x:f aca="0">IF(I94&lt;100,A94&amp;"O"&amp;COUNTIFS($A$6:A94,A94,$I$6:I94,"&lt;100"),"")</x:f>
        <x:v>P015O5</x:v>
      </x:c>
      <x:c r="R94" s="89" t="str">
        <x:f aca="0">IF(I94&lt;100,D94&amp;"O"&amp;COUNTIFS($D$6:D94,D94,$I$6:I94,"&lt;100"),"")</x:f>
        <x:v>AnilO8</x:v>
      </x:c>
      <x:c r="S94" s="278" t="n">
        <x:f>IF(COUNTIF($B$6:$B$605,B94)&gt;1,1,0)</x:f>
        <x:v>0</x:v>
      </x:c>
    </x:row>
    <x:row r="95" ht="15" hidden="0">
      <x:c r="A95" s="83" t="s">
        <x:v>125</x:v>
      </x:c>
      <x:c r="B95" s="83" t="s">
        <x:v>637</x:v>
      </x:c>
      <x:c r="C95" s="83" t="s">
        <x:v>454</x:v>
      </x:c>
      <x:c r="D95" s="83" t="s">
        <x:v>452</x:v>
      </x:c>
      <x:c r="E95" s="83" t="s">
        <x:v>360</x:v>
      </x:c>
      <x:c r="F95" s="83" t="s">
        <x:v>493</x:v>
      </x:c>
      <x:c r="G95" s="85" t="n">
        <x:v>46288</x:v>
      </x:c>
      <x:c r="H95" s="85" t="n">
        <x:v>46307</x:v>
      </x:c>
      <x:c r="I95" s="87" t="n">
        <x:v>69</x:v>
      </x:c>
      <x:c r="J95" s="83" t="s">
        <x:v>543</x:v>
      </x:c>
      <x:c r="K95" s="83"/>
      <x:c r="L95" s="83" t="s">
        <x:v>412</x:v>
      </x:c>
      <x:c r="M95" s="83" t="n">
        <x:v>32</x:v>
      </x:c>
      <x:c r="N95" s="83" t="n">
        <x:v>32</x:v>
      </x:c>
      <x:c r="O95" s="85" t="n">
        <x:v>46274</x:v>
      </x:c>
      <x:c r="P95" s="89" t="str">
        <x:f aca="0">A95&amp;TEXT(COUNTIF($A$6:A95,A95),"00")</x:f>
        <x:v>P01506</x:v>
      </x:c>
      <x:c r="Q95" s="89" t="str">
        <x:f aca="0">IF(I95&lt;100,A95&amp;"O"&amp;COUNTIFS($A$6:A95,A95,$I$6:I95,"&lt;100"),"")</x:f>
        <x:v>P015O6</x:v>
      </x:c>
      <x:c r="R95" s="89" t="str">
        <x:f aca="0">IF(I95&lt;100,D95&amp;"O"&amp;COUNTIFS($D$6:D95,D95,$I$6:I95,"&lt;100"),"")</x:f>
        <x:v>KavyaO7</x:v>
      </x:c>
      <x:c r="S95" s="278" t="n">
        <x:f>IF(COUNTIF($B$6:$B$605,B95)&gt;1,1,0)</x:f>
        <x:v>0</x:v>
      </x:c>
    </x:row>
    <x:row r="96" ht="15" hidden="0">
      <x:c r="A96" s="83" t="s">
        <x:v>286</x:v>
      </x:c>
      <x:c r="B96" s="83" t="s">
        <x:v>638</x:v>
      </x:c>
      <x:c r="C96" s="83" t="s">
        <x:v>433</x:v>
      </x:c>
      <x:c r="D96" s="83" t="s">
        <x:v>435</x:v>
      </x:c>
      <x:c r="E96" s="83" t="s">
        <x:v>449</x:v>
      </x:c>
      <x:c r="F96" s="83" t="s">
        <x:v>546</x:v>
      </x:c>
      <x:c r="G96" s="85" t="n">
        <x:v>46219</x:v>
      </x:c>
      <x:c r="H96" s="85" t="n">
        <x:v>46229</x:v>
      </x:c>
      <x:c r="I96" s="87" t="n">
        <x:v>87</x:v>
      </x:c>
      <x:c r="J96" s="83" t="s">
        <x:v>543</x:v>
      </x:c>
      <x:c r="K96" s="83" t="s">
        <x:v>396</x:v>
      </x:c>
      <x:c r="L96" s="83" t="s">
        <x:v>395</x:v>
      </x:c>
      <x:c r="M96" s="83" t="n">
        <x:v>78</x:v>
      </x:c>
      <x:c r="N96" s="83" t="n">
        <x:v>38</x:v>
      </x:c>
      <x:c r="O96" s="85" t="n">
        <x:v>46274</x:v>
      </x:c>
      <x:c r="P96" s="89" t="str">
        <x:f aca="0">A96&amp;TEXT(COUNTIF($A$6:A96,A96),"00")</x:f>
        <x:v>P01601</x:v>
      </x:c>
      <x:c r="Q96" s="89" t="str">
        <x:f aca="0">IF(I96&lt;100,A96&amp;"O"&amp;COUNTIFS($A$6:A96,A96,$I$6:I96,"&lt;100"),"")</x:f>
        <x:v>P016O1</x:v>
      </x:c>
      <x:c r="R96" s="89" t="str">
        <x:f aca="0">IF(I96&lt;100,D96&amp;"O"&amp;COUNTIFS($D$6:D96,D96,$I$6:I96,"&lt;100"),"")</x:f>
        <x:v>VivekO10</x:v>
      </x:c>
      <x:c r="S96" s="278" t="n">
        <x:f>IF(COUNTIF($B$6:$B$605,B96)&gt;1,1,0)</x:f>
        <x:v>0</x:v>
      </x:c>
    </x:row>
    <x:row r="97" ht="15" hidden="0">
      <x:c r="A97" s="83" t="s">
        <x:v>286</x:v>
      </x:c>
      <x:c r="B97" s="83" t="s">
        <x:v>639</x:v>
      </x:c>
      <x:c r="C97" s="83" t="s">
        <x:v>440</x:v>
      </x:c>
      <x:c r="D97" s="83" t="s">
        <x:v>442</x:v>
      </x:c>
      <x:c r="E97" s="83" t="s">
        <x:v>452</x:v>
      </x:c>
      <x:c r="F97" s="83" t="s">
        <x:v>493</x:v>
      </x:c>
      <x:c r="G97" s="85" t="n">
        <x:v>46233</x:v>
      </x:c>
      <x:c r="H97" s="85" t="n">
        <x:v>46255</x:v>
      </x:c>
      <x:c r="I97" s="87" t="n">
        <x:v>100</x:v>
      </x:c>
      <x:c r="J97" s="83" t="s">
        <x:v>595</x:v>
      </x:c>
      <x:c r="K97" s="83"/>
      <x:c r="L97" s="83" t="s">
        <x:v>395</x:v>
      </x:c>
      <x:c r="M97" s="83" t="n">
        <x:v>93</x:v>
      </x:c>
      <x:c r="N97" s="83" t="n">
        <x:v>36</x:v>
      </x:c>
      <x:c r="O97" s="85" t="n">
        <x:v>46274</x:v>
      </x:c>
      <x:c r="P97" s="89" t="str">
        <x:f aca="0">A97&amp;TEXT(COUNTIF($A$6:A97,A97),"00")</x:f>
        <x:v>P01602</x:v>
      </x:c>
      <x:c r="Q97" s="89" t="str">
        <x:f aca="0">IF(I97&lt;100,A97&amp;"O"&amp;COUNTIFS($A$6:A97,A97,$I$6:I97,"&lt;100"),"")</x:f>
      </x:c>
      <x:c r="R97" s="89" t="str">
        <x:f aca="0">IF(I97&lt;100,D97&amp;"O"&amp;COUNTIFS($D$6:D97,D97,$I$6:I97,"&lt;100"),"")</x:f>
      </x:c>
      <x:c r="S97" s="278" t="n">
        <x:f>IF(COUNTIF($B$6:$B$605,B97)&gt;1,1,0)</x:f>
        <x:v>0</x:v>
      </x:c>
    </x:row>
    <x:row r="98" ht="15" hidden="0">
      <x:c r="A98" s="83" t="s">
        <x:v>286</x:v>
      </x:c>
      <x:c r="B98" s="83" t="s">
        <x:v>640</x:v>
      </x:c>
      <x:c r="C98" s="83" t="s">
        <x:v>444</x:v>
      </x:c>
      <x:c r="D98" s="83" t="s">
        <x:v>446</x:v>
      </x:c>
      <x:c r="E98" s="83" t="s">
        <x:v>455</x:v>
      </x:c>
      <x:c r="F98" s="83" t="s">
        <x:v>557</x:v>
      </x:c>
      <x:c r="G98" s="85" t="n">
        <x:v>46247</x:v>
      </x:c>
      <x:c r="H98" s="85" t="n">
        <x:v>46263</x:v>
      </x:c>
      <x:c r="I98" s="87" t="n">
        <x:v>74</x:v>
      </x:c>
      <x:c r="J98" s="83" t="s">
        <x:v>543</x:v>
      </x:c>
      <x:c r="K98" s="83"/>
      <x:c r="L98" s="83" t="s">
        <x:v>395</x:v>
      </x:c>
      <x:c r="M98" s="83" t="n">
        <x:v>87</x:v>
      </x:c>
      <x:c r="N98" s="83" t="n">
        <x:v>85</x:v>
      </x:c>
      <x:c r="O98" s="85" t="n">
        <x:v>46274</x:v>
      </x:c>
      <x:c r="P98" s="89" t="str">
        <x:f aca="0">A98&amp;TEXT(COUNTIF($A$6:A98,A98),"00")</x:f>
        <x:v>P01603</x:v>
      </x:c>
      <x:c r="Q98" s="89" t="str">
        <x:f aca="0">IF(I98&lt;100,A98&amp;"O"&amp;COUNTIFS($A$6:A98,A98,$I$6:I98,"&lt;100"),"")</x:f>
        <x:v>P016O2</x:v>
      </x:c>
      <x:c r="R98" s="89" t="str">
        <x:f aca="0">IF(I98&lt;100,D98&amp;"O"&amp;COUNTIFS($D$6:D98,D98,$I$6:I98,"&lt;100"),"")</x:f>
        <x:v>SanjayO10</x:v>
      </x:c>
      <x:c r="S98" s="278" t="n">
        <x:f>IF(COUNTIF($B$6:$B$605,B98)&gt;1,1,0)</x:f>
        <x:v>0</x:v>
      </x:c>
    </x:row>
    <x:row r="99" ht="15" hidden="0">
      <x:c r="A99" s="83" t="s">
        <x:v>286</x:v>
      </x:c>
      <x:c r="B99" s="83" t="s">
        <x:v>641</x:v>
      </x:c>
      <x:c r="C99" s="83" t="s">
        <x:v>448</x:v>
      </x:c>
      <x:c r="D99" s="83" t="s">
        <x:v>449</x:v>
      </x:c>
      <x:c r="E99" s="83" t="s">
        <x:v>462</x:v>
      </x:c>
      <x:c r="F99" s="83" t="s">
        <x:v>550</x:v>
      </x:c>
      <x:c r="G99" s="85" t="n">
        <x:v>46261</x:v>
      </x:c>
      <x:c r="H99" s="85" t="n">
        <x:v>46285</x:v>
      </x:c>
      <x:c r="I99" s="87" t="n">
        <x:v>98</x:v>
      </x:c>
      <x:c r="J99" s="83" t="s">
        <x:v>543</x:v>
      </x:c>
      <x:c r="K99" s="83" t="s">
        <x:v>396</x:v>
      </x:c>
      <x:c r="L99" s="83" t="s">
        <x:v>395</x:v>
      </x:c>
      <x:c r="M99" s="83" t="n">
        <x:v>52</x:v>
      </x:c>
      <x:c r="N99" s="83" t="n">
        <x:v>72</x:v>
      </x:c>
      <x:c r="O99" s="85" t="n">
        <x:v>46274</x:v>
      </x:c>
      <x:c r="P99" s="89" t="str">
        <x:f aca="0">A99&amp;TEXT(COUNTIF($A$6:A99,A99),"00")</x:f>
        <x:v>P01604</x:v>
      </x:c>
      <x:c r="Q99" s="89" t="str">
        <x:f aca="0">IF(I99&lt;100,A99&amp;"O"&amp;COUNTIFS($A$6:A99,A99,$I$6:I99,"&lt;100"),"")</x:f>
        <x:v>P016O3</x:v>
      </x:c>
      <x:c r="R99" s="89" t="str">
        <x:f aca="0">IF(I99&lt;100,D99&amp;"O"&amp;COUNTIFS($D$6:D99,D99,$I$6:I99,"&lt;100"),"")</x:f>
        <x:v>AnilO9</x:v>
      </x:c>
      <x:c r="S99" s="278" t="n">
        <x:f>IF(COUNTIF($B$6:$B$605,B99)&gt;1,1,0)</x:f>
        <x:v>0</x:v>
      </x:c>
    </x:row>
    <x:row r="100" ht="15" hidden="0">
      <x:c r="A100" s="83" t="s">
        <x:v>286</x:v>
      </x:c>
      <x:c r="B100" s="83" t="s">
        <x:v>642</x:v>
      </x:c>
      <x:c r="C100" s="83" t="s">
        <x:v>451</x:v>
      </x:c>
      <x:c r="D100" s="83" t="s">
        <x:v>452</x:v>
      </x:c>
      <x:c r="E100" s="83" t="s">
        <x:v>360</x:v>
      </x:c>
      <x:c r="F100" s="83" t="s">
        <x:v>493</x:v>
      </x:c>
      <x:c r="G100" s="85" t="n">
        <x:v>46275</x:v>
      </x:c>
      <x:c r="H100" s="85" t="n">
        <x:v>46284</x:v>
      </x:c>
      <x:c r="I100" s="87" t="n">
        <x:v>74</x:v>
      </x:c>
      <x:c r="J100" s="83" t="s">
        <x:v>543</x:v>
      </x:c>
      <x:c r="K100" s="83"/>
      <x:c r="L100" s="83" t="s">
        <x:v>395</x:v>
      </x:c>
      <x:c r="M100" s="83" t="n">
        <x:v>80</x:v>
      </x:c>
      <x:c r="N100" s="83" t="n">
        <x:v>54</x:v>
      </x:c>
      <x:c r="O100" s="85" t="n">
        <x:v>46274</x:v>
      </x:c>
      <x:c r="P100" s="89" t="str">
        <x:f aca="0">A100&amp;TEXT(COUNTIF($A$6:A100,A100),"00")</x:f>
        <x:v>P01605</x:v>
      </x:c>
      <x:c r="Q100" s="89" t="str">
        <x:f aca="0">IF(I100&lt;100,A100&amp;"O"&amp;COUNTIFS($A$6:A100,A100,$I$6:I100,"&lt;100"),"")</x:f>
        <x:v>P016O4</x:v>
      </x:c>
      <x:c r="R100" s="89" t="str">
        <x:f aca="0">IF(I100&lt;100,D100&amp;"O"&amp;COUNTIFS($D$6:D100,D100,$I$6:I100,"&lt;100"),"")</x:f>
        <x:v>KavyaO8</x:v>
      </x:c>
      <x:c r="S100" s="278" t="n">
        <x:f>IF(COUNTIF($B$6:$B$605,B100)&gt;1,1,0)</x:f>
        <x:v>0</x:v>
      </x:c>
    </x:row>
    <x:row r="101" ht="15" hidden="0">
      <x:c r="A101" s="83" t="s">
        <x:v>286</x:v>
      </x:c>
      <x:c r="B101" s="83" t="s">
        <x:v>643</x:v>
      </x:c>
      <x:c r="C101" s="83" t="s">
        <x:v>454</x:v>
      </x:c>
      <x:c r="D101" s="83" t="s">
        <x:v>455</x:v>
      </x:c>
      <x:c r="E101" s="83" t="s">
        <x:v>475</x:v>
      </x:c>
      <x:c r="F101" s="83" t="s">
        <x:v>546</x:v>
      </x:c>
      <x:c r="G101" s="85" t="n">
        <x:v>46289</x:v>
      </x:c>
      <x:c r="H101" s="85" t="n">
        <x:v>46306</x:v>
      </x:c>
      <x:c r="I101" s="87" t="n">
        <x:v>100</x:v>
      </x:c>
      <x:c r="J101" s="83" t="s">
        <x:v>595</x:v>
      </x:c>
      <x:c r="K101" s="83"/>
      <x:c r="L101" s="83" t="s">
        <x:v>395</x:v>
      </x:c>
      <x:c r="M101" s="83" t="n">
        <x:v>86</x:v>
      </x:c>
      <x:c r="N101" s="83" t="n">
        <x:v>84</x:v>
      </x:c>
      <x:c r="O101" s="85" t="n">
        <x:v>46274</x:v>
      </x:c>
      <x:c r="P101" s="89" t="str">
        <x:f aca="0">A101&amp;TEXT(COUNTIF($A$6:A101,A101),"00")</x:f>
        <x:v>P01606</x:v>
      </x:c>
      <x:c r="Q101" s="89" t="str">
        <x:f aca="0">IF(I101&lt;100,A101&amp;"O"&amp;COUNTIFS($A$6:A101,A101,$I$6:I101,"&lt;100"),"")</x:f>
      </x:c>
      <x:c r="R101" s="89" t="str">
        <x:f aca="0">IF(I101&lt;100,D101&amp;"O"&amp;COUNTIFS($D$6:D101,D101,$I$6:I101,"&lt;100"),"")</x:f>
      </x:c>
      <x:c r="S101" s="278" t="n">
        <x:f>IF(COUNTIF($B$6:$B$605,B101)&gt;1,1,0)</x:f>
        <x:v>0</x:v>
      </x:c>
    </x:row>
    <x:row r="102" ht="15" hidden="0">
      <x:c r="A102" s="83" t="s">
        <x:v>187</x:v>
      </x:c>
      <x:c r="B102" s="83" t="s">
        <x:v>644</x:v>
      </x:c>
      <x:c r="C102" s="83" t="s">
        <x:v>433</x:v>
      </x:c>
      <x:c r="D102" s="83" t="s">
        <x:v>442</x:v>
      </x:c>
      <x:c r="E102" s="83" t="s">
        <x:v>452</x:v>
      </x:c>
      <x:c r="F102" s="83" t="s">
        <x:v>546</x:v>
      </x:c>
      <x:c r="G102" s="85" t="n">
        <x:v>46220</x:v>
      </x:c>
      <x:c r="H102" s="85" t="n">
        <x:v>46236</x:v>
      </x:c>
      <x:c r="I102" s="87" t="n">
        <x:v>57</x:v>
      </x:c>
      <x:c r="J102" s="83" t="s">
        <x:v>543</x:v>
      </x:c>
      <x:c r="K102" s="83"/>
      <x:c r="L102" s="83" t="s">
        <x:v>395</x:v>
      </x:c>
      <x:c r="M102" s="83" t="n">
        <x:v>62</x:v>
      </x:c>
      <x:c r="N102" s="83" t="n">
        <x:v>19</x:v>
      </x:c>
      <x:c r="O102" s="85" t="n">
        <x:v>46274</x:v>
      </x:c>
      <x:c r="P102" s="89" t="str">
        <x:f aca="0">A102&amp;TEXT(COUNTIF($A$6:A102,A102),"00")</x:f>
        <x:v>P01701</x:v>
      </x:c>
      <x:c r="Q102" s="89" t="str">
        <x:f aca="0">IF(I102&lt;100,A102&amp;"O"&amp;COUNTIFS($A$6:A102,A102,$I$6:I102,"&lt;100"),"")</x:f>
        <x:v>P017O1</x:v>
      </x:c>
      <x:c r="R102" s="89" t="str">
        <x:f aca="0">IF(I102&lt;100,D102&amp;"O"&amp;COUNTIFS($D$6:D102,D102,$I$6:I102,"&lt;100"),"")</x:f>
        <x:v>RituO10</x:v>
      </x:c>
      <x:c r="S102" s="278" t="n">
        <x:f>IF(COUNTIF($B$6:$B$605,B102)&gt;1,1,0)</x:f>
        <x:v>0</x:v>
      </x:c>
    </x:row>
    <x:row r="103" ht="15" hidden="0">
      <x:c r="A103" s="83" t="s">
        <x:v>187</x:v>
      </x:c>
      <x:c r="B103" s="83" t="s">
        <x:v>645</x:v>
      </x:c>
      <x:c r="C103" s="83" t="s">
        <x:v>440</x:v>
      </x:c>
      <x:c r="D103" s="83" t="s">
        <x:v>446</x:v>
      </x:c>
      <x:c r="E103" s="83" t="s">
        <x:v>455</x:v>
      </x:c>
      <x:c r="F103" s="83" t="s">
        <x:v>557</x:v>
      </x:c>
      <x:c r="G103" s="85" t="n">
        <x:v>46234</x:v>
      </x:c>
      <x:c r="H103" s="85" t="n">
        <x:v>46247</x:v>
      </x:c>
      <x:c r="I103" s="87" t="n">
        <x:v>59</x:v>
      </x:c>
      <x:c r="J103" s="83" t="s">
        <x:v>543</x:v>
      </x:c>
      <x:c r="K103" s="83"/>
      <x:c r="L103" s="83" t="s">
        <x:v>395</x:v>
      </x:c>
      <x:c r="M103" s="83" t="n">
        <x:v>75</x:v>
      </x:c>
      <x:c r="N103" s="83" t="n">
        <x:v>81</x:v>
      </x:c>
      <x:c r="O103" s="85" t="n">
        <x:v>46274</x:v>
      </x:c>
      <x:c r="P103" s="89" t="str">
        <x:f aca="0">A103&amp;TEXT(COUNTIF($A$6:A103,A103),"00")</x:f>
        <x:v>P01702</x:v>
      </x:c>
      <x:c r="Q103" s="89" t="str">
        <x:f aca="0">IF(I103&lt;100,A103&amp;"O"&amp;COUNTIFS($A$6:A103,A103,$I$6:I103,"&lt;100"),"")</x:f>
        <x:v>P017O2</x:v>
      </x:c>
      <x:c r="R103" s="89" t="str">
        <x:f aca="0">IF(I103&lt;100,D103&amp;"O"&amp;COUNTIFS($D$6:D103,D103,$I$6:I103,"&lt;100"),"")</x:f>
        <x:v>SanjayO11</x:v>
      </x:c>
      <x:c r="S103" s="278" t="n">
        <x:f>IF(COUNTIF($B$6:$B$605,B103)&gt;1,1,0)</x:f>
        <x:v>0</x:v>
      </x:c>
    </x:row>
    <x:row r="104" ht="15" hidden="0">
      <x:c r="A104" s="83" t="s">
        <x:v>187</x:v>
      </x:c>
      <x:c r="B104" s="83" t="s">
        <x:v>646</x:v>
      </x:c>
      <x:c r="C104" s="83" t="s">
        <x:v>444</x:v>
      </x:c>
      <x:c r="D104" s="83" t="s">
        <x:v>449</x:v>
      </x:c>
      <x:c r="E104" s="83" t="s">
        <x:v>462</x:v>
      </x:c>
      <x:c r="F104" s="83" t="s">
        <x:v>493</x:v>
      </x:c>
      <x:c r="G104" s="85" t="n">
        <x:v>46248</x:v>
      </x:c>
      <x:c r="H104" s="85" t="n">
        <x:v>46264</x:v>
      </x:c>
      <x:c r="I104" s="87" t="n">
        <x:v>47</x:v>
      </x:c>
      <x:c r="J104" s="83" t="s">
        <x:v>543</x:v>
      </x:c>
      <x:c r="K104" s="83"/>
      <x:c r="L104" s="83" t="s">
        <x:v>395</x:v>
      </x:c>
      <x:c r="M104" s="83" t="n">
        <x:v>50</x:v>
      </x:c>
      <x:c r="N104" s="83" t="n">
        <x:v>86</x:v>
      </x:c>
      <x:c r="O104" s="85" t="n">
        <x:v>46274</x:v>
      </x:c>
      <x:c r="P104" s="89" t="str">
        <x:f aca="0">A104&amp;TEXT(COUNTIF($A$6:A104,A104),"00")</x:f>
        <x:v>P01703</x:v>
      </x:c>
      <x:c r="Q104" s="89" t="str">
        <x:f aca="0">IF(I104&lt;100,A104&amp;"O"&amp;COUNTIFS($A$6:A104,A104,$I$6:I104,"&lt;100"),"")</x:f>
        <x:v>P017O3</x:v>
      </x:c>
      <x:c r="R104" s="89" t="str">
        <x:f aca="0">IF(I104&lt;100,D104&amp;"O"&amp;COUNTIFS($D$6:D104,D104,$I$6:I104,"&lt;100"),"")</x:f>
        <x:v>AnilO10</x:v>
      </x:c>
      <x:c r="S104" s="278" t="n">
        <x:f>IF(COUNTIF($B$6:$B$605,B104)&gt;1,1,0)</x:f>
        <x:v>0</x:v>
      </x:c>
    </x:row>
    <x:row r="105" ht="15" hidden="0">
      <x:c r="A105" s="83" t="s">
        <x:v>187</x:v>
      </x:c>
      <x:c r="B105" s="83" t="s">
        <x:v>647</x:v>
      </x:c>
      <x:c r="C105" s="83" t="s">
        <x:v>448</x:v>
      </x:c>
      <x:c r="D105" s="83" t="s">
        <x:v>452</x:v>
      </x:c>
      <x:c r="E105" s="83" t="s">
        <x:v>360</x:v>
      </x:c>
      <x:c r="F105" s="83" t="s">
        <x:v>546</x:v>
      </x:c>
      <x:c r="G105" s="85" t="n">
        <x:v>46262</x:v>
      </x:c>
      <x:c r="H105" s="85" t="n">
        <x:v>46275</x:v>
      </x:c>
      <x:c r="I105" s="87" t="n">
        <x:v>53</x:v>
      </x:c>
      <x:c r="J105" s="83" t="s">
        <x:v>543</x:v>
      </x:c>
      <x:c r="K105" s="83"/>
      <x:c r="L105" s="83" t="s">
        <x:v>395</x:v>
      </x:c>
      <x:c r="M105" s="83" t="n">
        <x:v>93</x:v>
      </x:c>
      <x:c r="N105" s="83" t="n">
        <x:v>47</x:v>
      </x:c>
      <x:c r="O105" s="85" t="n">
        <x:v>46274</x:v>
      </x:c>
      <x:c r="P105" s="89" t="str">
        <x:f aca="0">A105&amp;TEXT(COUNTIF($A$6:A105,A105),"00")</x:f>
        <x:v>P01704</x:v>
      </x:c>
      <x:c r="Q105" s="89" t="str">
        <x:f aca="0">IF(I105&lt;100,A105&amp;"O"&amp;COUNTIFS($A$6:A105,A105,$I$6:I105,"&lt;100"),"")</x:f>
        <x:v>P017O4</x:v>
      </x:c>
      <x:c r="R105" s="89" t="str">
        <x:f aca="0">IF(I105&lt;100,D105&amp;"O"&amp;COUNTIFS($D$6:D105,D105,$I$6:I105,"&lt;100"),"")</x:f>
        <x:v>KavyaO9</x:v>
      </x:c>
      <x:c r="S105" s="278" t="n">
        <x:f>IF(COUNTIF($B$6:$B$605,B105)&gt;1,1,0)</x:f>
        <x:v>0</x:v>
      </x:c>
    </x:row>
    <x:row r="106" ht="15" hidden="0">
      <x:c r="A106" s="83" t="s">
        <x:v>187</x:v>
      </x:c>
      <x:c r="B106" s="83" t="s">
        <x:v>648</x:v>
      </x:c>
      <x:c r="C106" s="83" t="s">
        <x:v>451</x:v>
      </x:c>
      <x:c r="D106" s="83" t="s">
        <x:v>455</x:v>
      </x:c>
      <x:c r="E106" s="83" t="s">
        <x:v>475</x:v>
      </x:c>
      <x:c r="F106" s="83" t="s">
        <x:v>546</x:v>
      </x:c>
      <x:c r="G106" s="85" t="n">
        <x:v>46276</x:v>
      </x:c>
      <x:c r="H106" s="85" t="n">
        <x:v>46288</x:v>
      </x:c>
      <x:c r="I106" s="87" t="n">
        <x:v>49</x:v>
      </x:c>
      <x:c r="J106" s="83" t="s">
        <x:v>543</x:v>
      </x:c>
      <x:c r="K106" s="83" t="s">
        <x:v>396</x:v>
      </x:c>
      <x:c r="L106" s="83" t="s">
        <x:v>395</x:v>
      </x:c>
      <x:c r="M106" s="83" t="n">
        <x:v>23</x:v>
      </x:c>
      <x:c r="N106" s="83" t="n">
        <x:v>105</x:v>
      </x:c>
      <x:c r="O106" s="85" t="n">
        <x:v>46274</x:v>
      </x:c>
      <x:c r="P106" s="89" t="str">
        <x:f aca="0">A106&amp;TEXT(COUNTIF($A$6:A106,A106),"00")</x:f>
        <x:v>P01705</x:v>
      </x:c>
      <x:c r="Q106" s="89" t="str">
        <x:f aca="0">IF(I106&lt;100,A106&amp;"O"&amp;COUNTIFS($A$6:A106,A106,$I$6:I106,"&lt;100"),"")</x:f>
        <x:v>P017O5</x:v>
      </x:c>
      <x:c r="R106" s="89" t="str">
        <x:f aca="0">IF(I106&lt;100,D106&amp;"O"&amp;COUNTIFS($D$6:D106,D106,$I$6:I106,"&lt;100"),"")</x:f>
        <x:v>RohanO7</x:v>
      </x:c>
      <x:c r="S106" s="278" t="n">
        <x:f>IF(COUNTIF($B$6:$B$605,B106)&gt;1,1,0)</x:f>
        <x:v>0</x:v>
      </x:c>
    </x:row>
    <x:row r="107" ht="15" hidden="0">
      <x:c r="A107" s="83" t="s">
        <x:v>187</x:v>
      </x:c>
      <x:c r="B107" s="83" t="s">
        <x:v>649</x:v>
      </x:c>
      <x:c r="C107" s="83" t="s">
        <x:v>454</x:v>
      </x:c>
      <x:c r="D107" s="83" t="s">
        <x:v>462</x:v>
      </x:c>
      <x:c r="E107" s="83" t="s">
        <x:v>434</x:v>
      </x:c>
      <x:c r="F107" s="83" t="s">
        <x:v>550</x:v>
      </x:c>
      <x:c r="G107" s="85" t="n">
        <x:v>46290</x:v>
      </x:c>
      <x:c r="H107" s="85" t="n">
        <x:v>46313</x:v>
      </x:c>
      <x:c r="I107" s="87" t="n">
        <x:v>77</x:v>
      </x:c>
      <x:c r="J107" s="83" t="s">
        <x:v>543</x:v>
      </x:c>
      <x:c r="K107" s="83" t="s">
        <x:v>396</x:v>
      </x:c>
      <x:c r="L107" s="83" t="s">
        <x:v>395</x:v>
      </x:c>
      <x:c r="M107" s="83" t="n">
        <x:v>90</x:v>
      </x:c>
      <x:c r="N107" s="83" t="n">
        <x:v>89</x:v>
      </x:c>
      <x:c r="O107" s="85" t="n">
        <x:v>46274</x:v>
      </x:c>
      <x:c r="P107" s="89" t="str">
        <x:f aca="0">A107&amp;TEXT(COUNTIF($A$6:A107,A107),"00")</x:f>
        <x:v>P01706</x:v>
      </x:c>
      <x:c r="Q107" s="89" t="str">
        <x:f aca="0">IF(I107&lt;100,A107&amp;"O"&amp;COUNTIFS($A$6:A107,A107,$I$6:I107,"&lt;100"),"")</x:f>
        <x:v>P017O6</x:v>
      </x:c>
      <x:c r="R107" s="89" t="str">
        <x:f aca="0">IF(I107&lt;100,D107&amp;"O"&amp;COUNTIFS($D$6:D107,D107,$I$6:I107,"&lt;100"),"")</x:f>
        <x:v>DeepaO7</x:v>
      </x:c>
      <x:c r="S107" s="278" t="n">
        <x:f>IF(COUNTIF($B$6:$B$605,B107)&gt;1,1,0)</x:f>
        <x:v>0</x:v>
      </x:c>
    </x:row>
    <x:row r="108" ht="15" hidden="0">
      <x:c r="A108" s="83" t="s">
        <x:v>272</x:v>
      </x:c>
      <x:c r="B108" s="83" t="s">
        <x:v>650</x:v>
      </x:c>
      <x:c r="C108" s="83" t="s">
        <x:v>433</x:v>
      </x:c>
      <x:c r="D108" s="83" t="s">
        <x:v>446</x:v>
      </x:c>
      <x:c r="E108" s="83" t="s">
        <x:v>455</x:v>
      </x:c>
      <x:c r="F108" s="83" t="s">
        <x:v>546</x:v>
      </x:c>
      <x:c r="G108" s="85" t="n">
        <x:v>46221</x:v>
      </x:c>
      <x:c r="H108" s="85" t="n">
        <x:v>46237</x:v>
      </x:c>
      <x:c r="I108" s="87" t="n">
        <x:v>80</x:v>
      </x:c>
      <x:c r="J108" s="83" t="s">
        <x:v>543</x:v>
      </x:c>
      <x:c r="K108" s="83"/>
      <x:c r="L108" s="83" t="s">
        <x:v>395</x:v>
      </x:c>
      <x:c r="M108" s="83" t="n">
        <x:v>40</x:v>
      </x:c>
      <x:c r="N108" s="83" t="n">
        <x:v>15</x:v>
      </x:c>
      <x:c r="O108" s="85" t="n">
        <x:v>46274</x:v>
      </x:c>
      <x:c r="P108" s="89" t="str">
        <x:f aca="0">A108&amp;TEXT(COUNTIF($A$6:A108,A108),"00")</x:f>
        <x:v>P01801</x:v>
      </x:c>
      <x:c r="Q108" s="89" t="str">
        <x:f aca="0">IF(I108&lt;100,A108&amp;"O"&amp;COUNTIFS($A$6:A108,A108,$I$6:I108,"&lt;100"),"")</x:f>
        <x:v>P018O1</x:v>
      </x:c>
      <x:c r="R108" s="89" t="str">
        <x:f aca="0">IF(I108&lt;100,D108&amp;"O"&amp;COUNTIFS($D$6:D108,D108,$I$6:I108,"&lt;100"),"")</x:f>
        <x:v>SanjayO12</x:v>
      </x:c>
      <x:c r="S108" s="278" t="n">
        <x:f>IF(COUNTIF($B$6:$B$605,B108)&gt;1,1,0)</x:f>
        <x:v>0</x:v>
      </x:c>
    </x:row>
    <x:row r="109" ht="15" hidden="0">
      <x:c r="A109" s="83" t="s">
        <x:v>272</x:v>
      </x:c>
      <x:c r="B109" s="83" t="s">
        <x:v>651</x:v>
      </x:c>
      <x:c r="C109" s="83" t="s">
        <x:v>440</x:v>
      </x:c>
      <x:c r="D109" s="83" t="s">
        <x:v>449</x:v>
      </x:c>
      <x:c r="E109" s="83" t="s">
        <x:v>462</x:v>
      </x:c>
      <x:c r="F109" s="83" t="s">
        <x:v>550</x:v>
      </x:c>
      <x:c r="G109" s="85" t="n">
        <x:v>46235</x:v>
      </x:c>
      <x:c r="H109" s="85" t="n">
        <x:v>46253</x:v>
      </x:c>
      <x:c r="I109" s="87" t="n">
        <x:v>88</x:v>
      </x:c>
      <x:c r="J109" s="83" t="s">
        <x:v>543</x:v>
      </x:c>
      <x:c r="K109" s="83"/>
      <x:c r="L109" s="83" t="s">
        <x:v>395</x:v>
      </x:c>
      <x:c r="M109" s="83" t="n">
        <x:v>85</x:v>
      </x:c>
      <x:c r="N109" s="83" t="n">
        <x:v>29</x:v>
      </x:c>
      <x:c r="O109" s="85" t="n">
        <x:v>46274</x:v>
      </x:c>
      <x:c r="P109" s="89" t="str">
        <x:f aca="0">A109&amp;TEXT(COUNTIF($A$6:A109,A109),"00")</x:f>
        <x:v>P01802</x:v>
      </x:c>
      <x:c r="Q109" s="89" t="str">
        <x:f aca="0">IF(I109&lt;100,A109&amp;"O"&amp;COUNTIFS($A$6:A109,A109,$I$6:I109,"&lt;100"),"")</x:f>
        <x:v>P018O2</x:v>
      </x:c>
      <x:c r="R109" s="89" t="str">
        <x:f aca="0">IF(I109&lt;100,D109&amp;"O"&amp;COUNTIFS($D$6:D109,D109,$I$6:I109,"&lt;100"),"")</x:f>
        <x:v>AnilO11</x:v>
      </x:c>
      <x:c r="S109" s="278" t="n">
        <x:f>IF(COUNTIF($B$6:$B$605,B109)&gt;1,1,0)</x:f>
        <x:v>0</x:v>
      </x:c>
    </x:row>
    <x:row r="110" ht="15" hidden="0">
      <x:c r="A110" s="83" t="s">
        <x:v>272</x:v>
      </x:c>
      <x:c r="B110" s="83" t="s">
        <x:v>652</x:v>
      </x:c>
      <x:c r="C110" s="83" t="s">
        <x:v>444</x:v>
      </x:c>
      <x:c r="D110" s="83" t="s">
        <x:v>452</x:v>
      </x:c>
      <x:c r="E110" s="83" t="s">
        <x:v>360</x:v>
      </x:c>
      <x:c r="F110" s="83" t="s">
        <x:v>546</x:v>
      </x:c>
      <x:c r="G110" s="85" t="n">
        <x:v>46249</x:v>
      </x:c>
      <x:c r="H110" s="85" t="n">
        <x:v>46259</x:v>
      </x:c>
      <x:c r="I110" s="87" t="n">
        <x:v>65</x:v>
      </x:c>
      <x:c r="J110" s="83" t="s">
        <x:v>543</x:v>
      </x:c>
      <x:c r="K110" s="83"/>
      <x:c r="L110" s="83" t="s">
        <x:v>395</x:v>
      </x:c>
      <x:c r="M110" s="83" t="n">
        <x:v>80</x:v>
      </x:c>
      <x:c r="N110" s="83" t="n">
        <x:v>60</x:v>
      </x:c>
      <x:c r="O110" s="85" t="n">
        <x:v>46274</x:v>
      </x:c>
      <x:c r="P110" s="89" t="str">
        <x:f aca="0">A110&amp;TEXT(COUNTIF($A$6:A110,A110),"00")</x:f>
        <x:v>P01803</x:v>
      </x:c>
      <x:c r="Q110" s="89" t="str">
        <x:f aca="0">IF(I110&lt;100,A110&amp;"O"&amp;COUNTIFS($A$6:A110,A110,$I$6:I110,"&lt;100"),"")</x:f>
        <x:v>P018O3</x:v>
      </x:c>
      <x:c r="R110" s="89" t="str">
        <x:f aca="0">IF(I110&lt;100,D110&amp;"O"&amp;COUNTIFS($D$6:D110,D110,$I$6:I110,"&lt;100"),"")</x:f>
        <x:v>KavyaO10</x:v>
      </x:c>
      <x:c r="S110" s="278" t="n">
        <x:f>IF(COUNTIF($B$6:$B$605,B110)&gt;1,1,0)</x:f>
        <x:v>0</x:v>
      </x:c>
    </x:row>
    <x:row r="111" ht="15" hidden="0">
      <x:c r="A111" s="83" t="s">
        <x:v>272</x:v>
      </x:c>
      <x:c r="B111" s="83" t="s">
        <x:v>653</x:v>
      </x:c>
      <x:c r="C111" s="83" t="s">
        <x:v>448</x:v>
      </x:c>
      <x:c r="D111" s="83" t="s">
        <x:v>455</x:v>
      </x:c>
      <x:c r="E111" s="83" t="s">
        <x:v>475</x:v>
      </x:c>
      <x:c r="F111" s="83" t="s">
        <x:v>493</x:v>
      </x:c>
      <x:c r="G111" s="85" t="n">
        <x:v>46263</x:v>
      </x:c>
      <x:c r="H111" s="85" t="n">
        <x:v>46273</x:v>
      </x:c>
      <x:c r="I111" s="87" t="n">
        <x:v>91</x:v>
      </x:c>
      <x:c r="J111" s="83" t="s">
        <x:v>543</x:v>
      </x:c>
      <x:c r="K111" s="83" t="s">
        <x:v>396</x:v>
      </x:c>
      <x:c r="L111" s="83" t="s">
        <x:v>395</x:v>
      </x:c>
      <x:c r="M111" s="83" t="n">
        <x:v>99</x:v>
      </x:c>
      <x:c r="N111" s="83" t="n">
        <x:v>72</x:v>
      </x:c>
      <x:c r="O111" s="85" t="n">
        <x:v>46274</x:v>
      </x:c>
      <x:c r="P111" s="89" t="str">
        <x:f aca="0">A111&amp;TEXT(COUNTIF($A$6:A111,A111),"00")</x:f>
        <x:v>P01804</x:v>
      </x:c>
      <x:c r="Q111" s="89" t="str">
        <x:f aca="0">IF(I111&lt;100,A111&amp;"O"&amp;COUNTIFS($A$6:A111,A111,$I$6:I111,"&lt;100"),"")</x:f>
        <x:v>P018O4</x:v>
      </x:c>
      <x:c r="R111" s="89" t="str">
        <x:f aca="0">IF(I111&lt;100,D111&amp;"O"&amp;COUNTIFS($D$6:D111,D111,$I$6:I111,"&lt;100"),"")</x:f>
        <x:v>RohanO8</x:v>
      </x:c>
      <x:c r="S111" s="278" t="n">
        <x:f>IF(COUNTIF($B$6:$B$605,B111)&gt;1,1,0)</x:f>
        <x:v>0</x:v>
      </x:c>
    </x:row>
    <x:row r="112" ht="15" hidden="0">
      <x:c r="A112" s="83" t="s">
        <x:v>272</x:v>
      </x:c>
      <x:c r="B112" s="83" t="s">
        <x:v>654</x:v>
      </x:c>
      <x:c r="C112" s="83" t="s">
        <x:v>451</x:v>
      </x:c>
      <x:c r="D112" s="83" t="s">
        <x:v>462</x:v>
      </x:c>
      <x:c r="E112" s="83" t="s">
        <x:v>434</x:v>
      </x:c>
      <x:c r="F112" s="83" t="s">
        <x:v>557</x:v>
      </x:c>
      <x:c r="G112" s="85" t="n">
        <x:v>46277</x:v>
      </x:c>
      <x:c r="H112" s="85" t="n">
        <x:v>46296</x:v>
      </x:c>
      <x:c r="I112" s="87" t="n">
        <x:v>78</x:v>
      </x:c>
      <x:c r="J112" s="83" t="s">
        <x:v>543</x:v>
      </x:c>
      <x:c r="K112" s="83"/>
      <x:c r="L112" s="83" t="s">
        <x:v>395</x:v>
      </x:c>
      <x:c r="M112" s="83" t="n">
        <x:v>85</x:v>
      </x:c>
      <x:c r="N112" s="83" t="n">
        <x:v>76</x:v>
      </x:c>
      <x:c r="O112" s="85" t="n">
        <x:v>46274</x:v>
      </x:c>
      <x:c r="P112" s="89" t="str">
        <x:f aca="0">A112&amp;TEXT(COUNTIF($A$6:A112,A112),"00")</x:f>
        <x:v>P01805</x:v>
      </x:c>
      <x:c r="Q112" s="89" t="str">
        <x:f aca="0">IF(I112&lt;100,A112&amp;"O"&amp;COUNTIFS($A$6:A112,A112,$I$6:I112,"&lt;100"),"")</x:f>
        <x:v>P018O5</x:v>
      </x:c>
      <x:c r="R112" s="89" t="str">
        <x:f aca="0">IF(I112&lt;100,D112&amp;"O"&amp;COUNTIFS($D$6:D112,D112,$I$6:I112,"&lt;100"),"")</x:f>
        <x:v>DeepaO8</x:v>
      </x:c>
      <x:c r="S112" s="278" t="n">
        <x:f>IF(COUNTIF($B$6:$B$605,B112)&gt;1,1,0)</x:f>
        <x:v>0</x:v>
      </x:c>
    </x:row>
    <x:row r="113" ht="15" hidden="0">
      <x:c r="A113" s="83" t="s">
        <x:v>272</x:v>
      </x:c>
      <x:c r="B113" s="83" t="s">
        <x:v>655</x:v>
      </x:c>
      <x:c r="C113" s="83" t="s">
        <x:v>454</x:v>
      </x:c>
      <x:c r="D113" s="83" t="s">
        <x:v>360</x:v>
      </x:c>
      <x:c r="E113" s="83" t="s">
        <x:v>441</x:v>
      </x:c>
      <x:c r="F113" s="83" t="s">
        <x:v>557</x:v>
      </x:c>
      <x:c r="G113" s="85" t="n">
        <x:v>46291</x:v>
      </x:c>
      <x:c r="H113" s="85" t="n">
        <x:v>46303</x:v>
      </x:c>
      <x:c r="I113" s="87" t="n">
        <x:v>74</x:v>
      </x:c>
      <x:c r="J113" s="83" t="s">
        <x:v>543</x:v>
      </x:c>
      <x:c r="K113" s="83"/>
      <x:c r="L113" s="83" t="s">
        <x:v>395</x:v>
      </x:c>
      <x:c r="M113" s="83" t="n">
        <x:v>68</x:v>
      </x:c>
      <x:c r="N113" s="83" t="n">
        <x:v>68</x:v>
      </x:c>
      <x:c r="O113" s="85" t="n">
        <x:v>46274</x:v>
      </x:c>
      <x:c r="P113" s="89" t="str">
        <x:f aca="0">A113&amp;TEXT(COUNTIF($A$6:A113,A113),"00")</x:f>
        <x:v>P01806</x:v>
      </x:c>
      <x:c r="Q113" s="89" t="str">
        <x:f aca="0">IF(I113&lt;100,A113&amp;"O"&amp;COUNTIFS($A$6:A113,A113,$I$6:I113,"&lt;100"),"")</x:f>
        <x:v>P018O6</x:v>
      </x:c>
      <x:c r="R113" s="89" t="str">
        <x:f aca="0">IF(I113&lt;100,D113&amp;"O"&amp;COUNTIFS($D$6:D113,D113,$I$6:I113,"&lt;100"),"")</x:f>
        <x:v>AmitO7</x:v>
      </x:c>
      <x:c r="S113" s="278" t="n">
        <x:f>IF(COUNTIF($B$6:$B$605,B113)&gt;1,1,0)</x:f>
        <x:v>0</x:v>
      </x:c>
    </x:row>
    <x:row r="114" ht="15" hidden="0">
      <x:c r="A114" s="83" t="s">
        <x:v>106</x:v>
      </x:c>
      <x:c r="B114" s="83" t="s">
        <x:v>656</x:v>
      </x:c>
      <x:c r="C114" s="83" t="s">
        <x:v>433</x:v>
      </x:c>
      <x:c r="D114" s="83" t="s">
        <x:v>449</x:v>
      </x:c>
      <x:c r="E114" s="83" t="s">
        <x:v>462</x:v>
      </x:c>
      <x:c r="F114" s="83" t="s">
        <x:v>546</x:v>
      </x:c>
      <x:c r="G114" s="85" t="n">
        <x:v>46222</x:v>
      </x:c>
      <x:c r="H114" s="85" t="n">
        <x:v>46232</x:v>
      </x:c>
      <x:c r="I114" s="87" t="n">
        <x:v>85</x:v>
      </x:c>
      <x:c r="J114" s="83" t="s">
        <x:v>543</x:v>
      </x:c>
      <x:c r="K114" s="83"/>
      <x:c r="L114" s="83" t="s">
        <x:v>395</x:v>
      </x:c>
      <x:c r="M114" s="83" t="n">
        <x:v>52</x:v>
      </x:c>
      <x:c r="N114" s="83" t="n">
        <x:v>49</x:v>
      </x:c>
      <x:c r="O114" s="85" t="n">
        <x:v>46274</x:v>
      </x:c>
      <x:c r="P114" s="89" t="str">
        <x:f aca="0">A114&amp;TEXT(COUNTIF($A$6:A114,A114),"00")</x:f>
        <x:v>P01901</x:v>
      </x:c>
      <x:c r="Q114" s="89" t="str">
        <x:f aca="0">IF(I114&lt;100,A114&amp;"O"&amp;COUNTIFS($A$6:A114,A114,$I$6:I114,"&lt;100"),"")</x:f>
        <x:v>P019O1</x:v>
      </x:c>
      <x:c r="R114" s="89" t="str">
        <x:f aca="0">IF(I114&lt;100,D114&amp;"O"&amp;COUNTIFS($D$6:D114,D114,$I$6:I114,"&lt;100"),"")</x:f>
        <x:v>AnilO12</x:v>
      </x:c>
      <x:c r="S114" s="278" t="n">
        <x:f>IF(COUNTIF($B$6:$B$605,B114)&gt;1,1,0)</x:f>
        <x:v>0</x:v>
      </x:c>
    </x:row>
    <x:row r="115" ht="15" hidden="0">
      <x:c r="A115" s="83" t="s">
        <x:v>106</x:v>
      </x:c>
      <x:c r="B115" s="83" t="s">
        <x:v>657</x:v>
      </x:c>
      <x:c r="C115" s="83" t="s">
        <x:v>440</x:v>
      </x:c>
      <x:c r="D115" s="83" t="s">
        <x:v>452</x:v>
      </x:c>
      <x:c r="E115" s="83" t="s">
        <x:v>360</x:v>
      </x:c>
      <x:c r="F115" s="83" t="s">
        <x:v>546</x:v>
      </x:c>
      <x:c r="G115" s="85" t="n">
        <x:v>46236</x:v>
      </x:c>
      <x:c r="H115" s="85" t="n">
        <x:v>46256</x:v>
      </x:c>
      <x:c r="I115" s="87" t="n">
        <x:v>77</x:v>
      </x:c>
      <x:c r="J115" s="83" t="s">
        <x:v>543</x:v>
      </x:c>
      <x:c r="K115" s="83"/>
      <x:c r="L115" s="83" t="s">
        <x:v>395</x:v>
      </x:c>
      <x:c r="M115" s="83" t="n">
        <x:v>61</x:v>
      </x:c>
      <x:c r="N115" s="83" t="n">
        <x:v>72</x:v>
      </x:c>
      <x:c r="O115" s="85" t="n">
        <x:v>46274</x:v>
      </x:c>
      <x:c r="P115" s="89" t="str">
        <x:f aca="0">A115&amp;TEXT(COUNTIF($A$6:A115,A115),"00")</x:f>
        <x:v>P01902</x:v>
      </x:c>
      <x:c r="Q115" s="89" t="str">
        <x:f aca="0">IF(I115&lt;100,A115&amp;"O"&amp;COUNTIFS($A$6:A115,A115,$I$6:I115,"&lt;100"),"")</x:f>
        <x:v>P019O2</x:v>
      </x:c>
      <x:c r="R115" s="89" t="str">
        <x:f aca="0">IF(I115&lt;100,D115&amp;"O"&amp;COUNTIFS($D$6:D115,D115,$I$6:I115,"&lt;100"),"")</x:f>
        <x:v>KavyaO11</x:v>
      </x:c>
      <x:c r="S115" s="278" t="n">
        <x:f>IF(COUNTIF($B$6:$B$605,B115)&gt;1,1,0)</x:f>
        <x:v>0</x:v>
      </x:c>
    </x:row>
    <x:row r="116" ht="15" hidden="0">
      <x:c r="A116" s="83" t="s">
        <x:v>106</x:v>
      </x:c>
      <x:c r="B116" s="83" t="s">
        <x:v>658</x:v>
      </x:c>
      <x:c r="C116" s="83" t="s">
        <x:v>444</x:v>
      </x:c>
      <x:c r="D116" s="83" t="s">
        <x:v>455</x:v>
      </x:c>
      <x:c r="E116" s="83" t="s">
        <x:v>475</x:v>
      </x:c>
      <x:c r="F116" s="83" t="s">
        <x:v>546</x:v>
      </x:c>
      <x:c r="G116" s="85" t="n">
        <x:v>46250</x:v>
      </x:c>
      <x:c r="H116" s="85" t="n">
        <x:v>46265</x:v>
      </x:c>
      <x:c r="I116" s="87" t="n">
        <x:v>81</x:v>
      </x:c>
      <x:c r="J116" s="83" t="s">
        <x:v>543</x:v>
      </x:c>
      <x:c r="K116" s="83" t="s">
        <x:v>396</x:v>
      </x:c>
      <x:c r="L116" s="83" t="s">
        <x:v>395</x:v>
      </x:c>
      <x:c r="M116" s="83" t="n">
        <x:v>54</x:v>
      </x:c>
      <x:c r="N116" s="83" t="n">
        <x:v>58</x:v>
      </x:c>
      <x:c r="O116" s="85" t="n">
        <x:v>46274</x:v>
      </x:c>
      <x:c r="P116" s="89" t="str">
        <x:f aca="0">A116&amp;TEXT(COUNTIF($A$6:A116,A116),"00")</x:f>
        <x:v>P01903</x:v>
      </x:c>
      <x:c r="Q116" s="89" t="str">
        <x:f aca="0">IF(I116&lt;100,A116&amp;"O"&amp;COUNTIFS($A$6:A116,A116,$I$6:I116,"&lt;100"),"")</x:f>
        <x:v>P019O3</x:v>
      </x:c>
      <x:c r="R116" s="89" t="str">
        <x:f aca="0">IF(I116&lt;100,D116&amp;"O"&amp;COUNTIFS($D$6:D116,D116,$I$6:I116,"&lt;100"),"")</x:f>
        <x:v>RohanO9</x:v>
      </x:c>
      <x:c r="S116" s="278" t="n">
        <x:f>IF(COUNTIF($B$6:$B$605,B116)&gt;1,1,0)</x:f>
        <x:v>0</x:v>
      </x:c>
    </x:row>
    <x:row r="117" ht="15" hidden="0">
      <x:c r="A117" s="83" t="s">
        <x:v>106</x:v>
      </x:c>
      <x:c r="B117" s="83" t="s">
        <x:v>659</x:v>
      </x:c>
      <x:c r="C117" s="83" t="s">
        <x:v>448</x:v>
      </x:c>
      <x:c r="D117" s="83" t="s">
        <x:v>462</x:v>
      </x:c>
      <x:c r="E117" s="83" t="s">
        <x:v>434</x:v>
      </x:c>
      <x:c r="F117" s="83" t="s">
        <x:v>550</x:v>
      </x:c>
      <x:c r="G117" s="85" t="n">
        <x:v>46264</x:v>
      </x:c>
      <x:c r="H117" s="85" t="n">
        <x:v>46287</x:v>
      </x:c>
      <x:c r="I117" s="87" t="n">
        <x:v>87</x:v>
      </x:c>
      <x:c r="J117" s="83" t="s">
        <x:v>543</x:v>
      </x:c>
      <x:c r="K117" s="83"/>
      <x:c r="L117" s="83" t="s">
        <x:v>412</x:v>
      </x:c>
      <x:c r="M117" s="83" t="n">
        <x:v>54</x:v>
      </x:c>
      <x:c r="N117" s="83" t="n">
        <x:v>86</x:v>
      </x:c>
      <x:c r="O117" s="85" t="n">
        <x:v>46274</x:v>
      </x:c>
      <x:c r="P117" s="89" t="str">
        <x:f aca="0">A117&amp;TEXT(COUNTIF($A$6:A117,A117),"00")</x:f>
        <x:v>P01904</x:v>
      </x:c>
      <x:c r="Q117" s="89" t="str">
        <x:f aca="0">IF(I117&lt;100,A117&amp;"O"&amp;COUNTIFS($A$6:A117,A117,$I$6:I117,"&lt;100"),"")</x:f>
        <x:v>P019O4</x:v>
      </x:c>
      <x:c r="R117" s="89" t="str">
        <x:f aca="0">IF(I117&lt;100,D117&amp;"O"&amp;COUNTIFS($D$6:D117,D117,$I$6:I117,"&lt;100"),"")</x:f>
        <x:v>DeepaO9</x:v>
      </x:c>
      <x:c r="S117" s="278" t="n">
        <x:f>IF(COUNTIF($B$6:$B$605,B117)&gt;1,1,0)</x:f>
        <x:v>0</x:v>
      </x:c>
    </x:row>
    <x:row r="118" ht="15" hidden="0">
      <x:c r="A118" s="83" t="s">
        <x:v>106</x:v>
      </x:c>
      <x:c r="B118" s="83" t="s">
        <x:v>660</x:v>
      </x:c>
      <x:c r="C118" s="83" t="s">
        <x:v>451</x:v>
      </x:c>
      <x:c r="D118" s="83" t="s">
        <x:v>360</x:v>
      </x:c>
      <x:c r="E118" s="83" t="s">
        <x:v>441</x:v>
      </x:c>
      <x:c r="F118" s="83" t="s">
        <x:v>493</x:v>
      </x:c>
      <x:c r="G118" s="85" t="n">
        <x:v>46278</x:v>
      </x:c>
      <x:c r="H118" s="85" t="n">
        <x:v>46302</x:v>
      </x:c>
      <x:c r="I118" s="87" t="n">
        <x:v>83</x:v>
      </x:c>
      <x:c r="J118" s="83" t="s">
        <x:v>543</x:v>
      </x:c>
      <x:c r="K118" s="83"/>
      <x:c r="L118" s="83" t="s">
        <x:v>412</x:v>
      </x:c>
      <x:c r="M118" s="83" t="n">
        <x:v>34</x:v>
      </x:c>
      <x:c r="N118" s="83" t="n">
        <x:v>42</x:v>
      </x:c>
      <x:c r="O118" s="85" t="n">
        <x:v>46274</x:v>
      </x:c>
      <x:c r="P118" s="89" t="str">
        <x:f aca="0">A118&amp;TEXT(COUNTIF($A$6:A118,A118),"00")</x:f>
        <x:v>P01905</x:v>
      </x:c>
      <x:c r="Q118" s="89" t="str">
        <x:f aca="0">IF(I118&lt;100,A118&amp;"O"&amp;COUNTIFS($A$6:A118,A118,$I$6:I118,"&lt;100"),"")</x:f>
        <x:v>P019O5</x:v>
      </x:c>
      <x:c r="R118" s="89" t="str">
        <x:f aca="0">IF(I118&lt;100,D118&amp;"O"&amp;COUNTIFS($D$6:D118,D118,$I$6:I118,"&lt;100"),"")</x:f>
        <x:v>AmitO8</x:v>
      </x:c>
      <x:c r="S118" s="278" t="n">
        <x:f>IF(COUNTIF($B$6:$B$605,B118)&gt;1,1,0)</x:f>
        <x:v>0</x:v>
      </x:c>
    </x:row>
    <x:row r="119" ht="15" hidden="0">
      <x:c r="A119" s="83" t="s">
        <x:v>106</x:v>
      </x:c>
      <x:c r="B119" s="83" t="s">
        <x:v>661</x:v>
      </x:c>
      <x:c r="C119" s="83" t="s">
        <x:v>454</x:v>
      </x:c>
      <x:c r="D119" s="83" t="s">
        <x:v>475</x:v>
      </x:c>
      <x:c r="E119" s="83" t="s">
        <x:v>445</x:v>
      </x:c>
      <x:c r="F119" s="83" t="s">
        <x:v>493</x:v>
      </x:c>
      <x:c r="G119" s="85" t="n">
        <x:v>46292</x:v>
      </x:c>
      <x:c r="H119" s="85" t="n">
        <x:v>46312</x:v>
      </x:c>
      <x:c r="I119" s="87" t="n">
        <x:v>96</x:v>
      </x:c>
      <x:c r="J119" s="83" t="s">
        <x:v>543</x:v>
      </x:c>
      <x:c r="K119" s="83"/>
      <x:c r="L119" s="83" t="s">
        <x:v>412</x:v>
      </x:c>
      <x:c r="M119" s="83" t="n">
        <x:v>36</x:v>
      </x:c>
      <x:c r="N119" s="83" t="n">
        <x:v>23</x:v>
      </x:c>
      <x:c r="O119" s="85" t="n">
        <x:v>46274</x:v>
      </x:c>
      <x:c r="P119" s="89" t="str">
        <x:f aca="0">A119&amp;TEXT(COUNTIF($A$6:A119,A119),"00")</x:f>
        <x:v>P01906</x:v>
      </x:c>
      <x:c r="Q119" s="89" t="str">
        <x:f aca="0">IF(I119&lt;100,A119&amp;"O"&amp;COUNTIFS($A$6:A119,A119,$I$6:I119,"&lt;100"),"")</x:f>
        <x:v>P019O6</x:v>
      </x:c>
      <x:c r="R119" s="89" t="str">
        <x:f aca="0">IF(I119&lt;100,D119&amp;"O"&amp;COUNTIFS($D$6:D119,D119,$I$6:I119,"&lt;100"),"")</x:f>
        <x:v>PriyaO7</x:v>
      </x:c>
      <x:c r="S119" s="278" t="n">
        <x:f>IF(COUNTIF($B$6:$B$605,B119)&gt;1,1,0)</x:f>
        <x:v>0</x:v>
      </x:c>
    </x:row>
    <x:row r="120" ht="15" hidden="0">
      <x:c r="A120" s="83" t="s">
        <x:v>260</x:v>
      </x:c>
      <x:c r="B120" s="83" t="s">
        <x:v>662</x:v>
      </x:c>
      <x:c r="C120" s="83" t="s">
        <x:v>433</x:v>
      </x:c>
      <x:c r="D120" s="83" t="s">
        <x:v>452</x:v>
      </x:c>
      <x:c r="E120" s="83" t="s">
        <x:v>360</x:v>
      </x:c>
      <x:c r="F120" s="83" t="s">
        <x:v>557</x:v>
      </x:c>
      <x:c r="G120" s="85" t="n">
        <x:v>46223</x:v>
      </x:c>
      <x:c r="H120" s="85" t="n">
        <x:v>46234</x:v>
      </x:c>
      <x:c r="I120" s="87" t="n">
        <x:v>80</x:v>
      </x:c>
      <x:c r="J120" s="83" t="s">
        <x:v>543</x:v>
      </x:c>
      <x:c r="K120" s="83" t="s">
        <x:v>396</x:v>
      </x:c>
      <x:c r="L120" s="83" t="s">
        <x:v>395</x:v>
      </x:c>
      <x:c r="M120" s="83" t="n">
        <x:v>28</x:v>
      </x:c>
      <x:c r="N120" s="83" t="n">
        <x:v>26</x:v>
      </x:c>
      <x:c r="O120" s="85" t="n">
        <x:v>46274</x:v>
      </x:c>
      <x:c r="P120" s="89" t="str">
        <x:f aca="0">A120&amp;TEXT(COUNTIF($A$6:A120,A120),"00")</x:f>
        <x:v>P02001</x:v>
      </x:c>
      <x:c r="Q120" s="89" t="str">
        <x:f aca="0">IF(I120&lt;100,A120&amp;"O"&amp;COUNTIFS($A$6:A120,A120,$I$6:I120,"&lt;100"),"")</x:f>
        <x:v>P020O1</x:v>
      </x:c>
      <x:c r="R120" s="89" t="str">
        <x:f aca="0">IF(I120&lt;100,D120&amp;"O"&amp;COUNTIFS($D$6:D120,D120,$I$6:I120,"&lt;100"),"")</x:f>
        <x:v>KavyaO12</x:v>
      </x:c>
      <x:c r="S120" s="278" t="n">
        <x:f>IF(COUNTIF($B$6:$B$605,B120)&gt;1,1,0)</x:f>
        <x:v>0</x:v>
      </x:c>
    </x:row>
    <x:row r="121" ht="15" hidden="0">
      <x:c r="A121" s="83" t="s">
        <x:v>260</x:v>
      </x:c>
      <x:c r="B121" s="83" t="s">
        <x:v>663</x:v>
      </x:c>
      <x:c r="C121" s="83" t="s">
        <x:v>440</x:v>
      </x:c>
      <x:c r="D121" s="83" t="s">
        <x:v>455</x:v>
      </x:c>
      <x:c r="E121" s="83" t="s">
        <x:v>475</x:v>
      </x:c>
      <x:c r="F121" s="83" t="s">
        <x:v>493</x:v>
      </x:c>
      <x:c r="G121" s="85" t="n">
        <x:v>46237</x:v>
      </x:c>
      <x:c r="H121" s="85" t="n">
        <x:v>46249</x:v>
      </x:c>
      <x:c r="I121" s="87" t="n">
        <x:v>74</x:v>
      </x:c>
      <x:c r="J121" s="83" t="s">
        <x:v>543</x:v>
      </x:c>
      <x:c r="K121" s="83"/>
      <x:c r="L121" s="83" t="s">
        <x:v>395</x:v>
      </x:c>
      <x:c r="M121" s="83" t="n">
        <x:v>63</x:v>
      </x:c>
      <x:c r="N121" s="83" t="n">
        <x:v>49</x:v>
      </x:c>
      <x:c r="O121" s="85" t="n">
        <x:v>46274</x:v>
      </x:c>
      <x:c r="P121" s="89" t="str">
        <x:f aca="0">A121&amp;TEXT(COUNTIF($A$6:A121,A121),"00")</x:f>
        <x:v>P02002</x:v>
      </x:c>
      <x:c r="Q121" s="89" t="str">
        <x:f aca="0">IF(I121&lt;100,A121&amp;"O"&amp;COUNTIFS($A$6:A121,A121,$I$6:I121,"&lt;100"),"")</x:f>
        <x:v>P020O2</x:v>
      </x:c>
      <x:c r="R121" s="89" t="str">
        <x:f aca="0">IF(I121&lt;100,D121&amp;"O"&amp;COUNTIFS($D$6:D121,D121,$I$6:I121,"&lt;100"),"")</x:f>
        <x:v>RohanO10</x:v>
      </x:c>
      <x:c r="S121" s="278" t="n">
        <x:f>IF(COUNTIF($B$6:$B$605,B121)&gt;1,1,0)</x:f>
        <x:v>0</x:v>
      </x:c>
    </x:row>
    <x:row r="122" ht="15" hidden="0">
      <x:c r="A122" s="83" t="s">
        <x:v>260</x:v>
      </x:c>
      <x:c r="B122" s="83" t="s">
        <x:v>664</x:v>
      </x:c>
      <x:c r="C122" s="83" t="s">
        <x:v>444</x:v>
      </x:c>
      <x:c r="D122" s="83" t="s">
        <x:v>462</x:v>
      </x:c>
      <x:c r="E122" s="83" t="s">
        <x:v>434</x:v>
      </x:c>
      <x:c r="F122" s="83" t="s">
        <x:v>550</x:v>
      </x:c>
      <x:c r="G122" s="85" t="n">
        <x:v>46251</x:v>
      </x:c>
      <x:c r="H122" s="85" t="n">
        <x:v>46274</x:v>
      </x:c>
      <x:c r="I122" s="87" t="n">
        <x:v>72</x:v>
      </x:c>
      <x:c r="J122" s="83" t="s">
        <x:v>543</x:v>
      </x:c>
      <x:c r="K122" s="83"/>
      <x:c r="L122" s="83" t="s">
        <x:v>395</x:v>
      </x:c>
      <x:c r="M122" s="83" t="n">
        <x:v>41</x:v>
      </x:c>
      <x:c r="N122" s="83" t="n">
        <x:v>44</x:v>
      </x:c>
      <x:c r="O122" s="85" t="n">
        <x:v>46274</x:v>
      </x:c>
      <x:c r="P122" s="89" t="str">
        <x:f aca="0">A122&amp;TEXT(COUNTIF($A$6:A122,A122),"00")</x:f>
        <x:v>P02003</x:v>
      </x:c>
      <x:c r="Q122" s="89" t="str">
        <x:f aca="0">IF(I122&lt;100,A122&amp;"O"&amp;COUNTIFS($A$6:A122,A122,$I$6:I122,"&lt;100"),"")</x:f>
        <x:v>P020O3</x:v>
      </x:c>
      <x:c r="R122" s="89" t="str">
        <x:f aca="0">IF(I122&lt;100,D122&amp;"O"&amp;COUNTIFS($D$6:D122,D122,$I$6:I122,"&lt;100"),"")</x:f>
        <x:v>DeepaO10</x:v>
      </x:c>
      <x:c r="S122" s="278" t="n">
        <x:f>IF(COUNTIF($B$6:$B$605,B122)&gt;1,1,0)</x:f>
        <x:v>0</x:v>
      </x:c>
    </x:row>
    <x:row r="123" ht="15" hidden="0">
      <x:c r="A123" s="83" t="s">
        <x:v>260</x:v>
      </x:c>
      <x:c r="B123" s="83" t="s">
        <x:v>665</x:v>
      </x:c>
      <x:c r="C123" s="83" t="s">
        <x:v>448</x:v>
      </x:c>
      <x:c r="D123" s="83" t="s">
        <x:v>360</x:v>
      </x:c>
      <x:c r="E123" s="83" t="s">
        <x:v>441</x:v>
      </x:c>
      <x:c r="F123" s="83" t="s">
        <x:v>493</x:v>
      </x:c>
      <x:c r="G123" s="85" t="n">
        <x:v>46265</x:v>
      </x:c>
      <x:c r="H123" s="85" t="n">
        <x:v>46289</x:v>
      </x:c>
      <x:c r="I123" s="87" t="n">
        <x:v>71</x:v>
      </x:c>
      <x:c r="J123" s="83" t="s">
        <x:v>543</x:v>
      </x:c>
      <x:c r="K123" s="83" t="s">
        <x:v>396</x:v>
      </x:c>
      <x:c r="L123" s="83" t="s">
        <x:v>395</x:v>
      </x:c>
      <x:c r="M123" s="83" t="n">
        <x:v>94</x:v>
      </x:c>
      <x:c r="N123" s="83" t="n">
        <x:v>101</x:v>
      </x:c>
      <x:c r="O123" s="85" t="n">
        <x:v>46274</x:v>
      </x:c>
      <x:c r="P123" s="89" t="str">
        <x:f aca="0">A123&amp;TEXT(COUNTIF($A$6:A123,A123),"00")</x:f>
        <x:v>P02004</x:v>
      </x:c>
      <x:c r="Q123" s="89" t="str">
        <x:f aca="0">IF(I123&lt;100,A123&amp;"O"&amp;COUNTIFS($A$6:A123,A123,$I$6:I123,"&lt;100"),"")</x:f>
        <x:v>P020O4</x:v>
      </x:c>
      <x:c r="R123" s="89" t="str">
        <x:f aca="0">IF(I123&lt;100,D123&amp;"O"&amp;COUNTIFS($D$6:D123,D123,$I$6:I123,"&lt;100"),"")</x:f>
        <x:v>AmitO9</x:v>
      </x:c>
      <x:c r="S123" s="278" t="n">
        <x:f>IF(COUNTIF($B$6:$B$605,B123)&gt;1,1,0)</x:f>
        <x:v>0</x:v>
      </x:c>
    </x:row>
    <x:row r="124" ht="15" hidden="0">
      <x:c r="A124" s="83" t="s">
        <x:v>260</x:v>
      </x:c>
      <x:c r="B124" s="83" t="s">
        <x:v>666</x:v>
      </x:c>
      <x:c r="C124" s="83" t="s">
        <x:v>451</x:v>
      </x:c>
      <x:c r="D124" s="83" t="s">
        <x:v>475</x:v>
      </x:c>
      <x:c r="E124" s="83" t="s">
        <x:v>445</x:v>
      </x:c>
      <x:c r="F124" s="83" t="s">
        <x:v>546</x:v>
      </x:c>
      <x:c r="G124" s="85" t="n">
        <x:v>46279</x:v>
      </x:c>
      <x:c r="H124" s="85" t="n">
        <x:v>46301</x:v>
      </x:c>
      <x:c r="I124" s="87" t="n">
        <x:v>66</x:v>
      </x:c>
      <x:c r="J124" s="83" t="s">
        <x:v>543</x:v>
      </x:c>
      <x:c r="K124" s="83"/>
      <x:c r="L124" s="83" t="s">
        <x:v>395</x:v>
      </x:c>
      <x:c r="M124" s="83" t="n">
        <x:v>78</x:v>
      </x:c>
      <x:c r="N124" s="83" t="n">
        <x:v>64</x:v>
      </x:c>
      <x:c r="O124" s="85" t="n">
        <x:v>46274</x:v>
      </x:c>
      <x:c r="P124" s="89" t="str">
        <x:f aca="0">A124&amp;TEXT(COUNTIF($A$6:A124,A124),"00")</x:f>
        <x:v>P02005</x:v>
      </x:c>
      <x:c r="Q124" s="89" t="str">
        <x:f aca="0">IF(I124&lt;100,A124&amp;"O"&amp;COUNTIFS($A$6:A124,A124,$I$6:I124,"&lt;100"),"")</x:f>
        <x:v>P020O5</x:v>
      </x:c>
      <x:c r="R124" s="89" t="str">
        <x:f aca="0">IF(I124&lt;100,D124&amp;"O"&amp;COUNTIFS($D$6:D124,D124,$I$6:I124,"&lt;100"),"")</x:f>
        <x:v>PriyaO8</x:v>
      </x:c>
      <x:c r="S124" s="278" t="n">
        <x:f>IF(COUNTIF($B$6:$B$605,B124)&gt;1,1,0)</x:f>
        <x:v>0</x:v>
      </x:c>
    </x:row>
    <x:row r="125" ht="15" hidden="0">
      <x:c r="A125" s="83" t="s">
        <x:v>260</x:v>
      </x:c>
      <x:c r="B125" s="83" t="s">
        <x:v>667</x:v>
      </x:c>
      <x:c r="C125" s="83" t="s">
        <x:v>454</x:v>
      </x:c>
      <x:c r="D125" s="83" t="s">
        <x:v>434</x:v>
      </x:c>
      <x:c r="E125" s="83" t="s">
        <x:v>435</x:v>
      </x:c>
      <x:c r="F125" s="83" t="s">
        <x:v>557</x:v>
      </x:c>
      <x:c r="G125" s="85" t="n">
        <x:v>46293</x:v>
      </x:c>
      <x:c r="H125" s="85" t="n">
        <x:v>46310</x:v>
      </x:c>
      <x:c r="I125" s="87" t="n">
        <x:v>75</x:v>
      </x:c>
      <x:c r="J125" s="83" t="s">
        <x:v>543</x:v>
      </x:c>
      <x:c r="K125" s="83"/>
      <x:c r="L125" s="83" t="s">
        <x:v>395</x:v>
      </x:c>
      <x:c r="M125" s="83" t="n">
        <x:v>72</x:v>
      </x:c>
      <x:c r="N125" s="83" t="n">
        <x:v>92</x:v>
      </x:c>
      <x:c r="O125" s="85" t="n">
        <x:v>46274</x:v>
      </x:c>
      <x:c r="P125" s="89" t="str">
        <x:f aca="0">A125&amp;TEXT(COUNTIF($A$6:A125,A125),"00")</x:f>
        <x:v>P02006</x:v>
      </x:c>
      <x:c r="Q125" s="89" t="str">
        <x:f aca="0">IF(I125&lt;100,A125&amp;"O"&amp;COUNTIFS($A$6:A125,A125,$I$6:I125,"&lt;100"),"")</x:f>
        <x:v>P020O6</x:v>
      </x:c>
      <x:c r="R125" s="89" t="str">
        <x:f aca="0">IF(I125&lt;100,D125&amp;"O"&amp;COUNTIFS($D$6:D125,D125,$I$6:I125,"&lt;100"),"")</x:f>
        <x:v>RahulO7</x:v>
      </x:c>
      <x:c r="S125" s="278" t="n">
        <x:f>IF(COUNTIF($B$6:$B$605,B125)&gt;1,1,0)</x:f>
        <x:v>0</x:v>
      </x:c>
    </x:row>
    <x:row r="126" ht="15" hidden="0">
      <x:c r="A126" s="83" t="s">
        <x:v>222</x:v>
      </x:c>
      <x:c r="B126" s="83" t="s">
        <x:v>668</x:v>
      </x:c>
      <x:c r="C126" s="83" t="s">
        <x:v>433</x:v>
      </x:c>
      <x:c r="D126" s="83" t="s">
        <x:v>455</x:v>
      </x:c>
      <x:c r="E126" s="83" t="s">
        <x:v>475</x:v>
      </x:c>
      <x:c r="F126" s="83" t="s">
        <x:v>550</x:v>
      </x:c>
      <x:c r="G126" s="85" t="n">
        <x:v>46224</x:v>
      </x:c>
      <x:c r="H126" s="85" t="n">
        <x:v>46242</x:v>
      </x:c>
      <x:c r="I126" s="87" t="n">
        <x:v>39</x:v>
      </x:c>
      <x:c r="J126" s="83" t="s">
        <x:v>543</x:v>
      </x:c>
      <x:c r="K126" s="83"/>
      <x:c r="L126" s="83" t="s">
        <x:v>395</x:v>
      </x:c>
      <x:c r="M126" s="83" t="n">
        <x:v>31</x:v>
      </x:c>
      <x:c r="N126" s="83" t="n">
        <x:v>76</x:v>
      </x:c>
      <x:c r="O126" s="85" t="n">
        <x:v>46274</x:v>
      </x:c>
      <x:c r="P126" s="89" t="str">
        <x:f aca="0">A126&amp;TEXT(COUNTIF($A$6:A126,A126),"00")</x:f>
        <x:v>P02101</x:v>
      </x:c>
      <x:c r="Q126" s="89" t="str">
        <x:f aca="0">IF(I126&lt;100,A126&amp;"O"&amp;COUNTIFS($A$6:A126,A126,$I$6:I126,"&lt;100"),"")</x:f>
        <x:v>P021O1</x:v>
      </x:c>
      <x:c r="R126" s="89" t="str">
        <x:f aca="0">IF(I126&lt;100,D126&amp;"O"&amp;COUNTIFS($D$6:D126,D126,$I$6:I126,"&lt;100"),"")</x:f>
        <x:v>RohanO11</x:v>
      </x:c>
      <x:c r="S126" s="278" t="n">
        <x:f>IF(COUNTIF($B$6:$B$605,B126)&gt;1,1,0)</x:f>
        <x:v>0</x:v>
      </x:c>
    </x:row>
    <x:row r="127" ht="15" hidden="0">
      <x:c r="A127" s="83" t="s">
        <x:v>222</x:v>
      </x:c>
      <x:c r="B127" s="83" t="s">
        <x:v>669</x:v>
      </x:c>
      <x:c r="C127" s="83" t="s">
        <x:v>440</x:v>
      </x:c>
      <x:c r="D127" s="83" t="s">
        <x:v>462</x:v>
      </x:c>
      <x:c r="E127" s="83" t="s">
        <x:v>434</x:v>
      </x:c>
      <x:c r="F127" s="83" t="s">
        <x:v>557</x:v>
      </x:c>
      <x:c r="G127" s="85" t="n">
        <x:v>46238</x:v>
      </x:c>
      <x:c r="H127" s="85" t="n">
        <x:v>46257</x:v>
      </x:c>
      <x:c r="I127" s="87" t="n">
        <x:v>57</x:v>
      </x:c>
      <x:c r="J127" s="83" t="s">
        <x:v>543</x:v>
      </x:c>
      <x:c r="K127" s="83" t="s">
        <x:v>396</x:v>
      </x:c>
      <x:c r="L127" s="83" t="s">
        <x:v>395</x:v>
      </x:c>
      <x:c r="M127" s="83" t="n">
        <x:v>36</x:v>
      </x:c>
      <x:c r="N127" s="83" t="n">
        <x:v>25</x:v>
      </x:c>
      <x:c r="O127" s="85" t="n">
        <x:v>46274</x:v>
      </x:c>
      <x:c r="P127" s="89" t="str">
        <x:f aca="0">A127&amp;TEXT(COUNTIF($A$6:A127,A127),"00")</x:f>
        <x:v>P02102</x:v>
      </x:c>
      <x:c r="Q127" s="89" t="str">
        <x:f aca="0">IF(I127&lt;100,A127&amp;"O"&amp;COUNTIFS($A$6:A127,A127,$I$6:I127,"&lt;100"),"")</x:f>
        <x:v>P021O2</x:v>
      </x:c>
      <x:c r="R127" s="89" t="str">
        <x:f aca="0">IF(I127&lt;100,D127&amp;"O"&amp;COUNTIFS($D$6:D127,D127,$I$6:I127,"&lt;100"),"")</x:f>
        <x:v>DeepaO11</x:v>
      </x:c>
      <x:c r="S127" s="278" t="n">
        <x:f>IF(COUNTIF($B$6:$B$605,B127)&gt;1,1,0)</x:f>
        <x:v>0</x:v>
      </x:c>
    </x:row>
    <x:row r="128" ht="15" hidden="0">
      <x:c r="A128" s="83" t="s">
        <x:v>222</x:v>
      </x:c>
      <x:c r="B128" s="83" t="s">
        <x:v>670</x:v>
      </x:c>
      <x:c r="C128" s="83" t="s">
        <x:v>444</x:v>
      </x:c>
      <x:c r="D128" s="83" t="s">
        <x:v>360</x:v>
      </x:c>
      <x:c r="E128" s="83" t="s">
        <x:v>441</x:v>
      </x:c>
      <x:c r="F128" s="83" t="s">
        <x:v>546</x:v>
      </x:c>
      <x:c r="G128" s="85" t="n">
        <x:v>46252</x:v>
      </x:c>
      <x:c r="H128" s="85" t="n">
        <x:v>46264</x:v>
      </x:c>
      <x:c r="I128" s="87" t="n">
        <x:v>25</x:v>
      </x:c>
      <x:c r="J128" s="83" t="s">
        <x:v>543</x:v>
      </x:c>
      <x:c r="K128" s="83"/>
      <x:c r="L128" s="83" t="s">
        <x:v>395</x:v>
      </x:c>
      <x:c r="M128" s="83" t="n">
        <x:v>49</x:v>
      </x:c>
      <x:c r="N128" s="83" t="n">
        <x:v>72</x:v>
      </x:c>
      <x:c r="O128" s="85" t="n">
        <x:v>46274</x:v>
      </x:c>
      <x:c r="P128" s="89" t="str">
        <x:f aca="0">A128&amp;TEXT(COUNTIF($A$6:A128,A128),"00")</x:f>
        <x:v>P02103</x:v>
      </x:c>
      <x:c r="Q128" s="89" t="str">
        <x:f aca="0">IF(I128&lt;100,A128&amp;"O"&amp;COUNTIFS($A$6:A128,A128,$I$6:I128,"&lt;100"),"")</x:f>
        <x:v>P021O3</x:v>
      </x:c>
      <x:c r="R128" s="89" t="str">
        <x:f aca="0">IF(I128&lt;100,D128&amp;"O"&amp;COUNTIFS($D$6:D128,D128,$I$6:I128,"&lt;100"),"")</x:f>
        <x:v>AmitO10</x:v>
      </x:c>
      <x:c r="S128" s="278" t="n">
        <x:f>IF(COUNTIF($B$6:$B$605,B128)&gt;1,1,0)</x:f>
        <x:v>0</x:v>
      </x:c>
    </x:row>
    <x:row r="129" ht="15" hidden="0">
      <x:c r="A129" s="83" t="s">
        <x:v>222</x:v>
      </x:c>
      <x:c r="B129" s="83" t="s">
        <x:v>671</x:v>
      </x:c>
      <x:c r="C129" s="83" t="s">
        <x:v>448</x:v>
      </x:c>
      <x:c r="D129" s="83" t="s">
        <x:v>475</x:v>
      </x:c>
      <x:c r="E129" s="83" t="s">
        <x:v>445</x:v>
      </x:c>
      <x:c r="F129" s="83" t="s">
        <x:v>557</x:v>
      </x:c>
      <x:c r="G129" s="85" t="n">
        <x:v>46266</x:v>
      </x:c>
      <x:c r="H129" s="85" t="n">
        <x:v>46289</x:v>
      </x:c>
      <x:c r="I129" s="87" t="n">
        <x:v>51</x:v>
      </x:c>
      <x:c r="J129" s="83" t="s">
        <x:v>543</x:v>
      </x:c>
      <x:c r="K129" s="83" t="s">
        <x:v>396</x:v>
      </x:c>
      <x:c r="L129" s="83" t="s">
        <x:v>395</x:v>
      </x:c>
      <x:c r="M129" s="83" t="n">
        <x:v>90</x:v>
      </x:c>
      <x:c r="N129" s="83" t="n">
        <x:v>27</x:v>
      </x:c>
      <x:c r="O129" s="85" t="n">
        <x:v>46274</x:v>
      </x:c>
      <x:c r="P129" s="89" t="str">
        <x:f aca="0">A129&amp;TEXT(COUNTIF($A$6:A129,A129),"00")</x:f>
        <x:v>P02104</x:v>
      </x:c>
      <x:c r="Q129" s="89" t="str">
        <x:f aca="0">IF(I129&lt;100,A129&amp;"O"&amp;COUNTIFS($A$6:A129,A129,$I$6:I129,"&lt;100"),"")</x:f>
        <x:v>P021O4</x:v>
      </x:c>
      <x:c r="R129" s="89" t="str">
        <x:f aca="0">IF(I129&lt;100,D129&amp;"O"&amp;COUNTIFS($D$6:D129,D129,$I$6:I129,"&lt;100"),"")</x:f>
        <x:v>PriyaO9</x:v>
      </x:c>
      <x:c r="S129" s="278" t="n">
        <x:f>IF(COUNTIF($B$6:$B$605,B129)&gt;1,1,0)</x:f>
        <x:v>0</x:v>
      </x:c>
    </x:row>
    <x:row r="130" ht="15" hidden="0">
      <x:c r="A130" s="83" t="s">
        <x:v>222</x:v>
      </x:c>
      <x:c r="B130" s="83" t="s">
        <x:v>672</x:v>
      </x:c>
      <x:c r="C130" s="83" t="s">
        <x:v>451</x:v>
      </x:c>
      <x:c r="D130" s="83" t="s">
        <x:v>434</x:v>
      </x:c>
      <x:c r="E130" s="83" t="s">
        <x:v>435</x:v>
      </x:c>
      <x:c r="F130" s="83" t="s">
        <x:v>493</x:v>
      </x:c>
      <x:c r="G130" s="85" t="n">
        <x:v>46280</x:v>
      </x:c>
      <x:c r="H130" s="85" t="n">
        <x:v>46300</x:v>
      </x:c>
      <x:c r="I130" s="87" t="n">
        <x:v>57</x:v>
      </x:c>
      <x:c r="J130" s="83" t="s">
        <x:v>543</x:v>
      </x:c>
      <x:c r="K130" s="83"/>
      <x:c r="L130" s="83" t="s">
        <x:v>395</x:v>
      </x:c>
      <x:c r="M130" s="83" t="n">
        <x:v>62</x:v>
      </x:c>
      <x:c r="N130" s="83" t="n">
        <x:v>23</x:v>
      </x:c>
      <x:c r="O130" s="85" t="n">
        <x:v>46274</x:v>
      </x:c>
      <x:c r="P130" s="89" t="str">
        <x:f aca="0">A130&amp;TEXT(COUNTIF($A$6:A130,A130),"00")</x:f>
        <x:v>P02105</x:v>
      </x:c>
      <x:c r="Q130" s="89" t="str">
        <x:f aca="0">IF(I130&lt;100,A130&amp;"O"&amp;COUNTIFS($A$6:A130,A130,$I$6:I130,"&lt;100"),"")</x:f>
        <x:v>P021O5</x:v>
      </x:c>
      <x:c r="R130" s="89" t="str">
        <x:f aca="0">IF(I130&lt;100,D130&amp;"O"&amp;COUNTIFS($D$6:D130,D130,$I$6:I130,"&lt;100"),"")</x:f>
        <x:v>RahulO8</x:v>
      </x:c>
      <x:c r="S130" s="278" t="n">
        <x:f>IF(COUNTIF($B$6:$B$605,B130)&gt;1,1,0)</x:f>
        <x:v>0</x:v>
      </x:c>
    </x:row>
    <x:row r="131" ht="15" hidden="0">
      <x:c r="A131" s="83" t="s">
        <x:v>222</x:v>
      </x:c>
      <x:c r="B131" s="83" t="s">
        <x:v>673</x:v>
      </x:c>
      <x:c r="C131" s="83" t="s">
        <x:v>454</x:v>
      </x:c>
      <x:c r="D131" s="83" t="s">
        <x:v>441</x:v>
      </x:c>
      <x:c r="E131" s="83" t="s">
        <x:v>442</x:v>
      </x:c>
      <x:c r="F131" s="83" t="s">
        <x:v>550</x:v>
      </x:c>
      <x:c r="G131" s="85" t="n">
        <x:v>46294</x:v>
      </x:c>
      <x:c r="H131" s="85" t="n">
        <x:v>46313</x:v>
      </x:c>
      <x:c r="I131" s="87" t="n">
        <x:v>36</x:v>
      </x:c>
      <x:c r="J131" s="83" t="s">
        <x:v>543</x:v>
      </x:c>
      <x:c r="K131" s="83" t="s">
        <x:v>396</x:v>
      </x:c>
      <x:c r="L131" s="83" t="s">
        <x:v>395</x:v>
      </x:c>
      <x:c r="M131" s="83" t="n">
        <x:v>27</x:v>
      </x:c>
      <x:c r="N131" s="83" t="n">
        <x:v>85</x:v>
      </x:c>
      <x:c r="O131" s="85" t="n">
        <x:v>46274</x:v>
      </x:c>
      <x:c r="P131" s="89" t="str">
        <x:f aca="0">A131&amp;TEXT(COUNTIF($A$6:A131,A131),"00")</x:f>
        <x:v>P02106</x:v>
      </x:c>
      <x:c r="Q131" s="89" t="str">
        <x:f aca="0">IF(I131&lt;100,A131&amp;"O"&amp;COUNTIFS($A$6:A131,A131,$I$6:I131,"&lt;100"),"")</x:f>
        <x:v>P021O6</x:v>
      </x:c>
      <x:c r="R131" s="89" t="str">
        <x:f aca="0">IF(I131&lt;100,D131&amp;"O"&amp;COUNTIFS($D$6:D131,D131,$I$6:I131,"&lt;100"),"")</x:f>
        <x:v>KaranO9</x:v>
      </x:c>
      <x:c r="S131" s="278" t="n">
        <x:f>IF(COUNTIF($B$6:$B$605,B131)&gt;1,1,0)</x:f>
        <x:v>0</x:v>
      </x:c>
    </x:row>
    <x:row r="132" ht="15" hidden="0">
      <x:c r="A132" s="83" t="s">
        <x:v>234</x:v>
      </x:c>
      <x:c r="B132" s="83" t="s">
        <x:v>674</x:v>
      </x:c>
      <x:c r="C132" s="83" t="s">
        <x:v>433</x:v>
      </x:c>
      <x:c r="D132" s="83" t="s">
        <x:v>462</x:v>
      </x:c>
      <x:c r="E132" s="83" t="s">
        <x:v>434</x:v>
      </x:c>
      <x:c r="F132" s="83" t="s">
        <x:v>550</x:v>
      </x:c>
      <x:c r="G132" s="85" t="n">
        <x:v>46225</x:v>
      </x:c>
      <x:c r="H132" s="85" t="n">
        <x:v>46237</x:v>
      </x:c>
      <x:c r="I132" s="87" t="n">
        <x:v>19</x:v>
      </x:c>
      <x:c r="J132" s="83" t="s">
        <x:v>543</x:v>
      </x:c>
      <x:c r="K132" s="83" t="s">
        <x:v>396</x:v>
      </x:c>
      <x:c r="L132" s="83" t="s">
        <x:v>395</x:v>
      </x:c>
      <x:c r="M132" s="83" t="n">
        <x:v>44</x:v>
      </x:c>
      <x:c r="N132" s="83" t="n">
        <x:v>76</x:v>
      </x:c>
      <x:c r="O132" s="85" t="n">
        <x:v>46274</x:v>
      </x:c>
      <x:c r="P132" s="89" t="str">
        <x:f aca="0">A132&amp;TEXT(COUNTIF($A$6:A132,A132),"00")</x:f>
        <x:v>P02201</x:v>
      </x:c>
      <x:c r="Q132" s="89" t="str">
        <x:f aca="0">IF(I132&lt;100,A132&amp;"O"&amp;COUNTIFS($A$6:A132,A132,$I$6:I132,"&lt;100"),"")</x:f>
        <x:v>P022O1</x:v>
      </x:c>
      <x:c r="R132" s="89" t="str">
        <x:f aca="0">IF(I132&lt;100,D132&amp;"O"&amp;COUNTIFS($D$6:D132,D132,$I$6:I132,"&lt;100"),"")</x:f>
        <x:v>DeepaO12</x:v>
      </x:c>
      <x:c r="S132" s="278" t="n">
        <x:f>IF(COUNTIF($B$6:$B$605,B132)&gt;1,1,0)</x:f>
        <x:v>0</x:v>
      </x:c>
    </x:row>
    <x:row r="133" ht="15" hidden="0">
      <x:c r="A133" s="83" t="s">
        <x:v>234</x:v>
      </x:c>
      <x:c r="B133" s="83" t="s">
        <x:v>675</x:v>
      </x:c>
      <x:c r="C133" s="83" t="s">
        <x:v>440</x:v>
      </x:c>
      <x:c r="D133" s="83" t="s">
        <x:v>360</x:v>
      </x:c>
      <x:c r="E133" s="83" t="s">
        <x:v>441</x:v>
      </x:c>
      <x:c r="F133" s="83" t="s">
        <x:v>550</x:v>
      </x:c>
      <x:c r="G133" s="85" t="n">
        <x:v>46239</x:v>
      </x:c>
      <x:c r="H133" s="85" t="n">
        <x:v>46248</x:v>
      </x:c>
      <x:c r="I133" s="87" t="n">
        <x:v>28</x:v>
      </x:c>
      <x:c r="J133" s="83" t="s">
        <x:v>543</x:v>
      </x:c>
      <x:c r="K133" s="83"/>
      <x:c r="L133" s="83" t="s">
        <x:v>395</x:v>
      </x:c>
      <x:c r="M133" s="83" t="n">
        <x:v>46</x:v>
      </x:c>
      <x:c r="N133" s="83" t="n">
        <x:v>29</x:v>
      </x:c>
      <x:c r="O133" s="85" t="n">
        <x:v>46274</x:v>
      </x:c>
      <x:c r="P133" s="89" t="str">
        <x:f aca="0">A133&amp;TEXT(COUNTIF($A$6:A133,A133),"00")</x:f>
        <x:v>P02202</x:v>
      </x:c>
      <x:c r="Q133" s="89" t="str">
        <x:f aca="0">IF(I133&lt;100,A133&amp;"O"&amp;COUNTIFS($A$6:A133,A133,$I$6:I133,"&lt;100"),"")</x:f>
        <x:v>P022O2</x:v>
      </x:c>
      <x:c r="R133" s="89" t="str">
        <x:f aca="0">IF(I133&lt;100,D133&amp;"O"&amp;COUNTIFS($D$6:D133,D133,$I$6:I133,"&lt;100"),"")</x:f>
        <x:v>AmitO11</x:v>
      </x:c>
      <x:c r="S133" s="278" t="n">
        <x:f>IF(COUNTIF($B$6:$B$605,B133)&gt;1,1,0)</x:f>
        <x:v>0</x:v>
      </x:c>
    </x:row>
    <x:row r="134" ht="15" hidden="0">
      <x:c r="A134" s="83" t="s">
        <x:v>234</x:v>
      </x:c>
      <x:c r="B134" s="83" t="s">
        <x:v>676</x:v>
      </x:c>
      <x:c r="C134" s="83" t="s">
        <x:v>444</x:v>
      </x:c>
      <x:c r="D134" s="83" t="s">
        <x:v>475</x:v>
      </x:c>
      <x:c r="E134" s="83" t="s">
        <x:v>445</x:v>
      </x:c>
      <x:c r="F134" s="83" t="s">
        <x:v>493</x:v>
      </x:c>
      <x:c r="G134" s="85" t="n">
        <x:v>46253</x:v>
      </x:c>
      <x:c r="H134" s="85" t="n">
        <x:v>46262</x:v>
      </x:c>
      <x:c r="I134" s="87" t="n">
        <x:v>29</x:v>
      </x:c>
      <x:c r="J134" s="83" t="s">
        <x:v>543</x:v>
      </x:c>
      <x:c r="K134" s="83" t="s">
        <x:v>396</x:v>
      </x:c>
      <x:c r="L134" s="83" t="s">
        <x:v>395</x:v>
      </x:c>
      <x:c r="M134" s="83" t="n">
        <x:v>45</x:v>
      </x:c>
      <x:c r="N134" s="83" t="n">
        <x:v>57</x:v>
      </x:c>
      <x:c r="O134" s="85" t="n">
        <x:v>46274</x:v>
      </x:c>
      <x:c r="P134" s="89" t="str">
        <x:f aca="0">A134&amp;TEXT(COUNTIF($A$6:A134,A134),"00")</x:f>
        <x:v>P02203</x:v>
      </x:c>
      <x:c r="Q134" s="89" t="str">
        <x:f aca="0">IF(I134&lt;100,A134&amp;"O"&amp;COUNTIFS($A$6:A134,A134,$I$6:I134,"&lt;100"),"")</x:f>
        <x:v>P022O3</x:v>
      </x:c>
      <x:c r="R134" s="89" t="str">
        <x:f aca="0">IF(I134&lt;100,D134&amp;"O"&amp;COUNTIFS($D$6:D134,D134,$I$6:I134,"&lt;100"),"")</x:f>
        <x:v>PriyaO10</x:v>
      </x:c>
      <x:c r="S134" s="278" t="n">
        <x:f>IF(COUNTIF($B$6:$B$605,B134)&gt;1,1,0)</x:f>
        <x:v>0</x:v>
      </x:c>
    </x:row>
    <x:row r="135" ht="15" hidden="0">
      <x:c r="A135" s="83" t="s">
        <x:v>234</x:v>
      </x:c>
      <x:c r="B135" s="83" t="s">
        <x:v>677</x:v>
      </x:c>
      <x:c r="C135" s="83" t="s">
        <x:v>448</x:v>
      </x:c>
      <x:c r="D135" s="83" t="s">
        <x:v>434</x:v>
      </x:c>
      <x:c r="E135" s="83" t="s">
        <x:v>435</x:v>
      </x:c>
      <x:c r="F135" s="83" t="s">
        <x:v>557</x:v>
      </x:c>
      <x:c r="G135" s="85" t="n">
        <x:v>46267</x:v>
      </x:c>
      <x:c r="H135" s="85" t="n">
        <x:v>46280</x:v>
      </x:c>
      <x:c r="I135" s="87" t="n">
        <x:v>23</x:v>
      </x:c>
      <x:c r="J135" s="83" t="s">
        <x:v>543</x:v>
      </x:c>
      <x:c r="K135" s="83"/>
      <x:c r="L135" s="83" t="s">
        <x:v>395</x:v>
      </x:c>
      <x:c r="M135" s="83" t="n">
        <x:v>24</x:v>
      </x:c>
      <x:c r="N135" s="83" t="n">
        <x:v>87</x:v>
      </x:c>
      <x:c r="O135" s="85" t="n">
        <x:v>46274</x:v>
      </x:c>
      <x:c r="P135" s="89" t="str">
        <x:f aca="0">A135&amp;TEXT(COUNTIF($A$6:A135,A135),"00")</x:f>
        <x:v>P02204</x:v>
      </x:c>
      <x:c r="Q135" s="89" t="str">
        <x:f aca="0">IF(I135&lt;100,A135&amp;"O"&amp;COUNTIFS($A$6:A135,A135,$I$6:I135,"&lt;100"),"")</x:f>
        <x:v>P022O4</x:v>
      </x:c>
      <x:c r="R135" s="89" t="str">
        <x:f aca="0">IF(I135&lt;100,D135&amp;"O"&amp;COUNTIFS($D$6:D135,D135,$I$6:I135,"&lt;100"),"")</x:f>
        <x:v>RahulO9</x:v>
      </x:c>
      <x:c r="S135" s="278" t="n">
        <x:f>IF(COUNTIF($B$6:$B$605,B135)&gt;1,1,0)</x:f>
        <x:v>0</x:v>
      </x:c>
    </x:row>
    <x:row r="136" ht="15" hidden="0">
      <x:c r="A136" s="83" t="s">
        <x:v>234</x:v>
      </x:c>
      <x:c r="B136" s="83" t="s">
        <x:v>678</x:v>
      </x:c>
      <x:c r="C136" s="83" t="s">
        <x:v>451</x:v>
      </x:c>
      <x:c r="D136" s="83" t="s">
        <x:v>441</x:v>
      </x:c>
      <x:c r="E136" s="83" t="s">
        <x:v>442</x:v>
      </x:c>
      <x:c r="F136" s="83" t="s">
        <x:v>546</x:v>
      </x:c>
      <x:c r="G136" s="85" t="n">
        <x:v>46281</x:v>
      </x:c>
      <x:c r="H136" s="85" t="n">
        <x:v>46300</x:v>
      </x:c>
      <x:c r="I136" s="87" t="n">
        <x:v>23</x:v>
      </x:c>
      <x:c r="J136" s="83" t="s">
        <x:v>543</x:v>
      </x:c>
      <x:c r="K136" s="83" t="s">
        <x:v>396</x:v>
      </x:c>
      <x:c r="L136" s="83" t="s">
        <x:v>395</x:v>
      </x:c>
      <x:c r="M136" s="83" t="n">
        <x:v>87</x:v>
      </x:c>
      <x:c r="N136" s="83" t="n">
        <x:v>79</x:v>
      </x:c>
      <x:c r="O136" s="85" t="n">
        <x:v>46274</x:v>
      </x:c>
      <x:c r="P136" s="89" t="str">
        <x:f aca="0">A136&amp;TEXT(COUNTIF($A$6:A136,A136),"00")</x:f>
        <x:v>P02205</x:v>
      </x:c>
      <x:c r="Q136" s="89" t="str">
        <x:f aca="0">IF(I136&lt;100,A136&amp;"O"&amp;COUNTIFS($A$6:A136,A136,$I$6:I136,"&lt;100"),"")</x:f>
        <x:v>P022O5</x:v>
      </x:c>
      <x:c r="R136" s="89" t="str">
        <x:f aca="0">IF(I136&lt;100,D136&amp;"O"&amp;COUNTIFS($D$6:D136,D136,$I$6:I136,"&lt;100"),"")</x:f>
        <x:v>KaranO10</x:v>
      </x:c>
      <x:c r="S136" s="278" t="n">
        <x:f>IF(COUNTIF($B$6:$B$605,B136)&gt;1,1,0)</x:f>
        <x:v>0</x:v>
      </x:c>
    </x:row>
    <x:row r="137" ht="15" hidden="0">
      <x:c r="A137" s="83" t="s">
        <x:v>234</x:v>
      </x:c>
      <x:c r="B137" s="83" t="s">
        <x:v>679</x:v>
      </x:c>
      <x:c r="C137" s="83" t="s">
        <x:v>454</x:v>
      </x:c>
      <x:c r="D137" s="83" t="s">
        <x:v>445</x:v>
      </x:c>
      <x:c r="E137" s="83" t="s">
        <x:v>446</x:v>
      </x:c>
      <x:c r="F137" s="83" t="s">
        <x:v>557</x:v>
      </x:c>
      <x:c r="G137" s="85" t="n">
        <x:v>46295</x:v>
      </x:c>
      <x:c r="H137" s="85" t="n">
        <x:v>46315</x:v>
      </x:c>
      <x:c r="I137" s="87" t="n">
        <x:v>28</x:v>
      </x:c>
      <x:c r="J137" s="83" t="s">
        <x:v>543</x:v>
      </x:c>
      <x:c r="K137" s="83"/>
      <x:c r="L137" s="83" t="s">
        <x:v>395</x:v>
      </x:c>
      <x:c r="M137" s="83" t="n">
        <x:v>48</x:v>
      </x:c>
      <x:c r="N137" s="83" t="n">
        <x:v>74</x:v>
      </x:c>
      <x:c r="O137" s="85" t="n">
        <x:v>46274</x:v>
      </x:c>
      <x:c r="P137" s="89" t="str">
        <x:f aca="0">A137&amp;TEXT(COUNTIF($A$6:A137,A137),"00")</x:f>
        <x:v>P02206</x:v>
      </x:c>
      <x:c r="Q137" s="89" t="str">
        <x:f aca="0">IF(I137&lt;100,A137&amp;"O"&amp;COUNTIFS($A$6:A137,A137,$I$6:I137,"&lt;100"),"")</x:f>
        <x:v>P022O6</x:v>
      </x:c>
      <x:c r="R137" s="89" t="str">
        <x:f aca="0">IF(I137&lt;100,D137&amp;"O"&amp;COUNTIFS($D$6:D137,D137,$I$6:I137,"&lt;100"),"")</x:f>
        <x:v>MeeraO10</x:v>
      </x:c>
      <x:c r="S137" s="278" t="n">
        <x:f>IF(COUNTIF($B$6:$B$605,B137)&gt;1,1,0)</x:f>
        <x:v>0</x:v>
      </x:c>
    </x:row>
    <x:row r="138" ht="15" hidden="0">
      <x:c r="A138" s="83" t="s">
        <x:v>276</x:v>
      </x:c>
      <x:c r="B138" s="83" t="s">
        <x:v>680</x:v>
      </x:c>
      <x:c r="C138" s="83" t="s">
        <x:v>433</x:v>
      </x:c>
      <x:c r="D138" s="83" t="s">
        <x:v>360</x:v>
      </x:c>
      <x:c r="E138" s="83" t="s">
        <x:v>441</x:v>
      </x:c>
      <x:c r="F138" s="83" t="s">
        <x:v>557</x:v>
      </x:c>
      <x:c r="G138" s="85" t="n">
        <x:v>46226</x:v>
      </x:c>
      <x:c r="H138" s="85" t="n">
        <x:v>46242</x:v>
      </x:c>
      <x:c r="I138" s="87" t="n">
        <x:v>86</x:v>
      </x:c>
      <x:c r="J138" s="83" t="s">
        <x:v>543</x:v>
      </x:c>
      <x:c r="K138" s="83"/>
      <x:c r="L138" s="83" t="s">
        <x:v>395</x:v>
      </x:c>
      <x:c r="M138" s="83" t="n">
        <x:v>65</x:v>
      </x:c>
      <x:c r="N138" s="83" t="n">
        <x:v>61</x:v>
      </x:c>
      <x:c r="O138" s="85" t="n">
        <x:v>46274</x:v>
      </x:c>
      <x:c r="P138" s="89" t="str">
        <x:f aca="0">A138&amp;TEXT(COUNTIF($A$6:A138,A138),"00")</x:f>
        <x:v>P02301</x:v>
      </x:c>
      <x:c r="Q138" s="89" t="str">
        <x:f aca="0">IF(I138&lt;100,A138&amp;"O"&amp;COUNTIFS($A$6:A138,A138,$I$6:I138,"&lt;100"),"")</x:f>
        <x:v>P023O1</x:v>
      </x:c>
      <x:c r="R138" s="89" t="str">
        <x:f aca="0">IF(I138&lt;100,D138&amp;"O"&amp;COUNTIFS($D$6:D138,D138,$I$6:I138,"&lt;100"),"")</x:f>
        <x:v>AmitO12</x:v>
      </x:c>
      <x:c r="S138" s="278" t="n">
        <x:f>IF(COUNTIF($B$6:$B$605,B138)&gt;1,1,0)</x:f>
        <x:v>0</x:v>
      </x:c>
    </x:row>
    <x:row r="139" ht="15" hidden="0">
      <x:c r="A139" s="83" t="s">
        <x:v>276</x:v>
      </x:c>
      <x:c r="B139" s="83" t="s">
        <x:v>681</x:v>
      </x:c>
      <x:c r="C139" s="83" t="s">
        <x:v>440</x:v>
      </x:c>
      <x:c r="D139" s="83" t="s">
        <x:v>475</x:v>
      </x:c>
      <x:c r="E139" s="83" t="s">
        <x:v>445</x:v>
      </x:c>
      <x:c r="F139" s="83" t="s">
        <x:v>550</x:v>
      </x:c>
      <x:c r="G139" s="85" t="n">
        <x:v>46240</x:v>
      </x:c>
      <x:c r="H139" s="85" t="n">
        <x:v>46252</x:v>
      </x:c>
      <x:c r="I139" s="87" t="n">
        <x:v>88</x:v>
      </x:c>
      <x:c r="J139" s="83" t="s">
        <x:v>543</x:v>
      </x:c>
      <x:c r="K139" s="83"/>
      <x:c r="L139" s="83" t="s">
        <x:v>395</x:v>
      </x:c>
      <x:c r="M139" s="83" t="n">
        <x:v>62</x:v>
      </x:c>
      <x:c r="N139" s="83" t="n">
        <x:v>76</x:v>
      </x:c>
      <x:c r="O139" s="85" t="n">
        <x:v>46274</x:v>
      </x:c>
      <x:c r="P139" s="89" t="str">
        <x:f aca="0">A139&amp;TEXT(COUNTIF($A$6:A139,A139),"00")</x:f>
        <x:v>P02302</x:v>
      </x:c>
      <x:c r="Q139" s="89" t="str">
        <x:f aca="0">IF(I139&lt;100,A139&amp;"O"&amp;COUNTIFS($A$6:A139,A139,$I$6:I139,"&lt;100"),"")</x:f>
        <x:v>P023O2</x:v>
      </x:c>
      <x:c r="R139" s="89" t="str">
        <x:f aca="0">IF(I139&lt;100,D139&amp;"O"&amp;COUNTIFS($D$6:D139,D139,$I$6:I139,"&lt;100"),"")</x:f>
        <x:v>PriyaO11</x:v>
      </x:c>
      <x:c r="S139" s="278" t="n">
        <x:f>IF(COUNTIF($B$6:$B$605,B139)&gt;1,1,0)</x:f>
        <x:v>0</x:v>
      </x:c>
    </x:row>
    <x:row r="140" ht="15" hidden="0">
      <x:c r="A140" s="83" t="s">
        <x:v>276</x:v>
      </x:c>
      <x:c r="B140" s="83" t="s">
        <x:v>682</x:v>
      </x:c>
      <x:c r="C140" s="83" t="s">
        <x:v>444</x:v>
      </x:c>
      <x:c r="D140" s="83" t="s">
        <x:v>434</x:v>
      </x:c>
      <x:c r="E140" s="83" t="s">
        <x:v>435</x:v>
      </x:c>
      <x:c r="F140" s="83" t="s">
        <x:v>557</x:v>
      </x:c>
      <x:c r="G140" s="85" t="n">
        <x:v>46254</x:v>
      </x:c>
      <x:c r="H140" s="85" t="n">
        <x:v>46263</x:v>
      </x:c>
      <x:c r="I140" s="87" t="n">
        <x:v>82</x:v>
      </x:c>
      <x:c r="J140" s="83" t="s">
        <x:v>543</x:v>
      </x:c>
      <x:c r="K140" s="83"/>
      <x:c r="L140" s="83" t="s">
        <x:v>395</x:v>
      </x:c>
      <x:c r="M140" s="83" t="n">
        <x:v>93</x:v>
      </x:c>
      <x:c r="N140" s="83" t="n">
        <x:v>103</x:v>
      </x:c>
      <x:c r="O140" s="85" t="n">
        <x:v>46274</x:v>
      </x:c>
      <x:c r="P140" s="89" t="str">
        <x:f aca="0">A140&amp;TEXT(COUNTIF($A$6:A140,A140),"00")</x:f>
        <x:v>P02303</x:v>
      </x:c>
      <x:c r="Q140" s="89" t="str">
        <x:f aca="0">IF(I140&lt;100,A140&amp;"O"&amp;COUNTIFS($A$6:A140,A140,$I$6:I140,"&lt;100"),"")</x:f>
        <x:v>P023O3</x:v>
      </x:c>
      <x:c r="R140" s="89" t="str">
        <x:f aca="0">IF(I140&lt;100,D140&amp;"O"&amp;COUNTIFS($D$6:D140,D140,$I$6:I140,"&lt;100"),"")</x:f>
        <x:v>RahulO10</x:v>
      </x:c>
      <x:c r="S140" s="278" t="n">
        <x:f>IF(COUNTIF($B$6:$B$605,B140)&gt;1,1,0)</x:f>
        <x:v>0</x:v>
      </x:c>
    </x:row>
    <x:row r="141" ht="15" hidden="0">
      <x:c r="A141" s="83" t="s">
        <x:v>276</x:v>
      </x:c>
      <x:c r="B141" s="83" t="s">
        <x:v>683</x:v>
      </x:c>
      <x:c r="C141" s="83" t="s">
        <x:v>448</x:v>
      </x:c>
      <x:c r="D141" s="83" t="s">
        <x:v>441</x:v>
      </x:c>
      <x:c r="E141" s="83" t="s">
        <x:v>442</x:v>
      </x:c>
      <x:c r="F141" s="83" t="s">
        <x:v>557</x:v>
      </x:c>
      <x:c r="G141" s="85" t="n">
        <x:v>46268</x:v>
      </x:c>
      <x:c r="H141" s="85" t="n">
        <x:v>46282</x:v>
      </x:c>
      <x:c r="I141" s="87" t="n">
        <x:v>69</x:v>
      </x:c>
      <x:c r="J141" s="83" t="s">
        <x:v>543</x:v>
      </x:c>
      <x:c r="K141" s="83"/>
      <x:c r="L141" s="83" t="s">
        <x:v>395</x:v>
      </x:c>
      <x:c r="M141" s="83" t="n">
        <x:v>93</x:v>
      </x:c>
      <x:c r="N141" s="83" t="n">
        <x:v>23</x:v>
      </x:c>
      <x:c r="O141" s="85" t="n">
        <x:v>46274</x:v>
      </x:c>
      <x:c r="P141" s="89" t="str">
        <x:f aca="0">A141&amp;TEXT(COUNTIF($A$6:A141,A141),"00")</x:f>
        <x:v>P02304</x:v>
      </x:c>
      <x:c r="Q141" s="89" t="str">
        <x:f aca="0">IF(I141&lt;100,A141&amp;"O"&amp;COUNTIFS($A$6:A141,A141,$I$6:I141,"&lt;100"),"")</x:f>
        <x:v>P023O4</x:v>
      </x:c>
      <x:c r="R141" s="89" t="str">
        <x:f aca="0">IF(I141&lt;100,D141&amp;"O"&amp;COUNTIFS($D$6:D141,D141,$I$6:I141,"&lt;100"),"")</x:f>
        <x:v>KaranO11</x:v>
      </x:c>
      <x:c r="S141" s="278" t="n">
        <x:f>IF(COUNTIF($B$6:$B$605,B141)&gt;1,1,0)</x:f>
        <x:v>0</x:v>
      </x:c>
    </x:row>
    <x:row r="142" ht="15" hidden="0">
      <x:c r="A142" s="83" t="s">
        <x:v>276</x:v>
      </x:c>
      <x:c r="B142" s="83" t="s">
        <x:v>684</x:v>
      </x:c>
      <x:c r="C142" s="83" t="s">
        <x:v>451</x:v>
      </x:c>
      <x:c r="D142" s="83" t="s">
        <x:v>445</x:v>
      </x:c>
      <x:c r="E142" s="83" t="s">
        <x:v>446</x:v>
      </x:c>
      <x:c r="F142" s="83" t="s">
        <x:v>550</x:v>
      </x:c>
      <x:c r="G142" s="85" t="n">
        <x:v>46282</x:v>
      </x:c>
      <x:c r="H142" s="85" t="n">
        <x:v>46302</x:v>
      </x:c>
      <x:c r="I142" s="87" t="n">
        <x:v>80</x:v>
      </x:c>
      <x:c r="J142" s="83" t="s">
        <x:v>543</x:v>
      </x:c>
      <x:c r="K142" s="83"/>
      <x:c r="L142" s="83" t="s">
        <x:v>395</x:v>
      </x:c>
      <x:c r="M142" s="83" t="n">
        <x:v>36</x:v>
      </x:c>
      <x:c r="N142" s="83" t="n">
        <x:v>82</x:v>
      </x:c>
      <x:c r="O142" s="85" t="n">
        <x:v>46274</x:v>
      </x:c>
      <x:c r="P142" s="89" t="str">
        <x:f aca="0">A142&amp;TEXT(COUNTIF($A$6:A142,A142),"00")</x:f>
        <x:v>P02305</x:v>
      </x:c>
      <x:c r="Q142" s="89" t="str">
        <x:f aca="0">IF(I142&lt;100,A142&amp;"O"&amp;COUNTIFS($A$6:A142,A142,$I$6:I142,"&lt;100"),"")</x:f>
        <x:v>P023O5</x:v>
      </x:c>
      <x:c r="R142" s="89" t="str">
        <x:f aca="0">IF(I142&lt;100,D142&amp;"O"&amp;COUNTIFS($D$6:D142,D142,$I$6:I142,"&lt;100"),"")</x:f>
        <x:v>MeeraO11</x:v>
      </x:c>
      <x:c r="S142" s="278" t="n">
        <x:f>IF(COUNTIF($B$6:$B$605,B142)&gt;1,1,0)</x:f>
        <x:v>0</x:v>
      </x:c>
    </x:row>
    <x:row r="143" ht="15" hidden="0">
      <x:c r="A143" s="83" t="s">
        <x:v>276</x:v>
      </x:c>
      <x:c r="B143" s="83" t="s">
        <x:v>685</x:v>
      </x:c>
      <x:c r="C143" s="83" t="s">
        <x:v>454</x:v>
      </x:c>
      <x:c r="D143" s="83" t="s">
        <x:v>435</x:v>
      </x:c>
      <x:c r="E143" s="83" t="s">
        <x:v>449</x:v>
      </x:c>
      <x:c r="F143" s="83" t="s">
        <x:v>546</x:v>
      </x:c>
      <x:c r="G143" s="85" t="n">
        <x:v>46296</x:v>
      </x:c>
      <x:c r="H143" s="85" t="n">
        <x:v>46316</x:v>
      </x:c>
      <x:c r="I143" s="87" t="n">
        <x:v>82</x:v>
      </x:c>
      <x:c r="J143" s="83" t="s">
        <x:v>543</x:v>
      </x:c>
      <x:c r="K143" s="83"/>
      <x:c r="L143" s="83" t="s">
        <x:v>395</x:v>
      </x:c>
      <x:c r="M143" s="83" t="n">
        <x:v>68</x:v>
      </x:c>
      <x:c r="N143" s="83" t="n">
        <x:v>103</x:v>
      </x:c>
      <x:c r="O143" s="85" t="n">
        <x:v>46274</x:v>
      </x:c>
      <x:c r="P143" s="89" t="str">
        <x:f aca="0">A143&amp;TEXT(COUNTIF($A$6:A143,A143),"00")</x:f>
        <x:v>P02306</x:v>
      </x:c>
      <x:c r="Q143" s="89" t="str">
        <x:f aca="0">IF(I143&lt;100,A143&amp;"O"&amp;COUNTIFS($A$6:A143,A143,$I$6:I143,"&lt;100"),"")</x:f>
        <x:v>P023O6</x:v>
      </x:c>
      <x:c r="R143" s="89" t="str">
        <x:f aca="0">IF(I143&lt;100,D143&amp;"O"&amp;COUNTIFS($D$6:D143,D143,$I$6:I143,"&lt;100"),"")</x:f>
        <x:v>VivekO11</x:v>
      </x:c>
      <x:c r="S143" s="278" t="n">
        <x:f>IF(COUNTIF($B$6:$B$605,B143)&gt;1,1,0)</x:f>
        <x:v>0</x:v>
      </x:c>
    </x:row>
    <x:row r="144" ht="15" hidden="0">
      <x:c r="A144" s="83" t="s">
        <x:v>133</x:v>
      </x:c>
      <x:c r="B144" s="83" t="s">
        <x:v>686</x:v>
      </x:c>
      <x:c r="C144" s="83" t="s">
        <x:v>433</x:v>
      </x:c>
      <x:c r="D144" s="83" t="s">
        <x:v>475</x:v>
      </x:c>
      <x:c r="E144" s="83" t="s">
        <x:v>445</x:v>
      </x:c>
      <x:c r="F144" s="83" t="s">
        <x:v>546</x:v>
      </x:c>
      <x:c r="G144" s="85" t="n">
        <x:v>46227</x:v>
      </x:c>
      <x:c r="H144" s="85" t="n">
        <x:v>46240</x:v>
      </x:c>
      <x:c r="I144" s="87" t="n">
        <x:v>44</x:v>
      </x:c>
      <x:c r="J144" s="83" t="s">
        <x:v>543</x:v>
      </x:c>
      <x:c r="K144" s="83"/>
      <x:c r="L144" s="83" t="s">
        <x:v>395</x:v>
      </x:c>
      <x:c r="M144" s="83" t="n">
        <x:v>43</x:v>
      </x:c>
      <x:c r="N144" s="83" t="n">
        <x:v>72</x:v>
      </x:c>
      <x:c r="O144" s="85" t="n">
        <x:v>46274</x:v>
      </x:c>
      <x:c r="P144" s="89" t="str">
        <x:f aca="0">A144&amp;TEXT(COUNTIF($A$6:A144,A144),"00")</x:f>
        <x:v>P02401</x:v>
      </x:c>
      <x:c r="Q144" s="89" t="str">
        <x:f aca="0">IF(I144&lt;100,A144&amp;"O"&amp;COUNTIFS($A$6:A144,A144,$I$6:I144,"&lt;100"),"")</x:f>
        <x:v>P024O1</x:v>
      </x:c>
      <x:c r="R144" s="89" t="str">
        <x:f aca="0">IF(I144&lt;100,D144&amp;"O"&amp;COUNTIFS($D$6:D144,D144,$I$6:I144,"&lt;100"),"")</x:f>
        <x:v>PriyaO12</x:v>
      </x:c>
      <x:c r="S144" s="278" t="n">
        <x:f>IF(COUNTIF($B$6:$B$605,B144)&gt;1,1,0)</x:f>
        <x:v>0</x:v>
      </x:c>
    </x:row>
    <x:row r="145" ht="15" hidden="0">
      <x:c r="A145" s="83" t="s">
        <x:v>133</x:v>
      </x:c>
      <x:c r="B145" s="83" t="s">
        <x:v>687</x:v>
      </x:c>
      <x:c r="C145" s="83" t="s">
        <x:v>440</x:v>
      </x:c>
      <x:c r="D145" s="83" t="s">
        <x:v>434</x:v>
      </x:c>
      <x:c r="E145" s="83" t="s">
        <x:v>435</x:v>
      </x:c>
      <x:c r="F145" s="83" t="s">
        <x:v>557</x:v>
      </x:c>
      <x:c r="G145" s="85" t="n">
        <x:v>46241</x:v>
      </x:c>
      <x:c r="H145" s="85" t="n">
        <x:v>46260</x:v>
      </x:c>
      <x:c r="I145" s="87" t="n">
        <x:v>38</x:v>
      </x:c>
      <x:c r="J145" s="83" t="s">
        <x:v>543</x:v>
      </x:c>
      <x:c r="K145" s="83"/>
      <x:c r="L145" s="83" t="s">
        <x:v>395</x:v>
      </x:c>
      <x:c r="M145" s="83" t="n">
        <x:v>26</x:v>
      </x:c>
      <x:c r="N145" s="83" t="n">
        <x:v>63</x:v>
      </x:c>
      <x:c r="O145" s="85" t="n">
        <x:v>46274</x:v>
      </x:c>
      <x:c r="P145" s="89" t="str">
        <x:f aca="0">A145&amp;TEXT(COUNTIF($A$6:A145,A145),"00")</x:f>
        <x:v>P02402</x:v>
      </x:c>
      <x:c r="Q145" s="89" t="str">
        <x:f aca="0">IF(I145&lt;100,A145&amp;"O"&amp;COUNTIFS($A$6:A145,A145,$I$6:I145,"&lt;100"),"")</x:f>
        <x:v>P024O2</x:v>
      </x:c>
      <x:c r="R145" s="89" t="str">
        <x:f aca="0">IF(I145&lt;100,D145&amp;"O"&amp;COUNTIFS($D$6:D145,D145,$I$6:I145,"&lt;100"),"")</x:f>
        <x:v>RahulO11</x:v>
      </x:c>
      <x:c r="S145" s="278" t="n">
        <x:f>IF(COUNTIF($B$6:$B$605,B145)&gt;1,1,0)</x:f>
        <x:v>0</x:v>
      </x:c>
    </x:row>
    <x:row r="146" ht="15" hidden="0">
      <x:c r="A146" s="83" t="s">
        <x:v>133</x:v>
      </x:c>
      <x:c r="B146" s="83" t="s">
        <x:v>688</x:v>
      </x:c>
      <x:c r="C146" s="83" t="s">
        <x:v>444</x:v>
      </x:c>
      <x:c r="D146" s="83" t="s">
        <x:v>441</x:v>
      </x:c>
      <x:c r="E146" s="83" t="s">
        <x:v>442</x:v>
      </x:c>
      <x:c r="F146" s="83" t="s">
        <x:v>493</x:v>
      </x:c>
      <x:c r="G146" s="85" t="n">
        <x:v>46255</x:v>
      </x:c>
      <x:c r="H146" s="85" t="n">
        <x:v>46268</x:v>
      </x:c>
      <x:c r="I146" s="87" t="n">
        <x:v>46</x:v>
      </x:c>
      <x:c r="J146" s="83" t="s">
        <x:v>543</x:v>
      </x:c>
      <x:c r="K146" s="83"/>
      <x:c r="L146" s="83" t="s">
        <x:v>395</x:v>
      </x:c>
      <x:c r="M146" s="83" t="n">
        <x:v>47</x:v>
      </x:c>
      <x:c r="N146" s="83" t="n">
        <x:v>92</x:v>
      </x:c>
      <x:c r="O146" s="85" t="n">
        <x:v>46274</x:v>
      </x:c>
      <x:c r="P146" s="89" t="str">
        <x:f aca="0">A146&amp;TEXT(COUNTIF($A$6:A146,A146),"00")</x:f>
        <x:v>P02403</x:v>
      </x:c>
      <x:c r="Q146" s="89" t="str">
        <x:f aca="0">IF(I146&lt;100,A146&amp;"O"&amp;COUNTIFS($A$6:A146,A146,$I$6:I146,"&lt;100"),"")</x:f>
        <x:v>P024O3</x:v>
      </x:c>
      <x:c r="R146" s="89" t="str">
        <x:f aca="0">IF(I146&lt;100,D146&amp;"O"&amp;COUNTIFS($D$6:D146,D146,$I$6:I146,"&lt;100"),"")</x:f>
        <x:v>KaranO12</x:v>
      </x:c>
      <x:c r="S146" s="278" t="n">
        <x:f>IF(COUNTIF($B$6:$B$605,B146)&gt;1,1,0)</x:f>
        <x:v>0</x:v>
      </x:c>
    </x:row>
    <x:row r="147" ht="15" hidden="0">
      <x:c r="A147" s="83" t="s">
        <x:v>133</x:v>
      </x:c>
      <x:c r="B147" s="83" t="s">
        <x:v>689</x:v>
      </x:c>
      <x:c r="C147" s="83" t="s">
        <x:v>448</x:v>
      </x:c>
      <x:c r="D147" s="83" t="s">
        <x:v>445</x:v>
      </x:c>
      <x:c r="E147" s="83" t="s">
        <x:v>446</x:v>
      </x:c>
      <x:c r="F147" s="83" t="s">
        <x:v>546</x:v>
      </x:c>
      <x:c r="G147" s="85" t="n">
        <x:v>46269</x:v>
      </x:c>
      <x:c r="H147" s="85" t="n">
        <x:v>46278</x:v>
      </x:c>
      <x:c r="I147" s="87" t="n">
        <x:v>34</x:v>
      </x:c>
      <x:c r="J147" s="83" t="s">
        <x:v>586</x:v>
      </x:c>
      <x:c r="K147" s="83" t="s">
        <x:v>413</x:v>
      </x:c>
      <x:c r="L147" s="83" t="s">
        <x:v>412</x:v>
      </x:c>
      <x:c r="M147" s="83" t="n">
        <x:v>37</x:v>
      </x:c>
      <x:c r="N147" s="83" t="n">
        <x:v>50</x:v>
      </x:c>
      <x:c r="O147" s="85" t="n">
        <x:v>46274</x:v>
      </x:c>
      <x:c r="P147" s="89" t="str">
        <x:f aca="0">A147&amp;TEXT(COUNTIF($A$6:A147,A147),"00")</x:f>
        <x:v>P02404</x:v>
      </x:c>
      <x:c r="Q147" s="89" t="str">
        <x:f aca="0">IF(I147&lt;100,A147&amp;"O"&amp;COUNTIFS($A$6:A147,A147,$I$6:I147,"&lt;100"),"")</x:f>
        <x:v>P024O4</x:v>
      </x:c>
      <x:c r="R147" s="89" t="str">
        <x:f aca="0">IF(I147&lt;100,D147&amp;"O"&amp;COUNTIFS($D$6:D147,D147,$I$6:I147,"&lt;100"),"")</x:f>
        <x:v>MeeraO12</x:v>
      </x:c>
      <x:c r="S147" s="278" t="n">
        <x:f>IF(COUNTIF($B$6:$B$605,B147)&gt;1,1,0)</x:f>
        <x:v>0</x:v>
      </x:c>
    </x:row>
    <x:row r="148" ht="15" hidden="0">
      <x:c r="A148" s="83" t="s">
        <x:v>133</x:v>
      </x:c>
      <x:c r="B148" s="83" t="s">
        <x:v>690</x:v>
      </x:c>
      <x:c r="C148" s="83" t="s">
        <x:v>451</x:v>
      </x:c>
      <x:c r="D148" s="83" t="s">
        <x:v>435</x:v>
      </x:c>
      <x:c r="E148" s="83" t="s">
        <x:v>449</x:v>
      </x:c>
      <x:c r="F148" s="83" t="s">
        <x:v>546</x:v>
      </x:c>
      <x:c r="G148" s="85" t="n">
        <x:v>46283</x:v>
      </x:c>
      <x:c r="H148" s="85" t="n">
        <x:v>46306</x:v>
      </x:c>
      <x:c r="I148" s="87" t="n">
        <x:v>44</x:v>
      </x:c>
      <x:c r="J148" s="83" t="s">
        <x:v>586</x:v>
      </x:c>
      <x:c r="K148" s="83" t="s">
        <x:v>413</x:v>
      </x:c>
      <x:c r="L148" s="83" t="s">
        <x:v>412</x:v>
      </x:c>
      <x:c r="M148" s="83" t="n">
        <x:v>29</x:v>
      </x:c>
      <x:c r="N148" s="83" t="n">
        <x:v>49</x:v>
      </x:c>
      <x:c r="O148" s="85" t="n">
        <x:v>46274</x:v>
      </x:c>
      <x:c r="P148" s="89" t="str">
        <x:f aca="0">A148&amp;TEXT(COUNTIF($A$6:A148,A148),"00")</x:f>
        <x:v>P02405</x:v>
      </x:c>
      <x:c r="Q148" s="89" t="str">
        <x:f aca="0">IF(I148&lt;100,A148&amp;"O"&amp;COUNTIFS($A$6:A148,A148,$I$6:I148,"&lt;100"),"")</x:f>
        <x:v>P024O5</x:v>
      </x:c>
      <x:c r="R148" s="89" t="str">
        <x:f aca="0">IF(I148&lt;100,D148&amp;"O"&amp;COUNTIFS($D$6:D148,D148,$I$6:I148,"&lt;100"),"")</x:f>
        <x:v>VivekO12</x:v>
      </x:c>
      <x:c r="S148" s="278" t="n">
        <x:f>IF(COUNTIF($B$6:$B$605,B148)&gt;1,1,0)</x:f>
        <x:v>0</x:v>
      </x:c>
    </x:row>
    <x:row r="149" ht="15" hidden="0">
      <x:c r="A149" s="83" t="s">
        <x:v>133</x:v>
      </x:c>
      <x:c r="B149" s="83" t="s">
        <x:v>691</x:v>
      </x:c>
      <x:c r="C149" s="83" t="s">
        <x:v>454</x:v>
      </x:c>
      <x:c r="D149" s="83" t="s">
        <x:v>442</x:v>
      </x:c>
      <x:c r="E149" s="83" t="s">
        <x:v>452</x:v>
      </x:c>
      <x:c r="F149" s="83" t="s">
        <x:v>493</x:v>
      </x:c>
      <x:c r="G149" s="85" t="n">
        <x:v>46297</x:v>
      </x:c>
      <x:c r="H149" s="85" t="n">
        <x:v>46314</x:v>
      </x:c>
      <x:c r="I149" s="87" t="n">
        <x:v>34</x:v>
      </x:c>
      <x:c r="J149" s="83" t="s">
        <x:v>586</x:v>
      </x:c>
      <x:c r="K149" s="83" t="s">
        <x:v>413</x:v>
      </x:c>
      <x:c r="L149" s="83" t="s">
        <x:v>412</x:v>
      </x:c>
      <x:c r="M149" s="83" t="n">
        <x:v>22</x:v>
      </x:c>
      <x:c r="N149" s="83" t="n">
        <x:v>15</x:v>
      </x:c>
      <x:c r="O149" s="85" t="n">
        <x:v>46274</x:v>
      </x:c>
      <x:c r="P149" s="89" t="str">
        <x:f aca="0">A149&amp;TEXT(COUNTIF($A$6:A149,A149),"00")</x:f>
        <x:v>P02406</x:v>
      </x:c>
      <x:c r="Q149" s="89" t="str">
        <x:f aca="0">IF(I149&lt;100,A149&amp;"O"&amp;COUNTIFS($A$6:A149,A149,$I$6:I149,"&lt;100"),"")</x:f>
        <x:v>P024O6</x:v>
      </x:c>
      <x:c r="R149" s="89" t="str">
        <x:f aca="0">IF(I149&lt;100,D149&amp;"O"&amp;COUNTIFS($D$6:D149,D149,$I$6:I149,"&lt;100"),"")</x:f>
        <x:v>RituO11</x:v>
      </x:c>
      <x:c r="S149" s="278" t="n">
        <x:f>IF(COUNTIF($B$6:$B$605,B149)&gt;1,1,0)</x:f>
        <x:v>0</x:v>
      </x:c>
    </x:row>
    <x:row r="150" ht="15" hidden="0">
      <x:c r="A150" s="83" t="s">
        <x:v>238</x:v>
      </x:c>
      <x:c r="B150" s="83" t="s">
        <x:v>692</x:v>
      </x:c>
      <x:c r="C150" s="83" t="s">
        <x:v>433</x:v>
      </x:c>
      <x:c r="D150" s="83" t="s">
        <x:v>434</x:v>
      </x:c>
      <x:c r="E150" s="83" t="s">
        <x:v>435</x:v>
      </x:c>
      <x:c r="F150" s="83" t="s">
        <x:v>546</x:v>
      </x:c>
      <x:c r="G150" s="85" t="n">
        <x:v>46228</x:v>
      </x:c>
      <x:c r="H150" s="85" t="n">
        <x:v>46244</x:v>
      </x:c>
      <x:c r="I150" s="87" t="n">
        <x:v>63</x:v>
      </x:c>
      <x:c r="J150" s="83" t="s">
        <x:v>543</x:v>
      </x:c>
      <x:c r="K150" s="83"/>
      <x:c r="L150" s="83" t="s">
        <x:v>395</x:v>
      </x:c>
      <x:c r="M150" s="83" t="n">
        <x:v>94</x:v>
      </x:c>
      <x:c r="N150" s="83" t="n">
        <x:v>52</x:v>
      </x:c>
      <x:c r="O150" s="85" t="n">
        <x:v>46274</x:v>
      </x:c>
      <x:c r="P150" s="89" t="str">
        <x:f aca="0">A150&amp;TEXT(COUNTIF($A$6:A150,A150),"00")</x:f>
        <x:v>P02501</x:v>
      </x:c>
      <x:c r="Q150" s="89" t="str">
        <x:f aca="0">IF(I150&lt;100,A150&amp;"O"&amp;COUNTIFS($A$6:A150,A150,$I$6:I150,"&lt;100"),"")</x:f>
        <x:v>P025O1</x:v>
      </x:c>
      <x:c r="R150" s="89" t="str">
        <x:f aca="0">IF(I150&lt;100,D150&amp;"O"&amp;COUNTIFS($D$6:D150,D150,$I$6:I150,"&lt;100"),"")</x:f>
        <x:v>RahulO12</x:v>
      </x:c>
      <x:c r="S150" s="278" t="n">
        <x:f>IF(COUNTIF($B$6:$B$605,B150)&gt;1,1,0)</x:f>
        <x:v>0</x:v>
      </x:c>
    </x:row>
    <x:row r="151" ht="15" hidden="0">
      <x:c r="A151" s="83" t="s">
        <x:v>238</x:v>
      </x:c>
      <x:c r="B151" s="83" t="s">
        <x:v>693</x:v>
      </x:c>
      <x:c r="C151" s="83" t="s">
        <x:v>440</x:v>
      </x:c>
      <x:c r="D151" s="83" t="s">
        <x:v>441</x:v>
      </x:c>
      <x:c r="E151" s="83" t="s">
        <x:v>442</x:v>
      </x:c>
      <x:c r="F151" s="83" t="s">
        <x:v>550</x:v>
      </x:c>
      <x:c r="G151" s="85" t="n">
        <x:v>46242</x:v>
      </x:c>
      <x:c r="H151" s="85" t="n">
        <x:v>46266</x:v>
      </x:c>
      <x:c r="I151" s="87" t="n">
        <x:v>50</x:v>
      </x:c>
      <x:c r="J151" s="83" t="s">
        <x:v>543</x:v>
      </x:c>
      <x:c r="K151" s="83"/>
      <x:c r="L151" s="83" t="s">
        <x:v>395</x:v>
      </x:c>
      <x:c r="M151" s="83" t="n">
        <x:v>43</x:v>
      </x:c>
      <x:c r="N151" s="83" t="n">
        <x:v>49</x:v>
      </x:c>
      <x:c r="O151" s="85" t="n">
        <x:v>46274</x:v>
      </x:c>
      <x:c r="P151" s="89" t="str">
        <x:f aca="0">A151&amp;TEXT(COUNTIF($A$6:A151,A151),"00")</x:f>
        <x:v>P02502</x:v>
      </x:c>
      <x:c r="Q151" s="89" t="str">
        <x:f aca="0">IF(I151&lt;100,A151&amp;"O"&amp;COUNTIFS($A$6:A151,A151,$I$6:I151,"&lt;100"),"")</x:f>
        <x:v>P025O2</x:v>
      </x:c>
      <x:c r="R151" s="89" t="str">
        <x:f aca="0">IF(I151&lt;100,D151&amp;"O"&amp;COUNTIFS($D$6:D151,D151,$I$6:I151,"&lt;100"),"")</x:f>
        <x:v>KaranO13</x:v>
      </x:c>
      <x:c r="S151" s="278" t="n">
        <x:f>IF(COUNTIF($B$6:$B$605,B151)&gt;1,1,0)</x:f>
        <x:v>0</x:v>
      </x:c>
    </x:row>
    <x:row r="152" ht="15" hidden="0">
      <x:c r="A152" s="83" t="s">
        <x:v>238</x:v>
      </x:c>
      <x:c r="B152" s="83" t="s">
        <x:v>694</x:v>
      </x:c>
      <x:c r="C152" s="83" t="s">
        <x:v>444</x:v>
      </x:c>
      <x:c r="D152" s="83" t="s">
        <x:v>445</x:v>
      </x:c>
      <x:c r="E152" s="83" t="s">
        <x:v>446</x:v>
      </x:c>
      <x:c r="F152" s="83" t="s">
        <x:v>557</x:v>
      </x:c>
      <x:c r="G152" s="85" t="n">
        <x:v>46256</x:v>
      </x:c>
      <x:c r="H152" s="85" t="n">
        <x:v>46268</x:v>
      </x:c>
      <x:c r="I152" s="87" t="n">
        <x:v>78</x:v>
      </x:c>
      <x:c r="J152" s="83" t="s">
        <x:v>543</x:v>
      </x:c>
      <x:c r="K152" s="83"/>
      <x:c r="L152" s="83" t="s">
        <x:v>395</x:v>
      </x:c>
      <x:c r="M152" s="83" t="n">
        <x:v>28</x:v>
      </x:c>
      <x:c r="N152" s="83" t="n">
        <x:v>25</x:v>
      </x:c>
      <x:c r="O152" s="85" t="n">
        <x:v>46274</x:v>
      </x:c>
      <x:c r="P152" s="89" t="str">
        <x:f aca="0">A152&amp;TEXT(COUNTIF($A$6:A152,A152),"00")</x:f>
        <x:v>P02503</x:v>
      </x:c>
      <x:c r="Q152" s="89" t="str">
        <x:f aca="0">IF(I152&lt;100,A152&amp;"O"&amp;COUNTIFS($A$6:A152,A152,$I$6:I152,"&lt;100"),"")</x:f>
        <x:v>P025O3</x:v>
      </x:c>
      <x:c r="R152" s="89" t="str">
        <x:f aca="0">IF(I152&lt;100,D152&amp;"O"&amp;COUNTIFS($D$6:D152,D152,$I$6:I152,"&lt;100"),"")</x:f>
        <x:v>MeeraO13</x:v>
      </x:c>
      <x:c r="S152" s="278" t="n">
        <x:f>IF(COUNTIF($B$6:$B$605,B152)&gt;1,1,0)</x:f>
        <x:v>0</x:v>
      </x:c>
    </x:row>
    <x:row r="153" ht="15" hidden="0">
      <x:c r="A153" s="83" t="s">
        <x:v>238</x:v>
      </x:c>
      <x:c r="B153" s="83" t="s">
        <x:v>695</x:v>
      </x:c>
      <x:c r="C153" s="83" t="s">
        <x:v>448</x:v>
      </x:c>
      <x:c r="D153" s="83" t="s">
        <x:v>435</x:v>
      </x:c>
      <x:c r="E153" s="83" t="s">
        <x:v>449</x:v>
      </x:c>
      <x:c r="F153" s="83" t="s">
        <x:v>550</x:v>
      </x:c>
      <x:c r="G153" s="85" t="n">
        <x:v>46270</x:v>
      </x:c>
      <x:c r="H153" s="85" t="n">
        <x:v>46280</x:v>
      </x:c>
      <x:c r="I153" s="87" t="n">
        <x:v>55</x:v>
      </x:c>
      <x:c r="J153" s="83" t="s">
        <x:v>543</x:v>
      </x:c>
      <x:c r="K153" s="83"/>
      <x:c r="L153" s="83" t="s">
        <x:v>395</x:v>
      </x:c>
      <x:c r="M153" s="83" t="n">
        <x:v>48</x:v>
      </x:c>
      <x:c r="N153" s="83" t="n">
        <x:v>73</x:v>
      </x:c>
      <x:c r="O153" s="85" t="n">
        <x:v>46274</x:v>
      </x:c>
      <x:c r="P153" s="89" t="str">
        <x:f aca="0">A153&amp;TEXT(COUNTIF($A$6:A153,A153),"00")</x:f>
        <x:v>P02504</x:v>
      </x:c>
      <x:c r="Q153" s="89" t="str">
        <x:f aca="0">IF(I153&lt;100,A153&amp;"O"&amp;COUNTIFS($A$6:A153,A153,$I$6:I153,"&lt;100"),"")</x:f>
        <x:v>P025O4</x:v>
      </x:c>
      <x:c r="R153" s="89" t="str">
        <x:f aca="0">IF(I153&lt;100,D153&amp;"O"&amp;COUNTIFS($D$6:D153,D153,$I$6:I153,"&lt;100"),"")</x:f>
        <x:v>VivekO13</x:v>
      </x:c>
      <x:c r="S153" s="278" t="n">
        <x:f>IF(COUNTIF($B$6:$B$605,B153)&gt;1,1,0)</x:f>
        <x:v>0</x:v>
      </x:c>
    </x:row>
    <x:row r="154" ht="15" hidden="0">
      <x:c r="A154" s="83" t="s">
        <x:v>238</x:v>
      </x:c>
      <x:c r="B154" s="83" t="s">
        <x:v>696</x:v>
      </x:c>
      <x:c r="C154" s="83" t="s">
        <x:v>451</x:v>
      </x:c>
      <x:c r="D154" s="83" t="s">
        <x:v>442</x:v>
      </x:c>
      <x:c r="E154" s="83" t="s">
        <x:v>452</x:v>
      </x:c>
      <x:c r="F154" s="83" t="s">
        <x:v>557</x:v>
      </x:c>
      <x:c r="G154" s="85" t="n">
        <x:v>46284</x:v>
      </x:c>
      <x:c r="H154" s="85" t="n">
        <x:v>46306</x:v>
      </x:c>
      <x:c r="I154" s="87" t="n">
        <x:v>83</x:v>
      </x:c>
      <x:c r="J154" s="83" t="s">
        <x:v>543</x:v>
      </x:c>
      <x:c r="K154" s="83" t="s">
        <x:v>396</x:v>
      </x:c>
      <x:c r="L154" s="83" t="s">
        <x:v>395</x:v>
      </x:c>
      <x:c r="M154" s="83" t="n">
        <x:v>35</x:v>
      </x:c>
      <x:c r="N154" s="83" t="n">
        <x:v>102</x:v>
      </x:c>
      <x:c r="O154" s="85" t="n">
        <x:v>46274</x:v>
      </x:c>
      <x:c r="P154" s="89" t="str">
        <x:f aca="0">A154&amp;TEXT(COUNTIF($A$6:A154,A154),"00")</x:f>
        <x:v>P02505</x:v>
      </x:c>
      <x:c r="Q154" s="89" t="str">
        <x:f aca="0">IF(I154&lt;100,A154&amp;"O"&amp;COUNTIFS($A$6:A154,A154,$I$6:I154,"&lt;100"),"")</x:f>
        <x:v>P025O5</x:v>
      </x:c>
      <x:c r="R154" s="89" t="str">
        <x:f aca="0">IF(I154&lt;100,D154&amp;"O"&amp;COUNTIFS($D$6:D154,D154,$I$6:I154,"&lt;100"),"")</x:f>
        <x:v>RituO12</x:v>
      </x:c>
      <x:c r="S154" s="278" t="n">
        <x:f>IF(COUNTIF($B$6:$B$605,B154)&gt;1,1,0)</x:f>
        <x:v>0</x:v>
      </x:c>
    </x:row>
    <x:row r="155" ht="15" hidden="0">
      <x:c r="A155" s="83" t="s">
        <x:v>238</x:v>
      </x:c>
      <x:c r="B155" s="83" t="s">
        <x:v>697</x:v>
      </x:c>
      <x:c r="C155" s="83" t="s">
        <x:v>454</x:v>
      </x:c>
      <x:c r="D155" s="83" t="s">
        <x:v>446</x:v>
      </x:c>
      <x:c r="E155" s="83" t="s">
        <x:v>455</x:v>
      </x:c>
      <x:c r="F155" s="83" t="s">
        <x:v>546</x:v>
      </x:c>
      <x:c r="G155" s="85" t="n">
        <x:v>46298</x:v>
      </x:c>
      <x:c r="H155" s="85" t="n">
        <x:v>46314</x:v>
      </x:c>
      <x:c r="I155" s="87" t="n">
        <x:v>71</x:v>
      </x:c>
      <x:c r="J155" s="83" t="s">
        <x:v>543</x:v>
      </x:c>
      <x:c r="K155" s="83"/>
      <x:c r="L155" s="83" t="s">
        <x:v>395</x:v>
      </x:c>
      <x:c r="M155" s="83" t="n">
        <x:v>45</x:v>
      </x:c>
      <x:c r="N155" s="83" t="n">
        <x:v>57</x:v>
      </x:c>
      <x:c r="O155" s="85" t="n">
        <x:v>46274</x:v>
      </x:c>
      <x:c r="P155" s="89" t="str">
        <x:f aca="0">A155&amp;TEXT(COUNTIF($A$6:A155,A155),"00")</x:f>
        <x:v>P02506</x:v>
      </x:c>
      <x:c r="Q155" s="89" t="str">
        <x:f aca="0">IF(I155&lt;100,A155&amp;"O"&amp;COUNTIFS($A$6:A155,A155,$I$6:I155,"&lt;100"),"")</x:f>
        <x:v>P025O6</x:v>
      </x:c>
      <x:c r="R155" s="89" t="str">
        <x:f aca="0">IF(I155&lt;100,D155&amp;"O"&amp;COUNTIFS($D$6:D155,D155,$I$6:I155,"&lt;100"),"")</x:f>
        <x:v>SanjayO13</x:v>
      </x:c>
      <x:c r="S155" s="278" t="n">
        <x:f>IF(COUNTIF($B$6:$B$605,B155)&gt;1,1,0)</x:f>
        <x:v>0</x:v>
      </x:c>
    </x:row>
    <x:row r="156" ht="15" hidden="0">
      <x:c r="A156" s="83" t="s">
        <x:v>298</x:v>
      </x:c>
      <x:c r="B156" s="83" t="s">
        <x:v>698</x:v>
      </x:c>
      <x:c r="C156" s="83" t="s">
        <x:v>433</x:v>
      </x:c>
      <x:c r="D156" s="83" t="s">
        <x:v>441</x:v>
      </x:c>
      <x:c r="E156" s="83" t="s">
        <x:v>442</x:v>
      </x:c>
      <x:c r="F156" s="83" t="s">
        <x:v>546</x:v>
      </x:c>
      <x:c r="G156" s="85" t="n">
        <x:v>46229</x:v>
      </x:c>
      <x:c r="H156" s="85" t="n">
        <x:v>46250</x:v>
      </x:c>
      <x:c r="I156" s="87" t="n">
        <x:v>84</x:v>
      </x:c>
      <x:c r="J156" s="83" t="s">
        <x:v>543</x:v>
      </x:c>
      <x:c r="K156" s="83"/>
      <x:c r="L156" s="83" t="s">
        <x:v>395</x:v>
      </x:c>
      <x:c r="M156" s="83" t="n">
        <x:v>56</x:v>
      </x:c>
      <x:c r="N156" s="83" t="n">
        <x:v>102</x:v>
      </x:c>
      <x:c r="O156" s="85" t="n">
        <x:v>46274</x:v>
      </x:c>
      <x:c r="P156" s="89" t="str">
        <x:f aca="0">A156&amp;TEXT(COUNTIF($A$6:A156,A156),"00")</x:f>
        <x:v>P02601</x:v>
      </x:c>
      <x:c r="Q156" s="89" t="str">
        <x:f aca="0">IF(I156&lt;100,A156&amp;"O"&amp;COUNTIFS($A$6:A156,A156,$I$6:I156,"&lt;100"),"")</x:f>
        <x:v>P026O1</x:v>
      </x:c>
      <x:c r="R156" s="89" t="str">
        <x:f aca="0">IF(I156&lt;100,D156&amp;"O"&amp;COUNTIFS($D$6:D156,D156,$I$6:I156,"&lt;100"),"")</x:f>
        <x:v>KaranO14</x:v>
      </x:c>
      <x:c r="S156" s="278" t="n">
        <x:f>IF(COUNTIF($B$6:$B$605,B156)&gt;1,1,0)</x:f>
        <x:v>0</x:v>
      </x:c>
    </x:row>
    <x:row r="157" ht="15" hidden="0">
      <x:c r="A157" s="83" t="s">
        <x:v>298</x:v>
      </x:c>
      <x:c r="B157" s="83" t="s">
        <x:v>699</x:v>
      </x:c>
      <x:c r="C157" s="83" t="s">
        <x:v>440</x:v>
      </x:c>
      <x:c r="D157" s="83" t="s">
        <x:v>445</x:v>
      </x:c>
      <x:c r="E157" s="83" t="s">
        <x:v>446</x:v>
      </x:c>
      <x:c r="F157" s="83" t="s">
        <x:v>493</x:v>
      </x:c>
      <x:c r="G157" s="85" t="n">
        <x:v>46243</x:v>
      </x:c>
      <x:c r="H157" s="85" t="n">
        <x:v>46255</x:v>
      </x:c>
      <x:c r="I157" s="87" t="n">
        <x:v>75</x:v>
      </x:c>
      <x:c r="J157" s="83" t="s">
        <x:v>543</x:v>
      </x:c>
      <x:c r="K157" s="83" t="s">
        <x:v>396</x:v>
      </x:c>
      <x:c r="L157" s="83" t="s">
        <x:v>395</x:v>
      </x:c>
      <x:c r="M157" s="83" t="n">
        <x:v>64</x:v>
      </x:c>
      <x:c r="N157" s="83" t="n">
        <x:v>41</x:v>
      </x:c>
      <x:c r="O157" s="85" t="n">
        <x:v>46274</x:v>
      </x:c>
      <x:c r="P157" s="89" t="str">
        <x:f aca="0">A157&amp;TEXT(COUNTIF($A$6:A157,A157),"00")</x:f>
        <x:v>P02602</x:v>
      </x:c>
      <x:c r="Q157" s="89" t="str">
        <x:f aca="0">IF(I157&lt;100,A157&amp;"O"&amp;COUNTIFS($A$6:A157,A157,$I$6:I157,"&lt;100"),"")</x:f>
        <x:v>P026O2</x:v>
      </x:c>
      <x:c r="R157" s="89" t="str">
        <x:f aca="0">IF(I157&lt;100,D157&amp;"O"&amp;COUNTIFS($D$6:D157,D157,$I$6:I157,"&lt;100"),"")</x:f>
        <x:v>MeeraO14</x:v>
      </x:c>
      <x:c r="S157" s="278" t="n">
        <x:f>IF(COUNTIF($B$6:$B$605,B157)&gt;1,1,0)</x:f>
        <x:v>0</x:v>
      </x:c>
    </x:row>
    <x:row r="158" ht="15" hidden="0">
      <x:c r="A158" s="83" t="s">
        <x:v>298</x:v>
      </x:c>
      <x:c r="B158" s="83" t="s">
        <x:v>700</x:v>
      </x:c>
      <x:c r="C158" s="83" t="s">
        <x:v>444</x:v>
      </x:c>
      <x:c r="D158" s="83" t="s">
        <x:v>435</x:v>
      </x:c>
      <x:c r="E158" s="83" t="s">
        <x:v>449</x:v>
      </x:c>
      <x:c r="F158" s="83" t="s">
        <x:v>493</x:v>
      </x:c>
      <x:c r="G158" s="85" t="n">
        <x:v>46257</x:v>
      </x:c>
      <x:c r="H158" s="85" t="n">
        <x:v>46270</x:v>
      </x:c>
      <x:c r="I158" s="87" t="n">
        <x:v>84</x:v>
      </x:c>
      <x:c r="J158" s="83" t="s">
        <x:v>543</x:v>
      </x:c>
      <x:c r="K158" s="83"/>
      <x:c r="L158" s="83" t="s">
        <x:v>395</x:v>
      </x:c>
      <x:c r="M158" s="83" t="n">
        <x:v>77</x:v>
      </x:c>
      <x:c r="N158" s="83" t="n">
        <x:v>77</x:v>
      </x:c>
      <x:c r="O158" s="85" t="n">
        <x:v>46274</x:v>
      </x:c>
      <x:c r="P158" s="89" t="str">
        <x:f aca="0">A158&amp;TEXT(COUNTIF($A$6:A158,A158),"00")</x:f>
        <x:v>P02603</x:v>
      </x:c>
      <x:c r="Q158" s="89" t="str">
        <x:f aca="0">IF(I158&lt;100,A158&amp;"O"&amp;COUNTIFS($A$6:A158,A158,$I$6:I158,"&lt;100"),"")</x:f>
        <x:v>P026O3</x:v>
      </x:c>
      <x:c r="R158" s="89" t="str">
        <x:f aca="0">IF(I158&lt;100,D158&amp;"O"&amp;COUNTIFS($D$6:D158,D158,$I$6:I158,"&lt;100"),"")</x:f>
        <x:v>VivekO14</x:v>
      </x:c>
      <x:c r="S158" s="278" t="n">
        <x:f>IF(COUNTIF($B$6:$B$605,B158)&gt;1,1,0)</x:f>
        <x:v>0</x:v>
      </x:c>
    </x:row>
    <x:row r="159" ht="15" hidden="0">
      <x:c r="A159" s="83" t="s">
        <x:v>298</x:v>
      </x:c>
      <x:c r="B159" s="83" t="s">
        <x:v>701</x:v>
      </x:c>
      <x:c r="C159" s="83" t="s">
        <x:v>448</x:v>
      </x:c>
      <x:c r="D159" s="83" t="s">
        <x:v>442</x:v>
      </x:c>
      <x:c r="E159" s="83" t="s">
        <x:v>452</x:v>
      </x:c>
      <x:c r="F159" s="83" t="s">
        <x:v>557</x:v>
      </x:c>
      <x:c r="G159" s="85" t="n">
        <x:v>46271</x:v>
      </x:c>
      <x:c r="H159" s="85" t="n">
        <x:v>46295</x:v>
      </x:c>
      <x:c r="I159" s="87" t="n">
        <x:v>99</x:v>
      </x:c>
      <x:c r="J159" s="83" t="s">
        <x:v>543</x:v>
      </x:c>
      <x:c r="K159" s="83"/>
      <x:c r="L159" s="83" t="s">
        <x:v>395</x:v>
      </x:c>
      <x:c r="M159" s="83" t="n">
        <x:v>49</x:v>
      </x:c>
      <x:c r="N159" s="83" t="n">
        <x:v>75</x:v>
      </x:c>
      <x:c r="O159" s="85" t="n">
        <x:v>46274</x:v>
      </x:c>
      <x:c r="P159" s="89" t="str">
        <x:f aca="0">A159&amp;TEXT(COUNTIF($A$6:A159,A159),"00")</x:f>
        <x:v>P02604</x:v>
      </x:c>
      <x:c r="Q159" s="89" t="str">
        <x:f aca="0">IF(I159&lt;100,A159&amp;"O"&amp;COUNTIFS($A$6:A159,A159,$I$6:I159,"&lt;100"),"")</x:f>
        <x:v>P026O4</x:v>
      </x:c>
      <x:c r="R159" s="89" t="str">
        <x:f aca="0">IF(I159&lt;100,D159&amp;"O"&amp;COUNTIFS($D$6:D159,D159,$I$6:I159,"&lt;100"),"")</x:f>
        <x:v>RituO13</x:v>
      </x:c>
      <x:c r="S159" s="278" t="n">
        <x:f>IF(COUNTIF($B$6:$B$605,B159)&gt;1,1,0)</x:f>
        <x:v>0</x:v>
      </x:c>
    </x:row>
    <x:row r="160" ht="15" hidden="0">
      <x:c r="A160" s="83" t="s">
        <x:v>298</x:v>
      </x:c>
      <x:c r="B160" s="83" t="s">
        <x:v>702</x:v>
      </x:c>
      <x:c r="C160" s="83" t="s">
        <x:v>451</x:v>
      </x:c>
      <x:c r="D160" s="83" t="s">
        <x:v>446</x:v>
      </x:c>
      <x:c r="E160" s="83" t="s">
        <x:v>455</x:v>
      </x:c>
      <x:c r="F160" s="83" t="s">
        <x:v>550</x:v>
      </x:c>
      <x:c r="G160" s="85" t="n">
        <x:v>46285</x:v>
      </x:c>
      <x:c r="H160" s="85" t="n">
        <x:v>46305</x:v>
      </x:c>
      <x:c r="I160" s="87" t="n">
        <x:v>77</x:v>
      </x:c>
      <x:c r="J160" s="83" t="s">
        <x:v>543</x:v>
      </x:c>
      <x:c r="K160" s="83"/>
      <x:c r="L160" s="83" t="s">
        <x:v>395</x:v>
      </x:c>
      <x:c r="M160" s="83" t="n">
        <x:v>67</x:v>
      </x:c>
      <x:c r="N160" s="83" t="n">
        <x:v>44</x:v>
      </x:c>
      <x:c r="O160" s="85" t="n">
        <x:v>46274</x:v>
      </x:c>
      <x:c r="P160" s="89" t="str">
        <x:f aca="0">A160&amp;TEXT(COUNTIF($A$6:A160,A160),"00")</x:f>
        <x:v>P02605</x:v>
      </x:c>
      <x:c r="Q160" s="89" t="str">
        <x:f aca="0">IF(I160&lt;100,A160&amp;"O"&amp;COUNTIFS($A$6:A160,A160,$I$6:I160,"&lt;100"),"")</x:f>
        <x:v>P026O5</x:v>
      </x:c>
      <x:c r="R160" s="89" t="str">
        <x:f aca="0">IF(I160&lt;100,D160&amp;"O"&amp;COUNTIFS($D$6:D160,D160,$I$6:I160,"&lt;100"),"")</x:f>
        <x:v>SanjayO14</x:v>
      </x:c>
      <x:c r="S160" s="278" t="n">
        <x:f>IF(COUNTIF($B$6:$B$605,B160)&gt;1,1,0)</x:f>
        <x:v>0</x:v>
      </x:c>
    </x:row>
    <x:row r="161" ht="15" hidden="0">
      <x:c r="A161" s="83" t="s">
        <x:v>298</x:v>
      </x:c>
      <x:c r="B161" s="83" t="s">
        <x:v>703</x:v>
      </x:c>
      <x:c r="C161" s="83" t="s">
        <x:v>454</x:v>
      </x:c>
      <x:c r="D161" s="83" t="s">
        <x:v>449</x:v>
      </x:c>
      <x:c r="E161" s="83" t="s">
        <x:v>462</x:v>
      </x:c>
      <x:c r="F161" s="83" t="s">
        <x:v>493</x:v>
      </x:c>
      <x:c r="G161" s="85" t="n">
        <x:v>46299</x:v>
      </x:c>
      <x:c r="H161" s="85" t="n">
        <x:v>46323</x:v>
      </x:c>
      <x:c r="I161" s="87" t="n">
        <x:v>100</x:v>
      </x:c>
      <x:c r="J161" s="83" t="s">
        <x:v>595</x:v>
      </x:c>
      <x:c r="K161" s="83" t="s">
        <x:v>396</x:v>
      </x:c>
      <x:c r="L161" s="83" t="s">
        <x:v>395</x:v>
      </x:c>
      <x:c r="M161" s="83" t="n">
        <x:v>88</x:v>
      </x:c>
      <x:c r="N161" s="83" t="n">
        <x:v>69</x:v>
      </x:c>
      <x:c r="O161" s="85" t="n">
        <x:v>46274</x:v>
      </x:c>
      <x:c r="P161" s="89" t="str">
        <x:f aca="0">A161&amp;TEXT(COUNTIF($A$6:A161,A161),"00")</x:f>
        <x:v>P02606</x:v>
      </x:c>
      <x:c r="Q161" s="89" t="str">
        <x:f aca="0">IF(I161&lt;100,A161&amp;"O"&amp;COUNTIFS($A$6:A161,A161,$I$6:I161,"&lt;100"),"")</x:f>
      </x:c>
      <x:c r="R161" s="89" t="str">
        <x:f aca="0">IF(I161&lt;100,D161&amp;"O"&amp;COUNTIFS($D$6:D161,D161,$I$6:I161,"&lt;100"),"")</x:f>
      </x:c>
      <x:c r="S161" s="278" t="n">
        <x:f>IF(COUNTIF($B$6:$B$605,B161)&gt;1,1,0)</x:f>
        <x:v>0</x:v>
      </x:c>
    </x:row>
    <x:row r="162" ht="15" hidden="0">
      <x:c r="A162" s="83" t="s">
        <x:v>208</x:v>
      </x:c>
      <x:c r="B162" s="83" t="s">
        <x:v>704</x:v>
      </x:c>
      <x:c r="C162" s="83" t="s">
        <x:v>433</x:v>
      </x:c>
      <x:c r="D162" s="83" t="s">
        <x:v>445</x:v>
      </x:c>
      <x:c r="E162" s="83" t="s">
        <x:v>446</x:v>
      </x:c>
      <x:c r="F162" s="83" t="s">
        <x:v>546</x:v>
      </x:c>
      <x:c r="G162" s="85" t="n">
        <x:v>46230</x:v>
      </x:c>
      <x:c r="H162" s="85" t="n">
        <x:v>46251</x:v>
      </x:c>
      <x:c r="I162" s="87" t="n">
        <x:v>33</x:v>
      </x:c>
      <x:c r="J162" s="83" t="s">
        <x:v>543</x:v>
      </x:c>
      <x:c r="K162" s="83" t="s">
        <x:v>396</x:v>
      </x:c>
      <x:c r="L162" s="83" t="s">
        <x:v>395</x:v>
      </x:c>
      <x:c r="M162" s="83" t="n">
        <x:v>30</x:v>
      </x:c>
      <x:c r="N162" s="83" t="n">
        <x:v>86</x:v>
      </x:c>
      <x:c r="O162" s="85" t="n">
        <x:v>46274</x:v>
      </x:c>
      <x:c r="P162" s="89" t="str">
        <x:f aca="0">A162&amp;TEXT(COUNTIF($A$6:A162,A162),"00")</x:f>
        <x:v>P02701</x:v>
      </x:c>
      <x:c r="Q162" s="89" t="str">
        <x:f aca="0">IF(I162&lt;100,A162&amp;"O"&amp;COUNTIFS($A$6:A162,A162,$I$6:I162,"&lt;100"),"")</x:f>
        <x:v>P027O1</x:v>
      </x:c>
      <x:c r="R162" s="89" t="str">
        <x:f aca="0">IF(I162&lt;100,D162&amp;"O"&amp;COUNTIFS($D$6:D162,D162,$I$6:I162,"&lt;100"),"")</x:f>
        <x:v>MeeraO15</x:v>
      </x:c>
      <x:c r="S162" s="278" t="n">
        <x:f>IF(COUNTIF($B$6:$B$605,B162)&gt;1,1,0)</x:f>
        <x:v>0</x:v>
      </x:c>
    </x:row>
    <x:row r="163" ht="15" hidden="0">
      <x:c r="A163" s="83" t="s">
        <x:v>208</x:v>
      </x:c>
      <x:c r="B163" s="83" t="s">
        <x:v>705</x:v>
      </x:c>
      <x:c r="C163" s="83" t="s">
        <x:v>440</x:v>
      </x:c>
      <x:c r="D163" s="83" t="s">
        <x:v>435</x:v>
      </x:c>
      <x:c r="E163" s="83" t="s">
        <x:v>449</x:v>
      </x:c>
      <x:c r="F163" s="83" t="s">
        <x:v>493</x:v>
      </x:c>
      <x:c r="G163" s="85" t="n">
        <x:v>46244</x:v>
      </x:c>
      <x:c r="H163" s="85" t="n">
        <x:v>46255</x:v>
      </x:c>
      <x:c r="I163" s="87" t="n">
        <x:v>31</x:v>
      </x:c>
      <x:c r="J163" s="83" t="s">
        <x:v>543</x:v>
      </x:c>
      <x:c r="K163" s="83"/>
      <x:c r="L163" s="83" t="s">
        <x:v>395</x:v>
      </x:c>
      <x:c r="M163" s="83" t="n">
        <x:v>45</x:v>
      </x:c>
      <x:c r="N163" s="83" t="n">
        <x:v>85</x:v>
      </x:c>
      <x:c r="O163" s="85" t="n">
        <x:v>46274</x:v>
      </x:c>
      <x:c r="P163" s="89" t="str">
        <x:f aca="0">A163&amp;TEXT(COUNTIF($A$6:A163,A163),"00")</x:f>
        <x:v>P02702</x:v>
      </x:c>
      <x:c r="Q163" s="89" t="str">
        <x:f aca="0">IF(I163&lt;100,A163&amp;"O"&amp;COUNTIFS($A$6:A163,A163,$I$6:I163,"&lt;100"),"")</x:f>
        <x:v>P027O2</x:v>
      </x:c>
      <x:c r="R163" s="89" t="str">
        <x:f aca="0">IF(I163&lt;100,D163&amp;"O"&amp;COUNTIFS($D$6:D163,D163,$I$6:I163,"&lt;100"),"")</x:f>
        <x:v>VivekO15</x:v>
      </x:c>
      <x:c r="S163" s="278" t="n">
        <x:f>IF(COUNTIF($B$6:$B$605,B163)&gt;1,1,0)</x:f>
        <x:v>0</x:v>
      </x:c>
    </x:row>
    <x:row r="164" ht="15" hidden="0">
      <x:c r="A164" s="83" t="s">
        <x:v>208</x:v>
      </x:c>
      <x:c r="B164" s="83" t="s">
        <x:v>706</x:v>
      </x:c>
      <x:c r="C164" s="83" t="s">
        <x:v>444</x:v>
      </x:c>
      <x:c r="D164" s="83" t="s">
        <x:v>442</x:v>
      </x:c>
      <x:c r="E164" s="83" t="s">
        <x:v>452</x:v>
      </x:c>
      <x:c r="F164" s="83" t="s">
        <x:v>546</x:v>
      </x:c>
      <x:c r="G164" s="85" t="n">
        <x:v>46258</x:v>
      </x:c>
      <x:c r="H164" s="85" t="n">
        <x:v>46280</x:v>
      </x:c>
      <x:c r="I164" s="87" t="n">
        <x:v>42</x:v>
      </x:c>
      <x:c r="J164" s="83" t="s">
        <x:v>543</x:v>
      </x:c>
      <x:c r="K164" s="83" t="s">
        <x:v>396</x:v>
      </x:c>
      <x:c r="L164" s="83" t="s">
        <x:v>395</x:v>
      </x:c>
      <x:c r="M164" s="83" t="n">
        <x:v>59</x:v>
      </x:c>
      <x:c r="N164" s="83" t="n">
        <x:v>91</x:v>
      </x:c>
      <x:c r="O164" s="85" t="n">
        <x:v>46274</x:v>
      </x:c>
      <x:c r="P164" s="89" t="str">
        <x:f aca="0">A164&amp;TEXT(COUNTIF($A$6:A164,A164),"00")</x:f>
        <x:v>P02703</x:v>
      </x:c>
      <x:c r="Q164" s="89" t="str">
        <x:f aca="0">IF(I164&lt;100,A164&amp;"O"&amp;COUNTIFS($A$6:A164,A164,$I$6:I164,"&lt;100"),"")</x:f>
        <x:v>P027O3</x:v>
      </x:c>
      <x:c r="R164" s="89" t="str">
        <x:f aca="0">IF(I164&lt;100,D164&amp;"O"&amp;COUNTIFS($D$6:D164,D164,$I$6:I164,"&lt;100"),"")</x:f>
        <x:v>RituO14</x:v>
      </x:c>
      <x:c r="S164" s="278" t="n">
        <x:f>IF(COUNTIF($B$6:$B$605,B164)&gt;1,1,0)</x:f>
        <x:v>0</x:v>
      </x:c>
    </x:row>
    <x:row r="165" ht="15" hidden="0">
      <x:c r="A165" s="83" t="s">
        <x:v>208</x:v>
      </x:c>
      <x:c r="B165" s="83" t="s">
        <x:v>707</x:v>
      </x:c>
      <x:c r="C165" s="83" t="s">
        <x:v>448</x:v>
      </x:c>
      <x:c r="D165" s="83" t="s">
        <x:v>446</x:v>
      </x:c>
      <x:c r="E165" s="83" t="s">
        <x:v>455</x:v>
      </x:c>
      <x:c r="F165" s="83" t="s">
        <x:v>557</x:v>
      </x:c>
      <x:c r="G165" s="85" t="n">
        <x:v>46272</x:v>
      </x:c>
      <x:c r="H165" s="85" t="n">
        <x:v>46290</x:v>
      </x:c>
      <x:c r="I165" s="87" t="n">
        <x:v>59</x:v>
      </x:c>
      <x:c r="J165" s="83" t="s">
        <x:v>543</x:v>
      </x:c>
      <x:c r="K165" s="83"/>
      <x:c r="L165" s="83" t="s">
        <x:v>395</x:v>
      </x:c>
      <x:c r="M165" s="83" t="n">
        <x:v>97</x:v>
      </x:c>
      <x:c r="N165" s="83" t="n">
        <x:v>48</x:v>
      </x:c>
      <x:c r="O165" s="85" t="n">
        <x:v>46274</x:v>
      </x:c>
      <x:c r="P165" s="89" t="str">
        <x:f aca="0">A165&amp;TEXT(COUNTIF($A$6:A165,A165),"00")</x:f>
        <x:v>P02704</x:v>
      </x:c>
      <x:c r="Q165" s="89" t="str">
        <x:f aca="0">IF(I165&lt;100,A165&amp;"O"&amp;COUNTIFS($A$6:A165,A165,$I$6:I165,"&lt;100"),"")</x:f>
        <x:v>P027O4</x:v>
      </x:c>
      <x:c r="R165" s="89" t="str">
        <x:f aca="0">IF(I165&lt;100,D165&amp;"O"&amp;COUNTIFS($D$6:D165,D165,$I$6:I165,"&lt;100"),"")</x:f>
        <x:v>SanjayO15</x:v>
      </x:c>
      <x:c r="S165" s="278" t="n">
        <x:f>IF(COUNTIF($B$6:$B$605,B165)&gt;1,1,0)</x:f>
        <x:v>0</x:v>
      </x:c>
    </x:row>
    <x:row r="166" ht="15" hidden="0">
      <x:c r="A166" s="83" t="s">
        <x:v>208</x:v>
      </x:c>
      <x:c r="B166" s="83" t="s">
        <x:v>708</x:v>
      </x:c>
      <x:c r="C166" s="83" t="s">
        <x:v>451</x:v>
      </x:c>
      <x:c r="D166" s="83" t="s">
        <x:v>449</x:v>
      </x:c>
      <x:c r="E166" s="83" t="s">
        <x:v>462</x:v>
      </x:c>
      <x:c r="F166" s="83" t="s">
        <x:v>546</x:v>
      </x:c>
      <x:c r="G166" s="85" t="n">
        <x:v>46286</x:v>
      </x:c>
      <x:c r="H166" s="85" t="n">
        <x:v>46303</x:v>
      </x:c>
      <x:c r="I166" s="87" t="n">
        <x:v>30</x:v>
      </x:c>
      <x:c r="J166" s="83" t="s">
        <x:v>543</x:v>
      </x:c>
      <x:c r="K166" s="83"/>
      <x:c r="L166" s="83" t="s">
        <x:v>395</x:v>
      </x:c>
      <x:c r="M166" s="83" t="n">
        <x:v>56</x:v>
      </x:c>
      <x:c r="N166" s="83" t="n">
        <x:v>90</x:v>
      </x:c>
      <x:c r="O166" s="85" t="n">
        <x:v>46274</x:v>
      </x:c>
      <x:c r="P166" s="89" t="str">
        <x:f aca="0">A166&amp;TEXT(COUNTIF($A$6:A166,A166),"00")</x:f>
        <x:v>P02705</x:v>
      </x:c>
      <x:c r="Q166" s="89" t="str">
        <x:f aca="0">IF(I166&lt;100,A166&amp;"O"&amp;COUNTIFS($A$6:A166,A166,$I$6:I166,"&lt;100"),"")</x:f>
        <x:v>P027O5</x:v>
      </x:c>
      <x:c r="R166" s="89" t="str">
        <x:f aca="0">IF(I166&lt;100,D166&amp;"O"&amp;COUNTIFS($D$6:D166,D166,$I$6:I166,"&lt;100"),"")</x:f>
        <x:v>AnilO13</x:v>
      </x:c>
      <x:c r="S166" s="278" t="n">
        <x:f>IF(COUNTIF($B$6:$B$605,B166)&gt;1,1,0)</x:f>
        <x:v>0</x:v>
      </x:c>
    </x:row>
    <x:row r="167" ht="15" hidden="0">
      <x:c r="A167" s="83" t="s">
        <x:v>208</x:v>
      </x:c>
      <x:c r="B167" s="83" t="s">
        <x:v>709</x:v>
      </x:c>
      <x:c r="C167" s="83" t="s">
        <x:v>454</x:v>
      </x:c>
      <x:c r="D167" s="83" t="s">
        <x:v>452</x:v>
      </x:c>
      <x:c r="E167" s="83" t="s">
        <x:v>360</x:v>
      </x:c>
      <x:c r="F167" s="83" t="s">
        <x:v>550</x:v>
      </x:c>
      <x:c r="G167" s="85" t="n">
        <x:v>46300</x:v>
      </x:c>
      <x:c r="H167" s="85" t="n">
        <x:v>46320</x:v>
      </x:c>
      <x:c r="I167" s="87" t="n">
        <x:v>63</x:v>
      </x:c>
      <x:c r="J167" s="83" t="s">
        <x:v>543</x:v>
      </x:c>
      <x:c r="K167" s="83"/>
      <x:c r="L167" s="83" t="s">
        <x:v>395</x:v>
      </x:c>
      <x:c r="M167" s="83" t="n">
        <x:v>97</x:v>
      </x:c>
      <x:c r="N167" s="83" t="n">
        <x:v>43</x:v>
      </x:c>
      <x:c r="O167" s="85" t="n">
        <x:v>46274</x:v>
      </x:c>
      <x:c r="P167" s="89" t="str">
        <x:f aca="0">A167&amp;TEXT(COUNTIF($A$6:A167,A167),"00")</x:f>
        <x:v>P02706</x:v>
      </x:c>
      <x:c r="Q167" s="89" t="str">
        <x:f aca="0">IF(I167&lt;100,A167&amp;"O"&amp;COUNTIFS($A$6:A167,A167,$I$6:I167,"&lt;100"),"")</x:f>
        <x:v>P027O6</x:v>
      </x:c>
      <x:c r="R167" s="89" t="str">
        <x:f aca="0">IF(I167&lt;100,D167&amp;"O"&amp;COUNTIFS($D$6:D167,D167,$I$6:I167,"&lt;100"),"")</x:f>
        <x:v>KavyaO13</x:v>
      </x:c>
      <x:c r="S167" s="278" t="n">
        <x:f>IF(COUNTIF($B$6:$B$605,B167)&gt;1,1,0)</x:f>
        <x:v>0</x:v>
      </x:c>
    </x:row>
    <x:row r="168" ht="15" hidden="0">
      <x:c r="A168" s="83" t="s">
        <x:v>244</x:v>
      </x:c>
      <x:c r="B168" s="83" t="s">
        <x:v>710</x:v>
      </x:c>
      <x:c r="C168" s="83" t="s">
        <x:v>433</x:v>
      </x:c>
      <x:c r="D168" s="83" t="s">
        <x:v>435</x:v>
      </x:c>
      <x:c r="E168" s="83" t="s">
        <x:v>449</x:v>
      </x:c>
      <x:c r="F168" s="83" t="s">
        <x:v>550</x:v>
      </x:c>
      <x:c r="G168" s="85" t="n">
        <x:v>46231</x:v>
      </x:c>
      <x:c r="H168" s="85" t="n">
        <x:v>46247</x:v>
      </x:c>
      <x:c r="I168" s="87" t="n">
        <x:v>67</x:v>
      </x:c>
      <x:c r="J168" s="83" t="s">
        <x:v>543</x:v>
      </x:c>
      <x:c r="K168" s="83" t="s">
        <x:v>396</x:v>
      </x:c>
      <x:c r="L168" s="83" t="s">
        <x:v>395</x:v>
      </x:c>
      <x:c r="M168" s="83" t="n">
        <x:v>76</x:v>
      </x:c>
      <x:c r="N168" s="83" t="n">
        <x:v>65</x:v>
      </x:c>
      <x:c r="O168" s="85" t="n">
        <x:v>46274</x:v>
      </x:c>
      <x:c r="P168" s="89" t="str">
        <x:f aca="0">A168&amp;TEXT(COUNTIF($A$6:A168,A168),"00")</x:f>
        <x:v>P02801</x:v>
      </x:c>
      <x:c r="Q168" s="89" t="str">
        <x:f aca="0">IF(I168&lt;100,A168&amp;"O"&amp;COUNTIFS($A$6:A168,A168,$I$6:I168,"&lt;100"),"")</x:f>
        <x:v>P028O1</x:v>
      </x:c>
      <x:c r="R168" s="89" t="str">
        <x:f aca="0">IF(I168&lt;100,D168&amp;"O"&amp;COUNTIFS($D$6:D168,D168,$I$6:I168,"&lt;100"),"")</x:f>
        <x:v>VivekO16</x:v>
      </x:c>
      <x:c r="S168" s="278" t="n">
        <x:f>IF(COUNTIF($B$6:$B$605,B168)&gt;1,1,0)</x:f>
        <x:v>0</x:v>
      </x:c>
    </x:row>
    <x:row r="169" ht="15" hidden="0">
      <x:c r="A169" s="83" t="s">
        <x:v>244</x:v>
      </x:c>
      <x:c r="B169" s="83" t="s">
        <x:v>711</x:v>
      </x:c>
      <x:c r="C169" s="83" t="s">
        <x:v>440</x:v>
      </x:c>
      <x:c r="D169" s="83" t="s">
        <x:v>442</x:v>
      </x:c>
      <x:c r="E169" s="83" t="s">
        <x:v>452</x:v>
      </x:c>
      <x:c r="F169" s="83" t="s">
        <x:v>557</x:v>
      </x:c>
      <x:c r="G169" s="85" t="n">
        <x:v>46245</x:v>
      </x:c>
      <x:c r="H169" s="85" t="n">
        <x:v>46258</x:v>
      </x:c>
      <x:c r="I169" s="87" t="n">
        <x:v>60</x:v>
      </x:c>
      <x:c r="J169" s="83" t="s">
        <x:v>543</x:v>
      </x:c>
      <x:c r="K169" s="83" t="s">
        <x:v>396</x:v>
      </x:c>
      <x:c r="L169" s="83" t="s">
        <x:v>395</x:v>
      </x:c>
      <x:c r="M169" s="83" t="n">
        <x:v>64</x:v>
      </x:c>
      <x:c r="N169" s="83" t="n">
        <x:v>68</x:v>
      </x:c>
      <x:c r="O169" s="85" t="n">
        <x:v>46274</x:v>
      </x:c>
      <x:c r="P169" s="89" t="str">
        <x:f aca="0">A169&amp;TEXT(COUNTIF($A$6:A169,A169),"00")</x:f>
        <x:v>P02802</x:v>
      </x:c>
      <x:c r="Q169" s="89" t="str">
        <x:f aca="0">IF(I169&lt;100,A169&amp;"O"&amp;COUNTIFS($A$6:A169,A169,$I$6:I169,"&lt;100"),"")</x:f>
        <x:v>P028O2</x:v>
      </x:c>
      <x:c r="R169" s="89" t="str">
        <x:f aca="0">IF(I169&lt;100,D169&amp;"O"&amp;COUNTIFS($D$6:D169,D169,$I$6:I169,"&lt;100"),"")</x:f>
        <x:v>RituO15</x:v>
      </x:c>
      <x:c r="S169" s="278" t="n">
        <x:f>IF(COUNTIF($B$6:$B$605,B169)&gt;1,1,0)</x:f>
        <x:v>0</x:v>
      </x:c>
    </x:row>
    <x:row r="170" ht="15" hidden="0">
      <x:c r="A170" s="83" t="s">
        <x:v>244</x:v>
      </x:c>
      <x:c r="B170" s="83" t="s">
        <x:v>712</x:v>
      </x:c>
      <x:c r="C170" s="83" t="s">
        <x:v>444</x:v>
      </x:c>
      <x:c r="D170" s="83" t="s">
        <x:v>446</x:v>
      </x:c>
      <x:c r="E170" s="83" t="s">
        <x:v>455</x:v>
      </x:c>
      <x:c r="F170" s="83" t="s">
        <x:v>493</x:v>
      </x:c>
      <x:c r="G170" s="85" t="n">
        <x:v>46259</x:v>
      </x:c>
      <x:c r="H170" s="85" t="n">
        <x:v>46268</x:v>
      </x:c>
      <x:c r="I170" s="87" t="n">
        <x:v>59</x:v>
      </x:c>
      <x:c r="J170" s="83" t="s">
        <x:v>543</x:v>
      </x:c>
      <x:c r="K170" s="83" t="s">
        <x:v>396</x:v>
      </x:c>
      <x:c r="L170" s="83" t="s">
        <x:v>395</x:v>
      </x:c>
      <x:c r="M170" s="83" t="n">
        <x:v>39</x:v>
      </x:c>
      <x:c r="N170" s="83" t="n">
        <x:v>48</x:v>
      </x:c>
      <x:c r="O170" s="85" t="n">
        <x:v>46274</x:v>
      </x:c>
      <x:c r="P170" s="89" t="str">
        <x:f aca="0">A170&amp;TEXT(COUNTIF($A$6:A170,A170),"00")</x:f>
        <x:v>P02803</x:v>
      </x:c>
      <x:c r="Q170" s="89" t="str">
        <x:f aca="0">IF(I170&lt;100,A170&amp;"O"&amp;COUNTIFS($A$6:A170,A170,$I$6:I170,"&lt;100"),"")</x:f>
        <x:v>P028O3</x:v>
      </x:c>
      <x:c r="R170" s="89" t="str">
        <x:f aca="0">IF(I170&lt;100,D170&amp;"O"&amp;COUNTIFS($D$6:D170,D170,$I$6:I170,"&lt;100"),"")</x:f>
        <x:v>SanjayO16</x:v>
      </x:c>
      <x:c r="S170" s="278" t="n">
        <x:f>IF(COUNTIF($B$6:$B$605,B170)&gt;1,1,0)</x:f>
        <x:v>0</x:v>
      </x:c>
    </x:row>
    <x:row r="171" ht="15" hidden="0">
      <x:c r="A171" s="83" t="s">
        <x:v>244</x:v>
      </x:c>
      <x:c r="B171" s="83" t="s">
        <x:v>713</x:v>
      </x:c>
      <x:c r="C171" s="83" t="s">
        <x:v>448</x:v>
      </x:c>
      <x:c r="D171" s="83" t="s">
        <x:v>449</x:v>
      </x:c>
      <x:c r="E171" s="83" t="s">
        <x:v>462</x:v>
      </x:c>
      <x:c r="F171" s="83" t="s">
        <x:v>493</x:v>
      </x:c>
      <x:c r="G171" s="85" t="n">
        <x:v>46273</x:v>
      </x:c>
      <x:c r="H171" s="85" t="n">
        <x:v>46286</x:v>
      </x:c>
      <x:c r="I171" s="87" t="n">
        <x:v>59</x:v>
      </x:c>
      <x:c r="J171" s="83" t="s">
        <x:v>543</x:v>
      </x:c>
      <x:c r="K171" s="83"/>
      <x:c r="L171" s="83" t="s">
        <x:v>395</x:v>
      </x:c>
      <x:c r="M171" s="83" t="n">
        <x:v>39</x:v>
      </x:c>
      <x:c r="N171" s="83" t="n">
        <x:v>96</x:v>
      </x:c>
      <x:c r="O171" s="85" t="n">
        <x:v>46274</x:v>
      </x:c>
      <x:c r="P171" s="89" t="str">
        <x:f aca="0">A171&amp;TEXT(COUNTIF($A$6:A171,A171),"00")</x:f>
        <x:v>P02804</x:v>
      </x:c>
      <x:c r="Q171" s="89" t="str">
        <x:f aca="0">IF(I171&lt;100,A171&amp;"O"&amp;COUNTIFS($A$6:A171,A171,$I$6:I171,"&lt;100"),"")</x:f>
        <x:v>P028O4</x:v>
      </x:c>
      <x:c r="R171" s="89" t="str">
        <x:f aca="0">IF(I171&lt;100,D171&amp;"O"&amp;COUNTIFS($D$6:D171,D171,$I$6:I171,"&lt;100"),"")</x:f>
        <x:v>AnilO14</x:v>
      </x:c>
      <x:c r="S171" s="278" t="n">
        <x:f>IF(COUNTIF($B$6:$B$605,B171)&gt;1,1,0)</x:f>
        <x:v>0</x:v>
      </x:c>
    </x:row>
    <x:row r="172" ht="15" hidden="0">
      <x:c r="A172" s="83" t="s">
        <x:v>244</x:v>
      </x:c>
      <x:c r="B172" s="83" t="s">
        <x:v>714</x:v>
      </x:c>
      <x:c r="C172" s="83" t="s">
        <x:v>451</x:v>
      </x:c>
      <x:c r="D172" s="83" t="s">
        <x:v>452</x:v>
      </x:c>
      <x:c r="E172" s="83" t="s">
        <x:v>360</x:v>
      </x:c>
      <x:c r="F172" s="83" t="s">
        <x:v>546</x:v>
      </x:c>
      <x:c r="G172" s="85" t="n">
        <x:v>46287</x:v>
      </x:c>
      <x:c r="H172" s="85" t="n">
        <x:v>46309</x:v>
      </x:c>
      <x:c r="I172" s="87" t="n">
        <x:v>79</x:v>
      </x:c>
      <x:c r="J172" s="83" t="s">
        <x:v>543</x:v>
      </x:c>
      <x:c r="K172" s="83"/>
      <x:c r="L172" s="83" t="s">
        <x:v>395</x:v>
      </x:c>
      <x:c r="M172" s="83" t="n">
        <x:v>56</x:v>
      </x:c>
      <x:c r="N172" s="83" t="n">
        <x:v>23</x:v>
      </x:c>
      <x:c r="O172" s="85" t="n">
        <x:v>46274</x:v>
      </x:c>
      <x:c r="P172" s="89" t="str">
        <x:f aca="0">A172&amp;TEXT(COUNTIF($A$6:A172,A172),"00")</x:f>
        <x:v>P02805</x:v>
      </x:c>
      <x:c r="Q172" s="89" t="str">
        <x:f aca="0">IF(I172&lt;100,A172&amp;"O"&amp;COUNTIFS($A$6:A172,A172,$I$6:I172,"&lt;100"),"")</x:f>
        <x:v>P028O5</x:v>
      </x:c>
      <x:c r="R172" s="89" t="str">
        <x:f aca="0">IF(I172&lt;100,D172&amp;"O"&amp;COUNTIFS($D$6:D172,D172,$I$6:I172,"&lt;100"),"")</x:f>
        <x:v>KavyaO14</x:v>
      </x:c>
      <x:c r="S172" s="278" t="n">
        <x:f>IF(COUNTIF($B$6:$B$605,B172)&gt;1,1,0)</x:f>
        <x:v>0</x:v>
      </x:c>
    </x:row>
    <x:row r="173" ht="15" hidden="0">
      <x:c r="A173" s="83" t="s">
        <x:v>244</x:v>
      </x:c>
      <x:c r="B173" s="83" t="s">
        <x:v>715</x:v>
      </x:c>
      <x:c r="C173" s="83" t="s">
        <x:v>454</x:v>
      </x:c>
      <x:c r="D173" s="83" t="s">
        <x:v>455</x:v>
      </x:c>
      <x:c r="E173" s="83" t="s">
        <x:v>475</x:v>
      </x:c>
      <x:c r="F173" s="83" t="s">
        <x:v>546</x:v>
      </x:c>
      <x:c r="G173" s="85" t="n">
        <x:v>46301</x:v>
      </x:c>
      <x:c r="H173" s="85" t="n">
        <x:v>46312</x:v>
      </x:c>
      <x:c r="I173" s="87" t="n">
        <x:v>83</x:v>
      </x:c>
      <x:c r="J173" s="83" t="s">
        <x:v>543</x:v>
      </x:c>
      <x:c r="K173" s="83" t="s">
        <x:v>396</x:v>
      </x:c>
      <x:c r="L173" s="83" t="s">
        <x:v>395</x:v>
      </x:c>
      <x:c r="M173" s="83" t="n">
        <x:v>49</x:v>
      </x:c>
      <x:c r="N173" s="83" t="n">
        <x:v>37</x:v>
      </x:c>
      <x:c r="O173" s="85" t="n">
        <x:v>46274</x:v>
      </x:c>
      <x:c r="P173" s="89" t="str">
        <x:f aca="0">A173&amp;TEXT(COUNTIF($A$6:A173,A173),"00")</x:f>
        <x:v>P02806</x:v>
      </x:c>
      <x:c r="Q173" s="89" t="str">
        <x:f aca="0">IF(I173&lt;100,A173&amp;"O"&amp;COUNTIFS($A$6:A173,A173,$I$6:I173,"&lt;100"),"")</x:f>
        <x:v>P028O6</x:v>
      </x:c>
      <x:c r="R173" s="89" t="str">
        <x:f aca="0">IF(I173&lt;100,D173&amp;"O"&amp;COUNTIFS($D$6:D173,D173,$I$6:I173,"&lt;100"),"")</x:f>
        <x:v>RohanO12</x:v>
      </x:c>
      <x:c r="S173" s="278" t="n">
        <x:f>IF(COUNTIF($B$6:$B$605,B173)&gt;1,1,0)</x:f>
        <x:v>0</x:v>
      </x:c>
    </x:row>
    <x:row r="174" ht="15" hidden="0">
      <x:c r="A174" s="83" t="s">
        <x:v>230</x:v>
      </x:c>
      <x:c r="B174" s="83" t="s">
        <x:v>716</x:v>
      </x:c>
      <x:c r="C174" s="83" t="s">
        <x:v>433</x:v>
      </x:c>
      <x:c r="D174" s="83" t="s">
        <x:v>442</x:v>
      </x:c>
      <x:c r="E174" s="83" t="s">
        <x:v>452</x:v>
      </x:c>
      <x:c r="F174" s="83" t="s">
        <x:v>546</x:v>
      </x:c>
      <x:c r="G174" s="85" t="n">
        <x:v>46232</x:v>
      </x:c>
      <x:c r="H174" s="85" t="n">
        <x:v>46247</x:v>
      </x:c>
      <x:c r="I174" s="87" t="n">
        <x:v>36</x:v>
      </x:c>
      <x:c r="J174" s="83" t="s">
        <x:v>543</x:v>
      </x:c>
      <x:c r="K174" s="83"/>
      <x:c r="L174" s="83" t="s">
        <x:v>395</x:v>
      </x:c>
      <x:c r="M174" s="83" t="n">
        <x:v>39</x:v>
      </x:c>
      <x:c r="N174" s="83" t="n">
        <x:v>79</x:v>
      </x:c>
      <x:c r="O174" s="85" t="n">
        <x:v>46274</x:v>
      </x:c>
      <x:c r="P174" s="89" t="str">
        <x:f aca="0">A174&amp;TEXT(COUNTIF($A$6:A174,A174),"00")</x:f>
        <x:v>P02901</x:v>
      </x:c>
      <x:c r="Q174" s="89" t="str">
        <x:f aca="0">IF(I174&lt;100,A174&amp;"O"&amp;COUNTIFS($A$6:A174,A174,$I$6:I174,"&lt;100"),"")</x:f>
        <x:v>P029O1</x:v>
      </x:c>
      <x:c r="R174" s="89" t="str">
        <x:f aca="0">IF(I174&lt;100,D174&amp;"O"&amp;COUNTIFS($D$6:D174,D174,$I$6:I174,"&lt;100"),"")</x:f>
        <x:v>RituO16</x:v>
      </x:c>
      <x:c r="S174" s="278" t="n">
        <x:f>IF(COUNTIF($B$6:$B$605,B174)&gt;1,1,0)</x:f>
        <x:v>0</x:v>
      </x:c>
    </x:row>
    <x:row r="175" ht="15" hidden="0">
      <x:c r="A175" s="83" t="s">
        <x:v>230</x:v>
      </x:c>
      <x:c r="B175" s="83" t="s">
        <x:v>717</x:v>
      </x:c>
      <x:c r="C175" s="83" t="s">
        <x:v>440</x:v>
      </x:c>
      <x:c r="D175" s="83" t="s">
        <x:v>446</x:v>
      </x:c>
      <x:c r="E175" s="83" t="s">
        <x:v>455</x:v>
      </x:c>
      <x:c r="F175" s="83" t="s">
        <x:v>557</x:v>
      </x:c>
      <x:c r="G175" s="85" t="n">
        <x:v>46246</x:v>
      </x:c>
      <x:c r="H175" s="85" t="n">
        <x:v>46258</x:v>
      </x:c>
      <x:c r="I175" s="87" t="n">
        <x:v>58</x:v>
      </x:c>
      <x:c r="J175" s="83" t="s">
        <x:v>543</x:v>
      </x:c>
      <x:c r="K175" s="83"/>
      <x:c r="L175" s="83" t="s">
        <x:v>395</x:v>
      </x:c>
      <x:c r="M175" s="83" t="n">
        <x:v>31</x:v>
      </x:c>
      <x:c r="N175" s="83" t="n">
        <x:v>36</x:v>
      </x:c>
      <x:c r="O175" s="85" t="n">
        <x:v>46274</x:v>
      </x:c>
      <x:c r="P175" s="89" t="str">
        <x:f aca="0">A175&amp;TEXT(COUNTIF($A$6:A175,A175),"00")</x:f>
        <x:v>P02902</x:v>
      </x:c>
      <x:c r="Q175" s="89" t="str">
        <x:f aca="0">IF(I175&lt;100,A175&amp;"O"&amp;COUNTIFS($A$6:A175,A175,$I$6:I175,"&lt;100"),"")</x:f>
        <x:v>P029O2</x:v>
      </x:c>
      <x:c r="R175" s="89" t="str">
        <x:f aca="0">IF(I175&lt;100,D175&amp;"O"&amp;COUNTIFS($D$6:D175,D175,$I$6:I175,"&lt;100"),"")</x:f>
        <x:v>SanjayO17</x:v>
      </x:c>
      <x:c r="S175" s="278" t="n">
        <x:f>IF(COUNTIF($B$6:$B$605,B175)&gt;1,1,0)</x:f>
        <x:v>0</x:v>
      </x:c>
    </x:row>
    <x:row r="176" ht="15" hidden="0">
      <x:c r="A176" s="83" t="s">
        <x:v>230</x:v>
      </x:c>
      <x:c r="B176" s="83" t="s">
        <x:v>718</x:v>
      </x:c>
      <x:c r="C176" s="83" t="s">
        <x:v>444</x:v>
      </x:c>
      <x:c r="D176" s="83" t="s">
        <x:v>449</x:v>
      </x:c>
      <x:c r="E176" s="83" t="s">
        <x:v>462</x:v>
      </x:c>
      <x:c r="F176" s="83" t="s">
        <x:v>493</x:v>
      </x:c>
      <x:c r="G176" s="85" t="n">
        <x:v>46260</x:v>
      </x:c>
      <x:c r="H176" s="85" t="n">
        <x:v>46269</x:v>
      </x:c>
      <x:c r="I176" s="87" t="n">
        <x:v>53</x:v>
      </x:c>
      <x:c r="J176" s="83" t="s">
        <x:v>543</x:v>
      </x:c>
      <x:c r="K176" s="83" t="s">
        <x:v>396</x:v>
      </x:c>
      <x:c r="L176" s="83" t="s">
        <x:v>395</x:v>
      </x:c>
      <x:c r="M176" s="83" t="n">
        <x:v>42</x:v>
      </x:c>
      <x:c r="N176" s="83" t="n">
        <x:v>45</x:v>
      </x:c>
      <x:c r="O176" s="85" t="n">
        <x:v>46274</x:v>
      </x:c>
      <x:c r="P176" s="89" t="str">
        <x:f aca="0">A176&amp;TEXT(COUNTIF($A$6:A176,A176),"00")</x:f>
        <x:v>P02903</x:v>
      </x:c>
      <x:c r="Q176" s="89" t="str">
        <x:f aca="0">IF(I176&lt;100,A176&amp;"O"&amp;COUNTIFS($A$6:A176,A176,$I$6:I176,"&lt;100"),"")</x:f>
        <x:v>P029O3</x:v>
      </x:c>
      <x:c r="R176" s="89" t="str">
        <x:f aca="0">IF(I176&lt;100,D176&amp;"O"&amp;COUNTIFS($D$6:D176,D176,$I$6:I176,"&lt;100"),"")</x:f>
        <x:v>AnilO15</x:v>
      </x:c>
      <x:c r="S176" s="278" t="n">
        <x:f>IF(COUNTIF($B$6:$B$605,B176)&gt;1,1,0)</x:f>
        <x:v>0</x:v>
      </x:c>
    </x:row>
    <x:row r="177" ht="15" hidden="0">
      <x:c r="A177" s="83" t="s">
        <x:v>230</x:v>
      </x:c>
      <x:c r="B177" s="83" t="s">
        <x:v>719</x:v>
      </x:c>
      <x:c r="C177" s="83" t="s">
        <x:v>448</x:v>
      </x:c>
      <x:c r="D177" s="83" t="s">
        <x:v>452</x:v>
      </x:c>
      <x:c r="E177" s="83" t="s">
        <x:v>360</x:v>
      </x:c>
      <x:c r="F177" s="83" t="s">
        <x:v>546</x:v>
      </x:c>
      <x:c r="G177" s="85" t="n">
        <x:v>46274</x:v>
      </x:c>
      <x:c r="H177" s="85" t="n">
        <x:v>46298</x:v>
      </x:c>
      <x:c r="I177" s="87" t="n">
        <x:v>43</x:v>
      </x:c>
      <x:c r="J177" s="83" t="s">
        <x:v>543</x:v>
      </x:c>
      <x:c r="K177" s="83" t="s">
        <x:v>396</x:v>
      </x:c>
      <x:c r="L177" s="83" t="s">
        <x:v>395</x:v>
      </x:c>
      <x:c r="M177" s="83" t="n">
        <x:v>37</x:v>
      </x:c>
      <x:c r="N177" s="83" t="n">
        <x:v>78</x:v>
      </x:c>
      <x:c r="O177" s="85" t="n">
        <x:v>46274</x:v>
      </x:c>
      <x:c r="P177" s="89" t="str">
        <x:f aca="0">A177&amp;TEXT(COUNTIF($A$6:A177,A177),"00")</x:f>
        <x:v>P02904</x:v>
      </x:c>
      <x:c r="Q177" s="89" t="str">
        <x:f aca="0">IF(I177&lt;100,A177&amp;"O"&amp;COUNTIFS($A$6:A177,A177,$I$6:I177,"&lt;100"),"")</x:f>
        <x:v>P029O4</x:v>
      </x:c>
      <x:c r="R177" s="89" t="str">
        <x:f aca="0">IF(I177&lt;100,D177&amp;"O"&amp;COUNTIFS($D$6:D177,D177,$I$6:I177,"&lt;100"),"")</x:f>
        <x:v>KavyaO15</x:v>
      </x:c>
      <x:c r="S177" s="278" t="n">
        <x:f>IF(COUNTIF($B$6:$B$605,B177)&gt;1,1,0)</x:f>
        <x:v>0</x:v>
      </x:c>
    </x:row>
    <x:row r="178" ht="15" hidden="0">
      <x:c r="A178" s="83" t="s">
        <x:v>230</x:v>
      </x:c>
      <x:c r="B178" s="83" t="s">
        <x:v>720</x:v>
      </x:c>
      <x:c r="C178" s="83" t="s">
        <x:v>451</x:v>
      </x:c>
      <x:c r="D178" s="83" t="s">
        <x:v>455</x:v>
      </x:c>
      <x:c r="E178" s="83" t="s">
        <x:v>475</x:v>
      </x:c>
      <x:c r="F178" s="83" t="s">
        <x:v>550</x:v>
      </x:c>
      <x:c r="G178" s="85" t="n">
        <x:v>46288</x:v>
      </x:c>
      <x:c r="H178" s="85" t="n">
        <x:v>46304</x:v>
      </x:c>
      <x:c r="I178" s="87" t="n">
        <x:v>35</x:v>
      </x:c>
      <x:c r="J178" s="83" t="s">
        <x:v>543</x:v>
      </x:c>
      <x:c r="K178" s="83"/>
      <x:c r="L178" s="83" t="s">
        <x:v>395</x:v>
      </x:c>
      <x:c r="M178" s="83" t="n">
        <x:v>53</x:v>
      </x:c>
      <x:c r="N178" s="83" t="n">
        <x:v>65</x:v>
      </x:c>
      <x:c r="O178" s="85" t="n">
        <x:v>46274</x:v>
      </x:c>
      <x:c r="P178" s="89" t="str">
        <x:f aca="0">A178&amp;TEXT(COUNTIF($A$6:A178,A178),"00")</x:f>
        <x:v>P02905</x:v>
      </x:c>
      <x:c r="Q178" s="89" t="str">
        <x:f aca="0">IF(I178&lt;100,A178&amp;"O"&amp;COUNTIFS($A$6:A178,A178,$I$6:I178,"&lt;100"),"")</x:f>
        <x:v>P029O5</x:v>
      </x:c>
      <x:c r="R178" s="89" t="str">
        <x:f aca="0">IF(I178&lt;100,D178&amp;"O"&amp;COUNTIFS($D$6:D178,D178,$I$6:I178,"&lt;100"),"")</x:f>
        <x:v>RohanO13</x:v>
      </x:c>
      <x:c r="S178" s="278" t="n">
        <x:f>IF(COUNTIF($B$6:$B$605,B178)&gt;1,1,0)</x:f>
        <x:v>0</x:v>
      </x:c>
    </x:row>
    <x:row r="179" ht="15" hidden="0">
      <x:c r="A179" s="83" t="s">
        <x:v>230</x:v>
      </x:c>
      <x:c r="B179" s="83" t="s">
        <x:v>721</x:v>
      </x:c>
      <x:c r="C179" s="83" t="s">
        <x:v>454</x:v>
      </x:c>
      <x:c r="D179" s="83" t="s">
        <x:v>462</x:v>
      </x:c>
      <x:c r="E179" s="83" t="s">
        <x:v>434</x:v>
      </x:c>
      <x:c r="F179" s="83" t="s">
        <x:v>493</x:v>
      </x:c>
      <x:c r="G179" s="85" t="n">
        <x:v>46302</x:v>
      </x:c>
      <x:c r="H179" s="85" t="n">
        <x:v>46315</x:v>
      </x:c>
      <x:c r="I179" s="87" t="n">
        <x:v>49</x:v>
      </x:c>
      <x:c r="J179" s="83" t="s">
        <x:v>543</x:v>
      </x:c>
      <x:c r="K179" s="83"/>
      <x:c r="L179" s="83" t="s">
        <x:v>395</x:v>
      </x:c>
      <x:c r="M179" s="83" t="n">
        <x:v>22</x:v>
      </x:c>
      <x:c r="N179" s="83" t="n">
        <x:v>17</x:v>
      </x:c>
      <x:c r="O179" s="85" t="n">
        <x:v>46274</x:v>
      </x:c>
      <x:c r="P179" s="89" t="str">
        <x:f aca="0">A179&amp;TEXT(COUNTIF($A$6:A179,A179),"00")</x:f>
        <x:v>P02906</x:v>
      </x:c>
      <x:c r="Q179" s="89" t="str">
        <x:f aca="0">IF(I179&lt;100,A179&amp;"O"&amp;COUNTIFS($A$6:A179,A179,$I$6:I179,"&lt;100"),"")</x:f>
        <x:v>P029O6</x:v>
      </x:c>
      <x:c r="R179" s="89" t="str">
        <x:f aca="0">IF(I179&lt;100,D179&amp;"O"&amp;COUNTIFS($D$6:D179,D179,$I$6:I179,"&lt;100"),"")</x:f>
        <x:v>DeepaO13</x:v>
      </x:c>
      <x:c r="S179" s="278" t="n">
        <x:f>IF(COUNTIF($B$6:$B$605,B179)&gt;1,1,0)</x:f>
        <x:v>0</x:v>
      </x:c>
    </x:row>
    <x:row r="180" ht="15" hidden="0">
      <x:c r="A180" s="83" t="s">
        <x:v>282</x:v>
      </x:c>
      <x:c r="B180" s="83" t="s">
        <x:v>722</x:v>
      </x:c>
      <x:c r="C180" s="83" t="s">
        <x:v>433</x:v>
      </x:c>
      <x:c r="D180" s="83" t="s">
        <x:v>446</x:v>
      </x:c>
      <x:c r="E180" s="83" t="s">
        <x:v>455</x:v>
      </x:c>
      <x:c r="F180" s="83" t="s">
        <x:v>550</x:v>
      </x:c>
      <x:c r="G180" s="85" t="n">
        <x:v>46233</x:v>
      </x:c>
      <x:c r="H180" s="85" t="n">
        <x:v>46244</x:v>
      </x:c>
      <x:c r="I180" s="87" t="n">
        <x:v>67</x:v>
      </x:c>
      <x:c r="J180" s="83" t="s">
        <x:v>543</x:v>
      </x:c>
      <x:c r="K180" s="83"/>
      <x:c r="L180" s="83" t="s">
        <x:v>395</x:v>
      </x:c>
      <x:c r="M180" s="83" t="n">
        <x:v>92</x:v>
      </x:c>
      <x:c r="N180" s="83" t="n">
        <x:v>88</x:v>
      </x:c>
      <x:c r="O180" s="85" t="n">
        <x:v>46274</x:v>
      </x:c>
      <x:c r="P180" s="89" t="str">
        <x:f aca="0">A180&amp;TEXT(COUNTIF($A$6:A180,A180),"00")</x:f>
        <x:v>P03001</x:v>
      </x:c>
      <x:c r="Q180" s="89" t="str">
        <x:f aca="0">IF(I180&lt;100,A180&amp;"O"&amp;COUNTIFS($A$6:A180,A180,$I$6:I180,"&lt;100"),"")</x:f>
        <x:v>P030O1</x:v>
      </x:c>
      <x:c r="R180" s="89" t="str">
        <x:f aca="0">IF(I180&lt;100,D180&amp;"O"&amp;COUNTIFS($D$6:D180,D180,$I$6:I180,"&lt;100"),"")</x:f>
        <x:v>SanjayO18</x:v>
      </x:c>
      <x:c r="S180" s="278" t="n">
        <x:f>IF(COUNTIF($B$6:$B$605,B180)&gt;1,1,0)</x:f>
        <x:v>0</x:v>
      </x:c>
    </x:row>
    <x:row r="181" ht="15" hidden="0">
      <x:c r="A181" s="83" t="s">
        <x:v>282</x:v>
      </x:c>
      <x:c r="B181" s="83" t="s">
        <x:v>723</x:v>
      </x:c>
      <x:c r="C181" s="83" t="s">
        <x:v>440</x:v>
      </x:c>
      <x:c r="D181" s="83" t="s">
        <x:v>449</x:v>
      </x:c>
      <x:c r="E181" s="83" t="s">
        <x:v>462</x:v>
      </x:c>
      <x:c r="F181" s="83" t="s">
        <x:v>546</x:v>
      </x:c>
      <x:c r="G181" s="85" t="n">
        <x:v>46247</x:v>
      </x:c>
      <x:c r="H181" s="85" t="n">
        <x:v>46260</x:v>
      </x:c>
      <x:c r="I181" s="87" t="n">
        <x:v>91</x:v>
      </x:c>
      <x:c r="J181" s="83" t="s">
        <x:v>543</x:v>
      </x:c>
      <x:c r="K181" s="83"/>
      <x:c r="L181" s="83" t="s">
        <x:v>395</x:v>
      </x:c>
      <x:c r="M181" s="83" t="n">
        <x:v>32</x:v>
      </x:c>
      <x:c r="N181" s="83" t="n">
        <x:v>66</x:v>
      </x:c>
      <x:c r="O181" s="85" t="n">
        <x:v>46274</x:v>
      </x:c>
      <x:c r="P181" s="89" t="str">
        <x:f aca="0">A181&amp;TEXT(COUNTIF($A$6:A181,A181),"00")</x:f>
        <x:v>P03002</x:v>
      </x:c>
      <x:c r="Q181" s="89" t="str">
        <x:f aca="0">IF(I181&lt;100,A181&amp;"O"&amp;COUNTIFS($A$6:A181,A181,$I$6:I181,"&lt;100"),"")</x:f>
        <x:v>P030O2</x:v>
      </x:c>
      <x:c r="R181" s="89" t="str">
        <x:f aca="0">IF(I181&lt;100,D181&amp;"O"&amp;COUNTIFS($D$6:D181,D181,$I$6:I181,"&lt;100"),"")</x:f>
        <x:v>AnilO16</x:v>
      </x:c>
      <x:c r="S181" s="278" t="n">
        <x:f>IF(COUNTIF($B$6:$B$605,B181)&gt;1,1,0)</x:f>
        <x:v>0</x:v>
      </x:c>
    </x:row>
    <x:row r="182" ht="15" hidden="0">
      <x:c r="A182" s="83" t="s">
        <x:v>282</x:v>
      </x:c>
      <x:c r="B182" s="83" t="s">
        <x:v>724</x:v>
      </x:c>
      <x:c r="C182" s="83" t="s">
        <x:v>444</x:v>
      </x:c>
      <x:c r="D182" s="83" t="s">
        <x:v>452</x:v>
      </x:c>
      <x:c r="E182" s="83" t="s">
        <x:v>360</x:v>
      </x:c>
      <x:c r="F182" s="83" t="s">
        <x:v>557</x:v>
      </x:c>
      <x:c r="G182" s="85" t="n">
        <x:v>46261</x:v>
      </x:c>
      <x:c r="H182" s="85" t="n">
        <x:v>46281</x:v>
      </x:c>
      <x:c r="I182" s="87" t="n">
        <x:v>91</x:v>
      </x:c>
      <x:c r="J182" s="83" t="s">
        <x:v>543</x:v>
      </x:c>
      <x:c r="K182" s="83"/>
      <x:c r="L182" s="83" t="s">
        <x:v>395</x:v>
      </x:c>
      <x:c r="M182" s="83" t="n">
        <x:v>56</x:v>
      </x:c>
      <x:c r="N182" s="83" t="n">
        <x:v>88</x:v>
      </x:c>
      <x:c r="O182" s="85" t="n">
        <x:v>46274</x:v>
      </x:c>
      <x:c r="P182" s="89" t="str">
        <x:f aca="0">A182&amp;TEXT(COUNTIF($A$6:A182,A182),"00")</x:f>
        <x:v>P03003</x:v>
      </x:c>
      <x:c r="Q182" s="89" t="str">
        <x:f aca="0">IF(I182&lt;100,A182&amp;"O"&amp;COUNTIFS($A$6:A182,A182,$I$6:I182,"&lt;100"),"")</x:f>
        <x:v>P030O3</x:v>
      </x:c>
      <x:c r="R182" s="89" t="str">
        <x:f aca="0">IF(I182&lt;100,D182&amp;"O"&amp;COUNTIFS($D$6:D182,D182,$I$6:I182,"&lt;100"),"")</x:f>
        <x:v>KavyaO16</x:v>
      </x:c>
      <x:c r="S182" s="278" t="n">
        <x:f>IF(COUNTIF($B$6:$B$605,B182)&gt;1,1,0)</x:f>
        <x:v>0</x:v>
      </x:c>
    </x:row>
    <x:row r="183" ht="15" hidden="0">
      <x:c r="A183" s="83" t="s">
        <x:v>282</x:v>
      </x:c>
      <x:c r="B183" s="83" t="s">
        <x:v>725</x:v>
      </x:c>
      <x:c r="C183" s="83" t="s">
        <x:v>448</x:v>
      </x:c>
      <x:c r="D183" s="83" t="s">
        <x:v>455</x:v>
      </x:c>
      <x:c r="E183" s="83" t="s">
        <x:v>475</x:v>
      </x:c>
      <x:c r="F183" s="83" t="s">
        <x:v>550</x:v>
      </x:c>
      <x:c r="G183" s="85" t="n">
        <x:v>46275</x:v>
      </x:c>
      <x:c r="H183" s="85" t="n">
        <x:v>46293</x:v>
      </x:c>
      <x:c r="I183" s="87" t="n">
        <x:v>90</x:v>
      </x:c>
      <x:c r="J183" s="83" t="s">
        <x:v>543</x:v>
      </x:c>
      <x:c r="K183" s="83" t="s">
        <x:v>396</x:v>
      </x:c>
      <x:c r="L183" s="83" t="s">
        <x:v>395</x:v>
      </x:c>
      <x:c r="M183" s="83" t="n">
        <x:v>41</x:v>
      </x:c>
      <x:c r="N183" s="83" t="n">
        <x:v>63</x:v>
      </x:c>
      <x:c r="O183" s="85" t="n">
        <x:v>46274</x:v>
      </x:c>
      <x:c r="P183" s="89" t="str">
        <x:f aca="0">A183&amp;TEXT(COUNTIF($A$6:A183,A183),"00")</x:f>
        <x:v>P03004</x:v>
      </x:c>
      <x:c r="Q183" s="89" t="str">
        <x:f aca="0">IF(I183&lt;100,A183&amp;"O"&amp;COUNTIFS($A$6:A183,A183,$I$6:I183,"&lt;100"),"")</x:f>
        <x:v>P030O4</x:v>
      </x:c>
      <x:c r="R183" s="89" t="str">
        <x:f aca="0">IF(I183&lt;100,D183&amp;"O"&amp;COUNTIFS($D$6:D183,D183,$I$6:I183,"&lt;100"),"")</x:f>
        <x:v>RohanO14</x:v>
      </x:c>
      <x:c r="S183" s="278" t="n">
        <x:f>IF(COUNTIF($B$6:$B$605,B183)&gt;1,1,0)</x:f>
        <x:v>0</x:v>
      </x:c>
    </x:row>
    <x:row r="184" ht="15" hidden="0">
      <x:c r="A184" s="83" t="s">
        <x:v>282</x:v>
      </x:c>
      <x:c r="B184" s="83" t="s">
        <x:v>726</x:v>
      </x:c>
      <x:c r="C184" s="83" t="s">
        <x:v>451</x:v>
      </x:c>
      <x:c r="D184" s="83" t="s">
        <x:v>462</x:v>
      </x:c>
      <x:c r="E184" s="83" t="s">
        <x:v>434</x:v>
      </x:c>
      <x:c r="F184" s="83" t="s">
        <x:v>550</x:v>
      </x:c>
      <x:c r="G184" s="85" t="n">
        <x:v>46289</x:v>
      </x:c>
      <x:c r="H184" s="85" t="n">
        <x:v>46299</x:v>
      </x:c>
      <x:c r="I184" s="87" t="n">
        <x:v>73</x:v>
      </x:c>
      <x:c r="J184" s="83" t="s">
        <x:v>543</x:v>
      </x:c>
      <x:c r="K184" s="83"/>
      <x:c r="L184" s="83" t="s">
        <x:v>395</x:v>
      </x:c>
      <x:c r="M184" s="83" t="n">
        <x:v>60</x:v>
      </x:c>
      <x:c r="N184" s="83" t="n">
        <x:v>89</x:v>
      </x:c>
      <x:c r="O184" s="85" t="n">
        <x:v>46274</x:v>
      </x:c>
      <x:c r="P184" s="89" t="str">
        <x:f aca="0">A184&amp;TEXT(COUNTIF($A$6:A184,A184),"00")</x:f>
        <x:v>P03005</x:v>
      </x:c>
      <x:c r="Q184" s="89" t="str">
        <x:f aca="0">IF(I184&lt;100,A184&amp;"O"&amp;COUNTIFS($A$6:A184,A184,$I$6:I184,"&lt;100"),"")</x:f>
        <x:v>P030O5</x:v>
      </x:c>
      <x:c r="R184" s="89" t="str">
        <x:f aca="0">IF(I184&lt;100,D184&amp;"O"&amp;COUNTIFS($D$6:D184,D184,$I$6:I184,"&lt;100"),"")</x:f>
        <x:v>DeepaO14</x:v>
      </x:c>
      <x:c r="S184" s="278" t="n">
        <x:f>IF(COUNTIF($B$6:$B$605,B184)&gt;1,1,0)</x:f>
        <x:v>0</x:v>
      </x:c>
    </x:row>
    <x:row r="185" ht="15" hidden="0">
      <x:c r="A185" s="83" t="s">
        <x:v>282</x:v>
      </x:c>
      <x:c r="B185" s="83" t="s">
        <x:v>727</x:v>
      </x:c>
      <x:c r="C185" s="83" t="s">
        <x:v>454</x:v>
      </x:c>
      <x:c r="D185" s="83" t="s">
        <x:v>360</x:v>
      </x:c>
      <x:c r="E185" s="83" t="s">
        <x:v>441</x:v>
      </x:c>
      <x:c r="F185" s="83" t="s">
        <x:v>550</x:v>
      </x:c>
      <x:c r="G185" s="85" t="n">
        <x:v>46303</x:v>
      </x:c>
      <x:c r="H185" s="85" t="n">
        <x:v>46323</x:v>
      </x:c>
      <x:c r="I185" s="87" t="n">
        <x:v>66</x:v>
      </x:c>
      <x:c r="J185" s="83" t="s">
        <x:v>543</x:v>
      </x:c>
      <x:c r="K185" s="83"/>
      <x:c r="L185" s="83" t="s">
        <x:v>395</x:v>
      </x:c>
      <x:c r="M185" s="83" t="n">
        <x:v>51</x:v>
      </x:c>
      <x:c r="N185" s="83" t="n">
        <x:v>27</x:v>
      </x:c>
      <x:c r="O185" s="85" t="n">
        <x:v>46274</x:v>
      </x:c>
      <x:c r="P185" s="89" t="str">
        <x:f aca="0">A185&amp;TEXT(COUNTIF($A$6:A185,A185),"00")</x:f>
        <x:v>P03006</x:v>
      </x:c>
      <x:c r="Q185" s="89" t="str">
        <x:f aca="0">IF(I185&lt;100,A185&amp;"O"&amp;COUNTIFS($A$6:A185,A185,$I$6:I185,"&lt;100"),"")</x:f>
        <x:v>P030O6</x:v>
      </x:c>
      <x:c r="R185" s="89" t="str">
        <x:f aca="0">IF(I185&lt;100,D185&amp;"O"&amp;COUNTIFS($D$6:D185,D185,$I$6:I185,"&lt;100"),"")</x:f>
        <x:v>AmitO13</x:v>
      </x:c>
      <x:c r="S185" s="278" t="n">
        <x:f>IF(COUNTIF($B$6:$B$605,B185)&gt;1,1,0)</x:f>
        <x:v>0</x:v>
      </x:c>
    </x:row>
    <x:row r="186" ht="15" hidden="0">
      <x:c r="A186" s="83" t="s">
        <x:v>171</x:v>
      </x:c>
      <x:c r="B186" s="83" t="s">
        <x:v>728</x:v>
      </x:c>
      <x:c r="C186" s="83" t="s">
        <x:v>433</x:v>
      </x:c>
      <x:c r="D186" s="83" t="s">
        <x:v>449</x:v>
      </x:c>
      <x:c r="E186" s="83" t="s">
        <x:v>462</x:v>
      </x:c>
      <x:c r="F186" s="83" t="s">
        <x:v>550</x:v>
      </x:c>
      <x:c r="G186" s="85" t="n">
        <x:v>46234</x:v>
      </x:c>
      <x:c r="H186" s="85" t="n">
        <x:v>46245</x:v>
      </x:c>
      <x:c r="I186" s="87" t="n">
        <x:v>79</x:v>
      </x:c>
      <x:c r="J186" s="83" t="s">
        <x:v>543</x:v>
      </x:c>
      <x:c r="K186" s="83" t="s">
        <x:v>396</x:v>
      </x:c>
      <x:c r="L186" s="83" t="s">
        <x:v>395</x:v>
      </x:c>
      <x:c r="M186" s="83" t="n">
        <x:v>98</x:v>
      </x:c>
      <x:c r="N186" s="83" t="n">
        <x:v>96</x:v>
      </x:c>
      <x:c r="O186" s="85" t="n">
        <x:v>46274</x:v>
      </x:c>
      <x:c r="P186" s="89" t="str">
        <x:f aca="0">A186&amp;TEXT(COUNTIF($A$6:A186,A186),"00")</x:f>
        <x:v>P03101</x:v>
      </x:c>
      <x:c r="Q186" s="89" t="str">
        <x:f aca="0">IF(I186&lt;100,A186&amp;"O"&amp;COUNTIFS($A$6:A186,A186,$I$6:I186,"&lt;100"),"")</x:f>
        <x:v>P031O1</x:v>
      </x:c>
      <x:c r="R186" s="89" t="str">
        <x:f aca="0">IF(I186&lt;100,D186&amp;"O"&amp;COUNTIFS($D$6:D186,D186,$I$6:I186,"&lt;100"),"")</x:f>
        <x:v>AnilO17</x:v>
      </x:c>
      <x:c r="S186" s="278" t="n">
        <x:f>IF(COUNTIF($B$6:$B$605,B186)&gt;1,1,0)</x:f>
        <x:v>0</x:v>
      </x:c>
    </x:row>
    <x:row r="187" ht="15" hidden="0">
      <x:c r="A187" s="83" t="s">
        <x:v>171</x:v>
      </x:c>
      <x:c r="B187" s="83" t="s">
        <x:v>729</x:v>
      </x:c>
      <x:c r="C187" s="83" t="s">
        <x:v>440</x:v>
      </x:c>
      <x:c r="D187" s="83" t="s">
        <x:v>452</x:v>
      </x:c>
      <x:c r="E187" s="83" t="s">
        <x:v>360</x:v>
      </x:c>
      <x:c r="F187" s="83" t="s">
        <x:v>493</x:v>
      </x:c>
      <x:c r="G187" s="85" t="n">
        <x:v>46248</x:v>
      </x:c>
      <x:c r="H187" s="85" t="n">
        <x:v>46266</x:v>
      </x:c>
      <x:c r="I187" s="87" t="n">
        <x:v>67</x:v>
      </x:c>
      <x:c r="J187" s="83" t="s">
        <x:v>543</x:v>
      </x:c>
      <x:c r="K187" s="83"/>
      <x:c r="L187" s="83" t="s">
        <x:v>395</x:v>
      </x:c>
      <x:c r="M187" s="83" t="n">
        <x:v>99</x:v>
      </x:c>
      <x:c r="N187" s="83" t="n">
        <x:v>97</x:v>
      </x:c>
      <x:c r="O187" s="85" t="n">
        <x:v>46274</x:v>
      </x:c>
      <x:c r="P187" s="89" t="str">
        <x:f aca="0">A187&amp;TEXT(COUNTIF($A$6:A187,A187),"00")</x:f>
        <x:v>P03102</x:v>
      </x:c>
      <x:c r="Q187" s="89" t="str">
        <x:f aca="0">IF(I187&lt;100,A187&amp;"O"&amp;COUNTIFS($A$6:A187,A187,$I$6:I187,"&lt;100"),"")</x:f>
        <x:v>P031O2</x:v>
      </x:c>
      <x:c r="R187" s="89" t="str">
        <x:f aca="0">IF(I187&lt;100,D187&amp;"O"&amp;COUNTIFS($D$6:D187,D187,$I$6:I187,"&lt;100"),"")</x:f>
        <x:v>KavyaO17</x:v>
      </x:c>
      <x:c r="S187" s="278" t="n">
        <x:f>IF(COUNTIF($B$6:$B$605,B187)&gt;1,1,0)</x:f>
        <x:v>0</x:v>
      </x:c>
    </x:row>
    <x:row r="188" ht="15" hidden="0">
      <x:c r="A188" s="83" t="s">
        <x:v>171</x:v>
      </x:c>
      <x:c r="B188" s="83" t="s">
        <x:v>730</x:v>
      </x:c>
      <x:c r="C188" s="83" t="s">
        <x:v>444</x:v>
      </x:c>
      <x:c r="D188" s="83" t="s">
        <x:v>455</x:v>
      </x:c>
      <x:c r="E188" s="83" t="s">
        <x:v>475</x:v>
      </x:c>
      <x:c r="F188" s="83" t="s">
        <x:v>493</x:v>
      </x:c>
      <x:c r="G188" s="85" t="n">
        <x:v>46262</x:v>
      </x:c>
      <x:c r="H188" s="85" t="n">
        <x:v>46276</x:v>
      </x:c>
      <x:c r="I188" s="87" t="n">
        <x:v>52</x:v>
      </x:c>
      <x:c r="J188" s="83" t="s">
        <x:v>543</x:v>
      </x:c>
      <x:c r="K188" s="83"/>
      <x:c r="L188" s="83" t="s">
        <x:v>395</x:v>
      </x:c>
      <x:c r="M188" s="83" t="n">
        <x:v>39</x:v>
      </x:c>
      <x:c r="N188" s="83" t="n">
        <x:v>61</x:v>
      </x:c>
      <x:c r="O188" s="85" t="n">
        <x:v>46274</x:v>
      </x:c>
      <x:c r="P188" s="89" t="str">
        <x:f aca="0">A188&amp;TEXT(COUNTIF($A$6:A188,A188),"00")</x:f>
        <x:v>P03103</x:v>
      </x:c>
      <x:c r="Q188" s="89" t="str">
        <x:f aca="0">IF(I188&lt;100,A188&amp;"O"&amp;COUNTIFS($A$6:A188,A188,$I$6:I188,"&lt;100"),"")</x:f>
        <x:v>P031O3</x:v>
      </x:c>
      <x:c r="R188" s="89" t="str">
        <x:f aca="0">IF(I188&lt;100,D188&amp;"O"&amp;COUNTIFS($D$6:D188,D188,$I$6:I188,"&lt;100"),"")</x:f>
        <x:v>RohanO15</x:v>
      </x:c>
      <x:c r="S188" s="278" t="n">
        <x:f>IF(COUNTIF($B$6:$B$605,B188)&gt;1,1,0)</x:f>
        <x:v>0</x:v>
      </x:c>
    </x:row>
    <x:row r="189" ht="15" hidden="0">
      <x:c r="A189" s="83" t="s">
        <x:v>171</x:v>
      </x:c>
      <x:c r="B189" s="83" t="s">
        <x:v>731</x:v>
      </x:c>
      <x:c r="C189" s="83" t="s">
        <x:v>448</x:v>
      </x:c>
      <x:c r="D189" s="83" t="s">
        <x:v>462</x:v>
      </x:c>
      <x:c r="E189" s="83" t="s">
        <x:v>434</x:v>
      </x:c>
      <x:c r="F189" s="83" t="s">
        <x:v>546</x:v>
      </x:c>
      <x:c r="G189" s="85" t="n">
        <x:v>46276</x:v>
      </x:c>
      <x:c r="H189" s="85" t="n">
        <x:v>46287</x:v>
      </x:c>
      <x:c r="I189" s="87" t="n">
        <x:v>80</x:v>
      </x:c>
      <x:c r="J189" s="83" t="s">
        <x:v>543</x:v>
      </x:c>
      <x:c r="K189" s="83"/>
      <x:c r="L189" s="83" t="s">
        <x:v>395</x:v>
      </x:c>
      <x:c r="M189" s="83" t="n">
        <x:v>29</x:v>
      </x:c>
      <x:c r="N189" s="83" t="n">
        <x:v>15</x:v>
      </x:c>
      <x:c r="O189" s="85" t="n">
        <x:v>46274</x:v>
      </x:c>
      <x:c r="P189" s="89" t="str">
        <x:f aca="0">A189&amp;TEXT(COUNTIF($A$6:A189,A189),"00")</x:f>
        <x:v>P03104</x:v>
      </x:c>
      <x:c r="Q189" s="89" t="str">
        <x:f aca="0">IF(I189&lt;100,A189&amp;"O"&amp;COUNTIFS($A$6:A189,A189,$I$6:I189,"&lt;100"),"")</x:f>
        <x:v>P031O4</x:v>
      </x:c>
      <x:c r="R189" s="89" t="str">
        <x:f aca="0">IF(I189&lt;100,D189&amp;"O"&amp;COUNTIFS($D$6:D189,D189,$I$6:I189,"&lt;100"),"")</x:f>
        <x:v>DeepaO15</x:v>
      </x:c>
      <x:c r="S189" s="278" t="n">
        <x:f>IF(COUNTIF($B$6:$B$605,B189)&gt;1,1,0)</x:f>
        <x:v>0</x:v>
      </x:c>
    </x:row>
    <x:row r="190" ht="15" hidden="0">
      <x:c r="A190" s="83" t="s">
        <x:v>171</x:v>
      </x:c>
      <x:c r="B190" s="83" t="s">
        <x:v>732</x:v>
      </x:c>
      <x:c r="C190" s="83" t="s">
        <x:v>451</x:v>
      </x:c>
      <x:c r="D190" s="83" t="s">
        <x:v>360</x:v>
      </x:c>
      <x:c r="E190" s="83" t="s">
        <x:v>441</x:v>
      </x:c>
      <x:c r="F190" s="83" t="s">
        <x:v>550</x:v>
      </x:c>
      <x:c r="G190" s="85" t="n">
        <x:v>46290</x:v>
      </x:c>
      <x:c r="H190" s="85" t="n">
        <x:v>46311</x:v>
      </x:c>
      <x:c r="I190" s="87" t="n">
        <x:v>67</x:v>
      </x:c>
      <x:c r="J190" s="83" t="s">
        <x:v>543</x:v>
      </x:c>
      <x:c r="K190" s="83"/>
      <x:c r="L190" s="83" t="s">
        <x:v>395</x:v>
      </x:c>
      <x:c r="M190" s="83" t="n">
        <x:v>50</x:v>
      </x:c>
      <x:c r="N190" s="83" t="n">
        <x:v>85</x:v>
      </x:c>
      <x:c r="O190" s="85" t="n">
        <x:v>46274</x:v>
      </x:c>
      <x:c r="P190" s="89" t="str">
        <x:f aca="0">A190&amp;TEXT(COUNTIF($A$6:A190,A190),"00")</x:f>
        <x:v>P03105</x:v>
      </x:c>
      <x:c r="Q190" s="89" t="str">
        <x:f aca="0">IF(I190&lt;100,A190&amp;"O"&amp;COUNTIFS($A$6:A190,A190,$I$6:I190,"&lt;100"),"")</x:f>
        <x:v>P031O5</x:v>
      </x:c>
      <x:c r="R190" s="89" t="str">
        <x:f aca="0">IF(I190&lt;100,D190&amp;"O"&amp;COUNTIFS($D$6:D190,D190,$I$6:I190,"&lt;100"),"")</x:f>
        <x:v>AmitO14</x:v>
      </x:c>
      <x:c r="S190" s="278" t="n">
        <x:f>IF(COUNTIF($B$6:$B$605,B190)&gt;1,1,0)</x:f>
        <x:v>0</x:v>
      </x:c>
    </x:row>
    <x:row r="191" ht="15" hidden="0">
      <x:c r="A191" s="83" t="s">
        <x:v>171</x:v>
      </x:c>
      <x:c r="B191" s="83" t="s">
        <x:v>733</x:v>
      </x:c>
      <x:c r="C191" s="83" t="s">
        <x:v>454</x:v>
      </x:c>
      <x:c r="D191" s="83" t="s">
        <x:v>475</x:v>
      </x:c>
      <x:c r="E191" s="83" t="s">
        <x:v>445</x:v>
      </x:c>
      <x:c r="F191" s="83" t="s">
        <x:v>493</x:v>
      </x:c>
      <x:c r="G191" s="85" t="n">
        <x:v>46304</x:v>
      </x:c>
      <x:c r="H191" s="85" t="n">
        <x:v>46322</x:v>
      </x:c>
      <x:c r="I191" s="87" t="n">
        <x:v>77</x:v>
      </x:c>
      <x:c r="J191" s="83" t="s">
        <x:v>543</x:v>
      </x:c>
      <x:c r="K191" s="83"/>
      <x:c r="L191" s="83" t="s">
        <x:v>395</x:v>
      </x:c>
      <x:c r="M191" s="83" t="n">
        <x:v>54</x:v>
      </x:c>
      <x:c r="N191" s="83" t="n">
        <x:v>19</x:v>
      </x:c>
      <x:c r="O191" s="85" t="n">
        <x:v>46274</x:v>
      </x:c>
      <x:c r="P191" s="89" t="str">
        <x:f aca="0">A191&amp;TEXT(COUNTIF($A$6:A191,A191),"00")</x:f>
        <x:v>P03106</x:v>
      </x:c>
      <x:c r="Q191" s="89" t="str">
        <x:f aca="0">IF(I191&lt;100,A191&amp;"O"&amp;COUNTIFS($A$6:A191,A191,$I$6:I191,"&lt;100"),"")</x:f>
        <x:v>P031O6</x:v>
      </x:c>
      <x:c r="R191" s="89" t="str">
        <x:f aca="0">IF(I191&lt;100,D191&amp;"O"&amp;COUNTIFS($D$6:D191,D191,$I$6:I191,"&lt;100"),"")</x:f>
        <x:v>PriyaO13</x:v>
      </x:c>
      <x:c r="S191" s="278" t="n">
        <x:f>IF(COUNTIF($B$6:$B$605,B191)&gt;1,1,0)</x:f>
        <x:v>0</x:v>
      </x:c>
    </x:row>
    <x:row r="192" ht="15" hidden="0">
      <x:c r="A192" s="83" t="s">
        <x:v>246</x:v>
      </x:c>
      <x:c r="B192" s="83" t="s">
        <x:v>734</x:v>
      </x:c>
      <x:c r="C192" s="83" t="s">
        <x:v>433</x:v>
      </x:c>
      <x:c r="D192" s="83" t="s">
        <x:v>452</x:v>
      </x:c>
      <x:c r="E192" s="83" t="s">
        <x:v>360</x:v>
      </x:c>
      <x:c r="F192" s="83" t="s">
        <x:v>550</x:v>
      </x:c>
      <x:c r="G192" s="85" t="n">
        <x:v>46235</x:v>
      </x:c>
      <x:c r="H192" s="85" t="n">
        <x:v>46250</x:v>
      </x:c>
      <x:c r="I192" s="87" t="n">
        <x:v>27</x:v>
      </x:c>
      <x:c r="J192" s="83" t="s">
        <x:v>543</x:v>
      </x:c>
      <x:c r="K192" s="83"/>
      <x:c r="L192" s="83" t="s">
        <x:v>395</x:v>
      </x:c>
      <x:c r="M192" s="83" t="n">
        <x:v>48</x:v>
      </x:c>
      <x:c r="N192" s="83" t="n">
        <x:v>47</x:v>
      </x:c>
      <x:c r="O192" s="85" t="n">
        <x:v>46274</x:v>
      </x:c>
      <x:c r="P192" s="89" t="str">
        <x:f aca="0">A192&amp;TEXT(COUNTIF($A$6:A192,A192),"00")</x:f>
        <x:v>P03201</x:v>
      </x:c>
      <x:c r="Q192" s="89" t="str">
        <x:f aca="0">IF(I192&lt;100,A192&amp;"O"&amp;COUNTIFS($A$6:A192,A192,$I$6:I192,"&lt;100"),"")</x:f>
        <x:v>P032O1</x:v>
      </x:c>
      <x:c r="R192" s="89" t="str">
        <x:f aca="0">IF(I192&lt;100,D192&amp;"O"&amp;COUNTIFS($D$6:D192,D192,$I$6:I192,"&lt;100"),"")</x:f>
        <x:v>KavyaO18</x:v>
      </x:c>
      <x:c r="S192" s="278" t="n">
        <x:f>IF(COUNTIF($B$6:$B$605,B192)&gt;1,1,0)</x:f>
        <x:v>0</x:v>
      </x:c>
    </x:row>
    <x:row r="193" ht="15" hidden="0">
      <x:c r="A193" s="83" t="s">
        <x:v>246</x:v>
      </x:c>
      <x:c r="B193" s="83" t="s">
        <x:v>735</x:v>
      </x:c>
      <x:c r="C193" s="83" t="s">
        <x:v>440</x:v>
      </x:c>
      <x:c r="D193" s="83" t="s">
        <x:v>455</x:v>
      </x:c>
      <x:c r="E193" s="83" t="s">
        <x:v>475</x:v>
      </x:c>
      <x:c r="F193" s="83" t="s">
        <x:v>550</x:v>
      </x:c>
      <x:c r="G193" s="85" t="n">
        <x:v>46249</x:v>
      </x:c>
      <x:c r="H193" s="85" t="n">
        <x:v>46272</x:v>
      </x:c>
      <x:c r="I193" s="87" t="n">
        <x:v>15</x:v>
      </x:c>
      <x:c r="J193" s="83" t="s">
        <x:v>543</x:v>
      </x:c>
      <x:c r="K193" s="83"/>
      <x:c r="L193" s="83" t="s">
        <x:v>395</x:v>
      </x:c>
      <x:c r="M193" s="83" t="n">
        <x:v>76</x:v>
      </x:c>
      <x:c r="N193" s="83" t="n">
        <x:v>20</x:v>
      </x:c>
      <x:c r="O193" s="85" t="n">
        <x:v>46274</x:v>
      </x:c>
      <x:c r="P193" s="89" t="str">
        <x:f aca="0">A193&amp;TEXT(COUNTIF($A$6:A193,A193),"00")</x:f>
        <x:v>P03202</x:v>
      </x:c>
      <x:c r="Q193" s="89" t="str">
        <x:f aca="0">IF(I193&lt;100,A193&amp;"O"&amp;COUNTIFS($A$6:A193,A193,$I$6:I193,"&lt;100"),"")</x:f>
        <x:v>P032O2</x:v>
      </x:c>
      <x:c r="R193" s="89" t="str">
        <x:f aca="0">IF(I193&lt;100,D193&amp;"O"&amp;COUNTIFS($D$6:D193,D193,$I$6:I193,"&lt;100"),"")</x:f>
        <x:v>RohanO16</x:v>
      </x:c>
      <x:c r="S193" s="278" t="n">
        <x:f>IF(COUNTIF($B$6:$B$605,B193)&gt;1,1,0)</x:f>
        <x:v>0</x:v>
      </x:c>
    </x:row>
    <x:row r="194" ht="15" hidden="0">
      <x:c r="A194" s="83" t="s">
        <x:v>246</x:v>
      </x:c>
      <x:c r="B194" s="83" t="s">
        <x:v>736</x:v>
      </x:c>
      <x:c r="C194" s="83" t="s">
        <x:v>444</x:v>
      </x:c>
      <x:c r="D194" s="83" t="s">
        <x:v>462</x:v>
      </x:c>
      <x:c r="E194" s="83" t="s">
        <x:v>434</x:v>
      </x:c>
      <x:c r="F194" s="83" t="s">
        <x:v>546</x:v>
      </x:c>
      <x:c r="G194" s="85" t="n">
        <x:v>46263</x:v>
      </x:c>
      <x:c r="H194" s="85" t="n">
        <x:v>46277</x:v>
      </x:c>
      <x:c r="I194" s="87" t="n">
        <x:v>17</x:v>
      </x:c>
      <x:c r="J194" s="83" t="s">
        <x:v>543</x:v>
      </x:c>
      <x:c r="K194" s="83"/>
      <x:c r="L194" s="83" t="s">
        <x:v>395</x:v>
      </x:c>
      <x:c r="M194" s="83" t="n">
        <x:v>61</x:v>
      </x:c>
      <x:c r="N194" s="83" t="n">
        <x:v>80</x:v>
      </x:c>
      <x:c r="O194" s="85" t="n">
        <x:v>46274</x:v>
      </x:c>
      <x:c r="P194" s="89" t="str">
        <x:f aca="0">A194&amp;TEXT(COUNTIF($A$6:A194,A194),"00")</x:f>
        <x:v>P03203</x:v>
      </x:c>
      <x:c r="Q194" s="89" t="str">
        <x:f aca="0">IF(I194&lt;100,A194&amp;"O"&amp;COUNTIFS($A$6:A194,A194,$I$6:I194,"&lt;100"),"")</x:f>
        <x:v>P032O3</x:v>
      </x:c>
      <x:c r="R194" s="89" t="str">
        <x:f aca="0">IF(I194&lt;100,D194&amp;"O"&amp;COUNTIFS($D$6:D194,D194,$I$6:I194,"&lt;100"),"")</x:f>
        <x:v>DeepaO16</x:v>
      </x:c>
      <x:c r="S194" s="278" t="n">
        <x:f>IF(COUNTIF($B$6:$B$605,B194)&gt;1,1,0)</x:f>
        <x:v>0</x:v>
      </x:c>
    </x:row>
    <x:row r="195" ht="15" hidden="0">
      <x:c r="A195" s="83" t="s">
        <x:v>246</x:v>
      </x:c>
      <x:c r="B195" s="83" t="s">
        <x:v>737</x:v>
      </x:c>
      <x:c r="C195" s="83" t="s">
        <x:v>448</x:v>
      </x:c>
      <x:c r="D195" s="83" t="s">
        <x:v>360</x:v>
      </x:c>
      <x:c r="E195" s="83" t="s">
        <x:v>441</x:v>
      </x:c>
      <x:c r="F195" s="83" t="s">
        <x:v>493</x:v>
      </x:c>
      <x:c r="G195" s="85" t="n">
        <x:v>46277</x:v>
      </x:c>
      <x:c r="H195" s="85" t="n">
        <x:v>46286</x:v>
      </x:c>
      <x:c r="I195" s="87" t="n">
        <x:v>26</x:v>
      </x:c>
      <x:c r="J195" s="83" t="s">
        <x:v>543</x:v>
      </x:c>
      <x:c r="K195" s="83"/>
      <x:c r="L195" s="83" t="s">
        <x:v>395</x:v>
      </x:c>
      <x:c r="M195" s="83" t="n">
        <x:v>20</x:v>
      </x:c>
      <x:c r="N195" s="83" t="n">
        <x:v>81</x:v>
      </x:c>
      <x:c r="O195" s="85" t="n">
        <x:v>46274</x:v>
      </x:c>
      <x:c r="P195" s="89" t="str">
        <x:f aca="0">A195&amp;TEXT(COUNTIF($A$6:A195,A195),"00")</x:f>
        <x:v>P03204</x:v>
      </x:c>
      <x:c r="Q195" s="89" t="str">
        <x:f aca="0">IF(I195&lt;100,A195&amp;"O"&amp;COUNTIFS($A$6:A195,A195,$I$6:I195,"&lt;100"),"")</x:f>
        <x:v>P032O4</x:v>
      </x:c>
      <x:c r="R195" s="89" t="str">
        <x:f aca="0">IF(I195&lt;100,D195&amp;"O"&amp;COUNTIFS($D$6:D195,D195,$I$6:I195,"&lt;100"),"")</x:f>
        <x:v>AmitO15</x:v>
      </x:c>
      <x:c r="S195" s="278" t="n">
        <x:f>IF(COUNTIF($B$6:$B$605,B195)&gt;1,1,0)</x:f>
        <x:v>0</x:v>
      </x:c>
    </x:row>
    <x:row r="196" ht="15" hidden="0">
      <x:c r="A196" s="83" t="s">
        <x:v>246</x:v>
      </x:c>
      <x:c r="B196" s="83" t="s">
        <x:v>738</x:v>
      </x:c>
      <x:c r="C196" s="83" t="s">
        <x:v>451</x:v>
      </x:c>
      <x:c r="D196" s="83" t="s">
        <x:v>475</x:v>
      </x:c>
      <x:c r="E196" s="83" t="s">
        <x:v>445</x:v>
      </x:c>
      <x:c r="F196" s="83" t="s">
        <x:v>550</x:v>
      </x:c>
      <x:c r="G196" s="85" t="n">
        <x:v>46291</x:v>
      </x:c>
      <x:c r="H196" s="85" t="n">
        <x:v>46309</x:v>
      </x:c>
      <x:c r="I196" s="87" t="n">
        <x:v>26</x:v>
      </x:c>
      <x:c r="J196" s="83" t="s">
        <x:v>543</x:v>
      </x:c>
      <x:c r="K196" s="83"/>
      <x:c r="L196" s="83" t="s">
        <x:v>395</x:v>
      </x:c>
      <x:c r="M196" s="83" t="n">
        <x:v>51</x:v>
      </x:c>
      <x:c r="N196" s="83" t="n">
        <x:v>75</x:v>
      </x:c>
      <x:c r="O196" s="85" t="n">
        <x:v>46274</x:v>
      </x:c>
      <x:c r="P196" s="89" t="str">
        <x:f aca="0">A196&amp;TEXT(COUNTIF($A$6:A196,A196),"00")</x:f>
        <x:v>P03205</x:v>
      </x:c>
      <x:c r="Q196" s="89" t="str">
        <x:f aca="0">IF(I196&lt;100,A196&amp;"O"&amp;COUNTIFS($A$6:A196,A196,$I$6:I196,"&lt;100"),"")</x:f>
        <x:v>P032O5</x:v>
      </x:c>
      <x:c r="R196" s="89" t="str">
        <x:f aca="0">IF(I196&lt;100,D196&amp;"O"&amp;COUNTIFS($D$6:D196,D196,$I$6:I196,"&lt;100"),"")</x:f>
        <x:v>PriyaO14</x:v>
      </x:c>
      <x:c r="S196" s="278" t="n">
        <x:f>IF(COUNTIF($B$6:$B$605,B196)&gt;1,1,0)</x:f>
        <x:v>0</x:v>
      </x:c>
    </x:row>
    <x:row r="197" ht="15" hidden="0">
      <x:c r="A197" s="83" t="s">
        <x:v>246</x:v>
      </x:c>
      <x:c r="B197" s="83" t="s">
        <x:v>739</x:v>
      </x:c>
      <x:c r="C197" s="83" t="s">
        <x:v>454</x:v>
      </x:c>
      <x:c r="D197" s="83" t="s">
        <x:v>434</x:v>
      </x:c>
      <x:c r="E197" s="83" t="s">
        <x:v>435</x:v>
      </x:c>
      <x:c r="F197" s="83" t="s">
        <x:v>557</x:v>
      </x:c>
      <x:c r="G197" s="85" t="n">
        <x:v>46305</x:v>
      </x:c>
      <x:c r="H197" s="85" t="n">
        <x:v>46319</x:v>
      </x:c>
      <x:c r="I197" s="87" t="n">
        <x:v>21</x:v>
      </x:c>
      <x:c r="J197" s="83" t="s">
        <x:v>543</x:v>
      </x:c>
      <x:c r="K197" s="83"/>
      <x:c r="L197" s="83" t="s">
        <x:v>395</x:v>
      </x:c>
      <x:c r="M197" s="83" t="n">
        <x:v>80</x:v>
      </x:c>
      <x:c r="N197" s="83" t="n">
        <x:v>86</x:v>
      </x:c>
      <x:c r="O197" s="85" t="n">
        <x:v>46274</x:v>
      </x:c>
      <x:c r="P197" s="89" t="str">
        <x:f aca="0">A197&amp;TEXT(COUNTIF($A$6:A197,A197),"00")</x:f>
        <x:v>P03206</x:v>
      </x:c>
      <x:c r="Q197" s="89" t="str">
        <x:f aca="0">IF(I197&lt;100,A197&amp;"O"&amp;COUNTIFS($A$6:A197,A197,$I$6:I197,"&lt;100"),"")</x:f>
        <x:v>P032O6</x:v>
      </x:c>
      <x:c r="R197" s="89" t="str">
        <x:f aca="0">IF(I197&lt;100,D197&amp;"O"&amp;COUNTIFS($D$6:D197,D197,$I$6:I197,"&lt;100"),"")</x:f>
        <x:v>RahulO13</x:v>
      </x:c>
      <x:c r="S197" s="278" t="n">
        <x:f>IF(COUNTIF($B$6:$B$605,B197)&gt;1,1,0)</x:f>
        <x:v>0</x:v>
      </x:c>
    </x:row>
    <x:row r="198" ht="15" hidden="0">
      <x:c r="A198" s="83" t="s">
        <x:v>252</x:v>
      </x:c>
      <x:c r="B198" s="83" t="s">
        <x:v>740</x:v>
      </x:c>
      <x:c r="C198" s="83" t="s">
        <x:v>433</x:v>
      </x:c>
      <x:c r="D198" s="83" t="s">
        <x:v>455</x:v>
      </x:c>
      <x:c r="E198" s="83" t="s">
        <x:v>475</x:v>
      </x:c>
      <x:c r="F198" s="83" t="s">
        <x:v>493</x:v>
      </x:c>
      <x:c r="G198" s="85" t="n">
        <x:v>46236</x:v>
      </x:c>
      <x:c r="H198" s="85" t="n">
        <x:v>46249</x:v>
      </x:c>
      <x:c r="I198" s="87" t="n">
        <x:v>26</x:v>
      </x:c>
      <x:c r="J198" s="83" t="s">
        <x:v>543</x:v>
      </x:c>
      <x:c r="K198" s="83" t="s">
        <x:v>396</x:v>
      </x:c>
      <x:c r="L198" s="83" t="s">
        <x:v>395</x:v>
      </x:c>
      <x:c r="M198" s="83" t="n">
        <x:v>85</x:v>
      </x:c>
      <x:c r="N198" s="83" t="n">
        <x:v>46</x:v>
      </x:c>
      <x:c r="O198" s="85" t="n">
        <x:v>46274</x:v>
      </x:c>
      <x:c r="P198" s="89" t="str">
        <x:f aca="0">A198&amp;TEXT(COUNTIF($A$6:A198,A198),"00")</x:f>
        <x:v>P03301</x:v>
      </x:c>
      <x:c r="Q198" s="89" t="str">
        <x:f aca="0">IF(I198&lt;100,A198&amp;"O"&amp;COUNTIFS($A$6:A198,A198,$I$6:I198,"&lt;100"),"")</x:f>
        <x:v>P033O1</x:v>
      </x:c>
      <x:c r="R198" s="89" t="str">
        <x:f aca="0">IF(I198&lt;100,D198&amp;"O"&amp;COUNTIFS($D$6:D198,D198,$I$6:I198,"&lt;100"),"")</x:f>
        <x:v>RohanO17</x:v>
      </x:c>
      <x:c r="S198" s="278" t="n">
        <x:f>IF(COUNTIF($B$6:$B$605,B198)&gt;1,1,0)</x:f>
        <x:v>0</x:v>
      </x:c>
    </x:row>
    <x:row r="199" ht="15" hidden="0">
      <x:c r="A199" s="83" t="s">
        <x:v>252</x:v>
      </x:c>
      <x:c r="B199" s="83" t="s">
        <x:v>741</x:v>
      </x:c>
      <x:c r="C199" s="83" t="s">
        <x:v>440</x:v>
      </x:c>
      <x:c r="D199" s="83" t="s">
        <x:v>462</x:v>
      </x:c>
      <x:c r="E199" s="83" t="s">
        <x:v>434</x:v>
      </x:c>
      <x:c r="F199" s="83" t="s">
        <x:v>550</x:v>
      </x:c>
      <x:c r="G199" s="85" t="n">
        <x:v>46250</x:v>
      </x:c>
      <x:c r="H199" s="85" t="n">
        <x:v>46274</x:v>
      </x:c>
      <x:c r="I199" s="87" t="n">
        <x:v>54</x:v>
      </x:c>
      <x:c r="J199" s="83" t="s">
        <x:v>543</x:v>
      </x:c>
      <x:c r="K199" s="83"/>
      <x:c r="L199" s="83" t="s">
        <x:v>395</x:v>
      </x:c>
      <x:c r="M199" s="83" t="n">
        <x:v>82</x:v>
      </x:c>
      <x:c r="N199" s="83" t="n">
        <x:v>91</x:v>
      </x:c>
      <x:c r="O199" s="85" t="n">
        <x:v>46274</x:v>
      </x:c>
      <x:c r="P199" s="89" t="str">
        <x:f aca="0">A199&amp;TEXT(COUNTIF($A$6:A199,A199),"00")</x:f>
        <x:v>P03302</x:v>
      </x:c>
      <x:c r="Q199" s="89" t="str">
        <x:f aca="0">IF(I199&lt;100,A199&amp;"O"&amp;COUNTIFS($A$6:A199,A199,$I$6:I199,"&lt;100"),"")</x:f>
        <x:v>P033O2</x:v>
      </x:c>
      <x:c r="R199" s="89" t="str">
        <x:f aca="0">IF(I199&lt;100,D199&amp;"O"&amp;COUNTIFS($D$6:D199,D199,$I$6:I199,"&lt;100"),"")</x:f>
        <x:v>DeepaO17</x:v>
      </x:c>
      <x:c r="S199" s="278" t="n">
        <x:f>IF(COUNTIF($B$6:$B$605,B199)&gt;1,1,0)</x:f>
        <x:v>0</x:v>
      </x:c>
    </x:row>
    <x:row r="200" ht="15" hidden="0">
      <x:c r="A200" s="83" t="s">
        <x:v>252</x:v>
      </x:c>
      <x:c r="B200" s="83" t="s">
        <x:v>742</x:v>
      </x:c>
      <x:c r="C200" s="83" t="s">
        <x:v>444</x:v>
      </x:c>
      <x:c r="D200" s="83" t="s">
        <x:v>360</x:v>
      </x:c>
      <x:c r="E200" s="83" t="s">
        <x:v>441</x:v>
      </x:c>
      <x:c r="F200" s="83" t="s">
        <x:v>546</x:v>
      </x:c>
      <x:c r="G200" s="85" t="n">
        <x:v>46264</x:v>
      </x:c>
      <x:c r="H200" s="85" t="n">
        <x:v>46277</x:v>
      </x:c>
      <x:c r="I200" s="87" t="n">
        <x:v>31</x:v>
      </x:c>
      <x:c r="J200" s="83" t="s">
        <x:v>543</x:v>
      </x:c>
      <x:c r="K200" s="83"/>
      <x:c r="L200" s="83" t="s">
        <x:v>395</x:v>
      </x:c>
      <x:c r="M200" s="83" t="n">
        <x:v>99</x:v>
      </x:c>
      <x:c r="N200" s="83" t="n">
        <x:v>31</x:v>
      </x:c>
      <x:c r="O200" s="85" t="n">
        <x:v>46274</x:v>
      </x:c>
      <x:c r="P200" s="89" t="str">
        <x:f aca="0">A200&amp;TEXT(COUNTIF($A$6:A200,A200),"00")</x:f>
        <x:v>P03303</x:v>
      </x:c>
      <x:c r="Q200" s="89" t="str">
        <x:f aca="0">IF(I200&lt;100,A200&amp;"O"&amp;COUNTIFS($A$6:A200,A200,$I$6:I200,"&lt;100"),"")</x:f>
        <x:v>P033O3</x:v>
      </x:c>
      <x:c r="R200" s="89" t="str">
        <x:f aca="0">IF(I200&lt;100,D200&amp;"O"&amp;COUNTIFS($D$6:D200,D200,$I$6:I200,"&lt;100"),"")</x:f>
        <x:v>AmitO16</x:v>
      </x:c>
      <x:c r="S200" s="278" t="n">
        <x:f>IF(COUNTIF($B$6:$B$605,B200)&gt;1,1,0)</x:f>
        <x:v>0</x:v>
      </x:c>
    </x:row>
    <x:row r="201" ht="15" hidden="0">
      <x:c r="A201" s="83" t="s">
        <x:v>252</x:v>
      </x:c>
      <x:c r="B201" s="83" t="s">
        <x:v>743</x:v>
      </x:c>
      <x:c r="C201" s="83" t="s">
        <x:v>448</x:v>
      </x:c>
      <x:c r="D201" s="83" t="s">
        <x:v>475</x:v>
      </x:c>
      <x:c r="E201" s="83" t="s">
        <x:v>445</x:v>
      </x:c>
      <x:c r="F201" s="83" t="s">
        <x:v>557</x:v>
      </x:c>
      <x:c r="G201" s="85" t="n">
        <x:v>46278</x:v>
      </x:c>
      <x:c r="H201" s="85" t="n">
        <x:v>46289</x:v>
      </x:c>
      <x:c r="I201" s="87" t="n">
        <x:v>50</x:v>
      </x:c>
      <x:c r="J201" s="83" t="s">
        <x:v>543</x:v>
      </x:c>
      <x:c r="K201" s="83"/>
      <x:c r="L201" s="83" t="s">
        <x:v>395</x:v>
      </x:c>
      <x:c r="M201" s="83" t="n">
        <x:v>42</x:v>
      </x:c>
      <x:c r="N201" s="83" t="n">
        <x:v>101</x:v>
      </x:c>
      <x:c r="O201" s="85" t="n">
        <x:v>46274</x:v>
      </x:c>
      <x:c r="P201" s="89" t="str">
        <x:f aca="0">A201&amp;TEXT(COUNTIF($A$6:A201,A201),"00")</x:f>
        <x:v>P03304</x:v>
      </x:c>
      <x:c r="Q201" s="89" t="str">
        <x:f aca="0">IF(I201&lt;100,A201&amp;"O"&amp;COUNTIFS($A$6:A201,A201,$I$6:I201,"&lt;100"),"")</x:f>
        <x:v>P033O4</x:v>
      </x:c>
      <x:c r="R201" s="89" t="str">
        <x:f aca="0">IF(I201&lt;100,D201&amp;"O"&amp;COUNTIFS($D$6:D201,D201,$I$6:I201,"&lt;100"),"")</x:f>
        <x:v>PriyaO15</x:v>
      </x:c>
      <x:c r="S201" s="278" t="n">
        <x:f>IF(COUNTIF($B$6:$B$605,B201)&gt;1,1,0)</x:f>
        <x:v>0</x:v>
      </x:c>
    </x:row>
    <x:row r="202" ht="15" hidden="0">
      <x:c r="A202" s="83" t="s">
        <x:v>252</x:v>
      </x:c>
      <x:c r="B202" s="83" t="s">
        <x:v>744</x:v>
      </x:c>
      <x:c r="C202" s="83" t="s">
        <x:v>451</x:v>
      </x:c>
      <x:c r="D202" s="83" t="s">
        <x:v>434</x:v>
      </x:c>
      <x:c r="E202" s="83" t="s">
        <x:v>435</x:v>
      </x:c>
      <x:c r="F202" s="83" t="s">
        <x:v>546</x:v>
      </x:c>
      <x:c r="G202" s="85" t="n">
        <x:v>46292</x:v>
      </x:c>
      <x:c r="H202" s="85" t="n">
        <x:v>46316</x:v>
      </x:c>
      <x:c r="I202" s="87" t="n">
        <x:v>55</x:v>
      </x:c>
      <x:c r="J202" s="83" t="s">
        <x:v>543</x:v>
      </x:c>
      <x:c r="K202" s="83"/>
      <x:c r="L202" s="83" t="s">
        <x:v>395</x:v>
      </x:c>
      <x:c r="M202" s="83" t="n">
        <x:v>28</x:v>
      </x:c>
      <x:c r="N202" s="83" t="n">
        <x:v>32</x:v>
      </x:c>
      <x:c r="O202" s="85" t="n">
        <x:v>46274</x:v>
      </x:c>
      <x:c r="P202" s="89" t="str">
        <x:f aca="0">A202&amp;TEXT(COUNTIF($A$6:A202,A202),"00")</x:f>
        <x:v>P03305</x:v>
      </x:c>
      <x:c r="Q202" s="89" t="str">
        <x:f aca="0">IF(I202&lt;100,A202&amp;"O"&amp;COUNTIFS($A$6:A202,A202,$I$6:I202,"&lt;100"),"")</x:f>
        <x:v>P033O5</x:v>
      </x:c>
      <x:c r="R202" s="89" t="str">
        <x:f aca="0">IF(I202&lt;100,D202&amp;"O"&amp;COUNTIFS($D$6:D202,D202,$I$6:I202,"&lt;100"),"")</x:f>
        <x:v>RahulO14</x:v>
      </x:c>
      <x:c r="S202" s="278" t="n">
        <x:f>IF(COUNTIF($B$6:$B$605,B202)&gt;1,1,0)</x:f>
        <x:v>0</x:v>
      </x:c>
    </x:row>
    <x:row r="203" ht="15" hidden="0">
      <x:c r="A203" s="83" t="s">
        <x:v>252</x:v>
      </x:c>
      <x:c r="B203" s="83" t="s">
        <x:v>745</x:v>
      </x:c>
      <x:c r="C203" s="83" t="s">
        <x:v>454</x:v>
      </x:c>
      <x:c r="D203" s="83" t="s">
        <x:v>441</x:v>
      </x:c>
      <x:c r="E203" s="83" t="s">
        <x:v>442</x:v>
      </x:c>
      <x:c r="F203" s="83" t="s">
        <x:v>550</x:v>
      </x:c>
      <x:c r="G203" s="85" t="n">
        <x:v>46306</x:v>
      </x:c>
      <x:c r="H203" s="85" t="n">
        <x:v>46330</x:v>
      </x:c>
      <x:c r="I203" s="87" t="n">
        <x:v>27</x:v>
      </x:c>
      <x:c r="J203" s="83" t="s">
        <x:v>543</x:v>
      </x:c>
      <x:c r="K203" s="83"/>
      <x:c r="L203" s="83" t="s">
        <x:v>395</x:v>
      </x:c>
      <x:c r="M203" s="83" t="n">
        <x:v>81</x:v>
      </x:c>
      <x:c r="N203" s="83" t="n">
        <x:v>75</x:v>
      </x:c>
      <x:c r="O203" s="85" t="n">
        <x:v>46274</x:v>
      </x:c>
      <x:c r="P203" s="89" t="str">
        <x:f aca="0">A203&amp;TEXT(COUNTIF($A$6:A203,A203),"00")</x:f>
        <x:v>P03306</x:v>
      </x:c>
      <x:c r="Q203" s="89" t="str">
        <x:f aca="0">IF(I203&lt;100,A203&amp;"O"&amp;COUNTIFS($A$6:A203,A203,$I$6:I203,"&lt;100"),"")</x:f>
        <x:v>P033O6</x:v>
      </x:c>
      <x:c r="R203" s="89" t="str">
        <x:f aca="0">IF(I203&lt;100,D203&amp;"O"&amp;COUNTIFS($D$6:D203,D203,$I$6:I203,"&lt;100"),"")</x:f>
        <x:v>KaranO15</x:v>
      </x:c>
      <x:c r="S203" s="278" t="n">
        <x:f>IF(COUNTIF($B$6:$B$605,B203)&gt;1,1,0)</x:f>
        <x:v>0</x:v>
      </x:c>
    </x:row>
    <x:row r="204" ht="15" hidden="0">
      <x:c r="A204" s="83" t="s">
        <x:v>173</x:v>
      </x:c>
      <x:c r="B204" s="83" t="s">
        <x:v>746</x:v>
      </x:c>
      <x:c r="C204" s="83" t="s">
        <x:v>433</x:v>
      </x:c>
      <x:c r="D204" s="83" t="s">
        <x:v>462</x:v>
      </x:c>
      <x:c r="E204" s="83" t="s">
        <x:v>434</x:v>
      </x:c>
      <x:c r="F204" s="83" t="s">
        <x:v>550</x:v>
      </x:c>
      <x:c r="G204" s="85" t="n">
        <x:v>46237</x:v>
      </x:c>
      <x:c r="H204" s="85" t="n">
        <x:v>46253</x:v>
      </x:c>
      <x:c r="I204" s="87" t="n">
        <x:v>94</x:v>
      </x:c>
      <x:c r="J204" s="83" t="s">
        <x:v>543</x:v>
      </x:c>
      <x:c r="K204" s="83"/>
      <x:c r="L204" s="83" t="s">
        <x:v>395</x:v>
      </x:c>
      <x:c r="M204" s="83" t="n">
        <x:v>37</x:v>
      </x:c>
      <x:c r="N204" s="83" t="n">
        <x:v>73</x:v>
      </x:c>
      <x:c r="O204" s="85" t="n">
        <x:v>46274</x:v>
      </x:c>
      <x:c r="P204" s="89" t="str">
        <x:f aca="0">A204&amp;TEXT(COUNTIF($A$6:A204,A204),"00")</x:f>
        <x:v>P03401</x:v>
      </x:c>
      <x:c r="Q204" s="89" t="str">
        <x:f aca="0">IF(I204&lt;100,A204&amp;"O"&amp;COUNTIFS($A$6:A204,A204,$I$6:I204,"&lt;100"),"")</x:f>
        <x:v>P034O1</x:v>
      </x:c>
      <x:c r="R204" s="89" t="str">
        <x:f aca="0">IF(I204&lt;100,D204&amp;"O"&amp;COUNTIFS($D$6:D204,D204,$I$6:I204,"&lt;100"),"")</x:f>
        <x:v>DeepaO18</x:v>
      </x:c>
      <x:c r="S204" s="278" t="n">
        <x:f>IF(COUNTIF($B$6:$B$605,B204)&gt;1,1,0)</x:f>
        <x:v>0</x:v>
      </x:c>
    </x:row>
    <x:row r="205" ht="15" hidden="0">
      <x:c r="A205" s="83" t="s">
        <x:v>173</x:v>
      </x:c>
      <x:c r="B205" s="83" t="s">
        <x:v>747</x:v>
      </x:c>
      <x:c r="C205" s="83" t="s">
        <x:v>440</x:v>
      </x:c>
      <x:c r="D205" s="83" t="s">
        <x:v>360</x:v>
      </x:c>
      <x:c r="E205" s="83" t="s">
        <x:v>441</x:v>
      </x:c>
      <x:c r="F205" s="83" t="s">
        <x:v>557</x:v>
      </x:c>
      <x:c r="G205" s="85" t="n">
        <x:v>46251</x:v>
      </x:c>
      <x:c r="H205" s="85" t="n">
        <x:v>46265</x:v>
      </x:c>
      <x:c r="I205" s="87" t="n">
        <x:v>81</x:v>
      </x:c>
      <x:c r="J205" s="83" t="s">
        <x:v>543</x:v>
      </x:c>
      <x:c r="K205" s="83"/>
      <x:c r="L205" s="83" t="s">
        <x:v>395</x:v>
      </x:c>
      <x:c r="M205" s="83" t="n">
        <x:v>85</x:v>
      </x:c>
      <x:c r="N205" s="83" t="n">
        <x:v>52</x:v>
      </x:c>
      <x:c r="O205" s="85" t="n">
        <x:v>46274</x:v>
      </x:c>
      <x:c r="P205" s="89" t="str">
        <x:f aca="0">A205&amp;TEXT(COUNTIF($A$6:A205,A205),"00")</x:f>
        <x:v>P03402</x:v>
      </x:c>
      <x:c r="Q205" s="89" t="str">
        <x:f aca="0">IF(I205&lt;100,A205&amp;"O"&amp;COUNTIFS($A$6:A205,A205,$I$6:I205,"&lt;100"),"")</x:f>
        <x:v>P034O2</x:v>
      </x:c>
      <x:c r="R205" s="89" t="str">
        <x:f aca="0">IF(I205&lt;100,D205&amp;"O"&amp;COUNTIFS($D$6:D205,D205,$I$6:I205,"&lt;100"),"")</x:f>
        <x:v>AmitO17</x:v>
      </x:c>
      <x:c r="S205" s="278" t="n">
        <x:f>IF(COUNTIF($B$6:$B$605,B205)&gt;1,1,0)</x:f>
        <x:v>0</x:v>
      </x:c>
    </x:row>
    <x:row r="206" ht="15" hidden="0">
      <x:c r="A206" s="83" t="s">
        <x:v>173</x:v>
      </x:c>
      <x:c r="B206" s="83" t="s">
        <x:v>748</x:v>
      </x:c>
      <x:c r="C206" s="83" t="s">
        <x:v>444</x:v>
      </x:c>
      <x:c r="D206" s="83" t="s">
        <x:v>475</x:v>
      </x:c>
      <x:c r="E206" s="83" t="s">
        <x:v>445</x:v>
      </x:c>
      <x:c r="F206" s="83" t="s">
        <x:v>493</x:v>
      </x:c>
      <x:c r="G206" s="85" t="n">
        <x:v>46265</x:v>
      </x:c>
      <x:c r="H206" s="85" t="n">
        <x:v>46283</x:v>
      </x:c>
      <x:c r="I206" s="87" t="n">
        <x:v>87</x:v>
      </x:c>
      <x:c r="J206" s="83" t="s">
        <x:v>543</x:v>
      </x:c>
      <x:c r="K206" s="83"/>
      <x:c r="L206" s="83" t="s">
        <x:v>395</x:v>
      </x:c>
      <x:c r="M206" s="83" t="n">
        <x:v>90</x:v>
      </x:c>
      <x:c r="N206" s="83" t="n">
        <x:v>52</x:v>
      </x:c>
      <x:c r="O206" s="85" t="n">
        <x:v>46274</x:v>
      </x:c>
      <x:c r="P206" s="89" t="str">
        <x:f aca="0">A206&amp;TEXT(COUNTIF($A$6:A206,A206),"00")</x:f>
        <x:v>P03403</x:v>
      </x:c>
      <x:c r="Q206" s="89" t="str">
        <x:f aca="0">IF(I206&lt;100,A206&amp;"O"&amp;COUNTIFS($A$6:A206,A206,$I$6:I206,"&lt;100"),"")</x:f>
        <x:v>P034O3</x:v>
      </x:c>
      <x:c r="R206" s="89" t="str">
        <x:f aca="0">IF(I206&lt;100,D206&amp;"O"&amp;COUNTIFS($D$6:D206,D206,$I$6:I206,"&lt;100"),"")</x:f>
        <x:v>PriyaO16</x:v>
      </x:c>
      <x:c r="S206" s="278" t="n">
        <x:f>IF(COUNTIF($B$6:$B$605,B206)&gt;1,1,0)</x:f>
        <x:v>0</x:v>
      </x:c>
    </x:row>
    <x:row r="207" ht="15" hidden="0">
      <x:c r="A207" s="83" t="s">
        <x:v>173</x:v>
      </x:c>
      <x:c r="B207" s="83" t="s">
        <x:v>749</x:v>
      </x:c>
      <x:c r="C207" s="83" t="s">
        <x:v>448</x:v>
      </x:c>
      <x:c r="D207" s="83" t="s">
        <x:v>434</x:v>
      </x:c>
      <x:c r="E207" s="83" t="s">
        <x:v>435</x:v>
      </x:c>
      <x:c r="F207" s="83" t="s">
        <x:v>493</x:v>
      </x:c>
      <x:c r="G207" s="85" t="n">
        <x:v>46279</x:v>
      </x:c>
      <x:c r="H207" s="85" t="n">
        <x:v>46293</x:v>
      </x:c>
      <x:c r="I207" s="87" t="n">
        <x:v>92</x:v>
      </x:c>
      <x:c r="J207" s="83" t="s">
        <x:v>543</x:v>
      </x:c>
      <x:c r="K207" s="83"/>
      <x:c r="L207" s="83" t="s">
        <x:v>395</x:v>
      </x:c>
      <x:c r="M207" s="83" t="n">
        <x:v>63</x:v>
      </x:c>
      <x:c r="N207" s="83" t="n">
        <x:v>48</x:v>
      </x:c>
      <x:c r="O207" s="85" t="n">
        <x:v>46274</x:v>
      </x:c>
      <x:c r="P207" s="89" t="str">
        <x:f aca="0">A207&amp;TEXT(COUNTIF($A$6:A207,A207),"00")</x:f>
        <x:v>P03404</x:v>
      </x:c>
      <x:c r="Q207" s="89" t="str">
        <x:f aca="0">IF(I207&lt;100,A207&amp;"O"&amp;COUNTIFS($A$6:A207,A207,$I$6:I207,"&lt;100"),"")</x:f>
        <x:v>P034O4</x:v>
      </x:c>
      <x:c r="R207" s="89" t="str">
        <x:f aca="0">IF(I207&lt;100,D207&amp;"O"&amp;COUNTIFS($D$6:D207,D207,$I$6:I207,"&lt;100"),"")</x:f>
        <x:v>RahulO15</x:v>
      </x:c>
      <x:c r="S207" s="278" t="n">
        <x:f>IF(COUNTIF($B$6:$B$605,B207)&gt;1,1,0)</x:f>
        <x:v>0</x:v>
      </x:c>
    </x:row>
    <x:row r="208" ht="15" hidden="0">
      <x:c r="A208" s="83" t="s">
        <x:v>173</x:v>
      </x:c>
      <x:c r="B208" s="83" t="s">
        <x:v>750</x:v>
      </x:c>
      <x:c r="C208" s="83" t="s">
        <x:v>451</x:v>
      </x:c>
      <x:c r="D208" s="83" t="s">
        <x:v>441</x:v>
      </x:c>
      <x:c r="E208" s="83" t="s">
        <x:v>442</x:v>
      </x:c>
      <x:c r="F208" s="83" t="s">
        <x:v>557</x:v>
      </x:c>
      <x:c r="G208" s="85" t="n">
        <x:v>46293</x:v>
      </x:c>
      <x:c r="H208" s="85" t="n">
        <x:v>46314</x:v>
      </x:c>
      <x:c r="I208" s="87" t="n">
        <x:v>98</x:v>
      </x:c>
      <x:c r="J208" s="83" t="s">
        <x:v>543</x:v>
      </x:c>
      <x:c r="K208" s="83" t="s">
        <x:v>396</x:v>
      </x:c>
      <x:c r="L208" s="83" t="s">
        <x:v>395</x:v>
      </x:c>
      <x:c r="M208" s="83" t="n">
        <x:v>99</x:v>
      </x:c>
      <x:c r="N208" s="83" t="n">
        <x:v>17</x:v>
      </x:c>
      <x:c r="O208" s="85" t="n">
        <x:v>46274</x:v>
      </x:c>
      <x:c r="P208" s="89" t="str">
        <x:f aca="0">A208&amp;TEXT(COUNTIF($A$6:A208,A208),"00")</x:f>
        <x:v>P03405</x:v>
      </x:c>
      <x:c r="Q208" s="89" t="str">
        <x:f aca="0">IF(I208&lt;100,A208&amp;"O"&amp;COUNTIFS($A$6:A208,A208,$I$6:I208,"&lt;100"),"")</x:f>
        <x:v>P034O5</x:v>
      </x:c>
      <x:c r="R208" s="89" t="str">
        <x:f aca="0">IF(I208&lt;100,D208&amp;"O"&amp;COUNTIFS($D$6:D208,D208,$I$6:I208,"&lt;100"),"")</x:f>
        <x:v>KaranO16</x:v>
      </x:c>
      <x:c r="S208" s="278" t="n">
        <x:f>IF(COUNTIF($B$6:$B$605,B208)&gt;1,1,0)</x:f>
        <x:v>0</x:v>
      </x:c>
    </x:row>
    <x:row r="209" ht="15" hidden="0">
      <x:c r="A209" s="83" t="s">
        <x:v>173</x:v>
      </x:c>
      <x:c r="B209" s="83" t="s">
        <x:v>751</x:v>
      </x:c>
      <x:c r="C209" s="83" t="s">
        <x:v>454</x:v>
      </x:c>
      <x:c r="D209" s="83" t="s">
        <x:v>445</x:v>
      </x:c>
      <x:c r="E209" s="83" t="s">
        <x:v>446</x:v>
      </x:c>
      <x:c r="F209" s="83" t="s">
        <x:v>557</x:v>
      </x:c>
      <x:c r="G209" s="85" t="n">
        <x:v>46307</x:v>
      </x:c>
      <x:c r="H209" s="85" t="n">
        <x:v>46328</x:v>
      </x:c>
      <x:c r="I209" s="87" t="n">
        <x:v>78</x:v>
      </x:c>
      <x:c r="J209" s="83" t="s">
        <x:v>543</x:v>
      </x:c>
      <x:c r="K209" s="83"/>
      <x:c r="L209" s="83" t="s">
        <x:v>395</x:v>
      </x:c>
      <x:c r="M209" s="83" t="n">
        <x:v>87</x:v>
      </x:c>
      <x:c r="N209" s="83" t="n">
        <x:v>68</x:v>
      </x:c>
      <x:c r="O209" s="85" t="n">
        <x:v>46274</x:v>
      </x:c>
      <x:c r="P209" s="89" t="str">
        <x:f aca="0">A209&amp;TEXT(COUNTIF($A$6:A209,A209),"00")</x:f>
        <x:v>P03406</x:v>
      </x:c>
      <x:c r="Q209" s="89" t="str">
        <x:f aca="0">IF(I209&lt;100,A209&amp;"O"&amp;COUNTIFS($A$6:A209,A209,$I$6:I209,"&lt;100"),"")</x:f>
        <x:v>P034O6</x:v>
      </x:c>
      <x:c r="R209" s="89" t="str">
        <x:f aca="0">IF(I209&lt;100,D209&amp;"O"&amp;COUNTIFS($D$6:D209,D209,$I$6:I209,"&lt;100"),"")</x:f>
        <x:v>MeeraO16</x:v>
      </x:c>
      <x:c r="S209" s="278" t="n">
        <x:f>IF(COUNTIF($B$6:$B$605,B209)&gt;1,1,0)</x:f>
        <x:v>0</x:v>
      </x:c>
    </x:row>
    <x:row r="210" ht="15" hidden="0">
      <x:c r="A210" s="83" t="s">
        <x:v>120</x:v>
      </x:c>
      <x:c r="B210" s="83" t="s">
        <x:v>752</x:v>
      </x:c>
      <x:c r="C210" s="83" t="s">
        <x:v>433</x:v>
      </x:c>
      <x:c r="D210" s="83" t="s">
        <x:v>360</x:v>
      </x:c>
      <x:c r="E210" s="83" t="s">
        <x:v>441</x:v>
      </x:c>
      <x:c r="F210" s="83" t="s">
        <x:v>557</x:v>
      </x:c>
      <x:c r="G210" s="85" t="n">
        <x:v>46238</x:v>
      </x:c>
      <x:c r="H210" s="85" t="n">
        <x:v>46257</x:v>
      </x:c>
      <x:c r="I210" s="87" t="n">
        <x:v>41</x:v>
      </x:c>
      <x:c r="J210" s="83" t="s">
        <x:v>543</x:v>
      </x:c>
      <x:c r="K210" s="83"/>
      <x:c r="L210" s="83" t="s">
        <x:v>395</x:v>
      </x:c>
      <x:c r="M210" s="83" t="n">
        <x:v>57</x:v>
      </x:c>
      <x:c r="N210" s="83" t="n">
        <x:v>56</x:v>
      </x:c>
      <x:c r="O210" s="85" t="n">
        <x:v>46274</x:v>
      </x:c>
      <x:c r="P210" s="89" t="str">
        <x:f aca="0">A210&amp;TEXT(COUNTIF($A$6:A210,A210),"00")</x:f>
        <x:v>P03501</x:v>
      </x:c>
      <x:c r="Q210" s="89" t="str">
        <x:f aca="0">IF(I210&lt;100,A210&amp;"O"&amp;COUNTIFS($A$6:A210,A210,$I$6:I210,"&lt;100"),"")</x:f>
        <x:v>P035O1</x:v>
      </x:c>
      <x:c r="R210" s="89" t="str">
        <x:f aca="0">IF(I210&lt;100,D210&amp;"O"&amp;COUNTIFS($D$6:D210,D210,$I$6:I210,"&lt;100"),"")</x:f>
        <x:v>AmitO18</x:v>
      </x:c>
      <x:c r="S210" s="278" t="n">
        <x:f>IF(COUNTIF($B$6:$B$605,B210)&gt;1,1,0)</x:f>
        <x:v>0</x:v>
      </x:c>
    </x:row>
    <x:row r="211" ht="15" hidden="0">
      <x:c r="A211" s="83" t="s">
        <x:v>120</x:v>
      </x:c>
      <x:c r="B211" s="83" t="s">
        <x:v>753</x:v>
      </x:c>
      <x:c r="C211" s="83" t="s">
        <x:v>440</x:v>
      </x:c>
      <x:c r="D211" s="83" t="s">
        <x:v>475</x:v>
      </x:c>
      <x:c r="E211" s="83" t="s">
        <x:v>445</x:v>
      </x:c>
      <x:c r="F211" s="83" t="s">
        <x:v>493</x:v>
      </x:c>
      <x:c r="G211" s="85" t="n">
        <x:v>46252</x:v>
      </x:c>
      <x:c r="H211" s="85" t="n">
        <x:v>46270</x:v>
      </x:c>
      <x:c r="I211" s="87" t="n">
        <x:v>39</x:v>
      </x:c>
      <x:c r="J211" s="83" t="s">
        <x:v>543</x:v>
      </x:c>
      <x:c r="K211" s="83"/>
      <x:c r="L211" s="83" t="s">
        <x:v>395</x:v>
      </x:c>
      <x:c r="M211" s="83" t="n">
        <x:v>34</x:v>
      </x:c>
      <x:c r="N211" s="83" t="n">
        <x:v>66</x:v>
      </x:c>
      <x:c r="O211" s="85" t="n">
        <x:v>46274</x:v>
      </x:c>
      <x:c r="P211" s="89" t="str">
        <x:f aca="0">A211&amp;TEXT(COUNTIF($A$6:A211,A211),"00")</x:f>
        <x:v>P03502</x:v>
      </x:c>
      <x:c r="Q211" s="89" t="str">
        <x:f aca="0">IF(I211&lt;100,A211&amp;"O"&amp;COUNTIFS($A$6:A211,A211,$I$6:I211,"&lt;100"),"")</x:f>
        <x:v>P035O2</x:v>
      </x:c>
      <x:c r="R211" s="89" t="str">
        <x:f aca="0">IF(I211&lt;100,D211&amp;"O"&amp;COUNTIFS($D$6:D211,D211,$I$6:I211,"&lt;100"),"")</x:f>
        <x:v>PriyaO17</x:v>
      </x:c>
      <x:c r="S211" s="278" t="n">
        <x:f>IF(COUNTIF($B$6:$B$605,B211)&gt;1,1,0)</x:f>
        <x:v>0</x:v>
      </x:c>
    </x:row>
    <x:row r="212" ht="15" hidden="0">
      <x:c r="A212" s="83" t="s">
        <x:v>120</x:v>
      </x:c>
      <x:c r="B212" s="83" t="s">
        <x:v>754</x:v>
      </x:c>
      <x:c r="C212" s="83" t="s">
        <x:v>444</x:v>
      </x:c>
      <x:c r="D212" s="83" t="s">
        <x:v>434</x:v>
      </x:c>
      <x:c r="E212" s="83" t="s">
        <x:v>435</x:v>
      </x:c>
      <x:c r="F212" s="83" t="s">
        <x:v>550</x:v>
      </x:c>
      <x:c r="G212" s="85" t="n">
        <x:v>46266</x:v>
      </x:c>
      <x:c r="H212" s="85" t="n">
        <x:v>46278</x:v>
      </x:c>
      <x:c r="I212" s="87" t="n">
        <x:v>62</x:v>
      </x:c>
      <x:c r="J212" s="83" t="s">
        <x:v>543</x:v>
      </x:c>
      <x:c r="K212" s="83"/>
      <x:c r="L212" s="83" t="s">
        <x:v>395</x:v>
      </x:c>
      <x:c r="M212" s="83" t="n">
        <x:v>100</x:v>
      </x:c>
      <x:c r="N212" s="83" t="n">
        <x:v>100</x:v>
      </x:c>
      <x:c r="O212" s="85" t="n">
        <x:v>46274</x:v>
      </x:c>
      <x:c r="P212" s="89" t="str">
        <x:f aca="0">A212&amp;TEXT(COUNTIF($A$6:A212,A212),"00")</x:f>
        <x:v>P03503</x:v>
      </x:c>
      <x:c r="Q212" s="89" t="str">
        <x:f aca="0">IF(I212&lt;100,A212&amp;"O"&amp;COUNTIFS($A$6:A212,A212,$I$6:I212,"&lt;100"),"")</x:f>
        <x:v>P035O3</x:v>
      </x:c>
      <x:c r="R212" s="89" t="str">
        <x:f aca="0">IF(I212&lt;100,D212&amp;"O"&amp;COUNTIFS($D$6:D212,D212,$I$6:I212,"&lt;100"),"")</x:f>
        <x:v>RahulO16</x:v>
      </x:c>
      <x:c r="S212" s="278" t="n">
        <x:f>IF(COUNTIF($B$6:$B$605,B212)&gt;1,1,0)</x:f>
        <x:v>0</x:v>
      </x:c>
    </x:row>
    <x:row r="213" ht="15" hidden="0">
      <x:c r="A213" s="83" t="s">
        <x:v>120</x:v>
      </x:c>
      <x:c r="B213" s="83" t="s">
        <x:v>755</x:v>
      </x:c>
      <x:c r="C213" s="83" t="s">
        <x:v>448</x:v>
      </x:c>
      <x:c r="D213" s="83" t="s">
        <x:v>441</x:v>
      </x:c>
      <x:c r="E213" s="83" t="s">
        <x:v>442</x:v>
      </x:c>
      <x:c r="F213" s="83" t="s">
        <x:v>550</x:v>
      </x:c>
      <x:c r="G213" s="85" t="n">
        <x:v>46280</x:v>
      </x:c>
      <x:c r="H213" s="85" t="n">
        <x:v>46304</x:v>
      </x:c>
      <x:c r="I213" s="87" t="n">
        <x:v>36</x:v>
      </x:c>
      <x:c r="J213" s="83" t="s">
        <x:v>586</x:v>
      </x:c>
      <x:c r="K213" s="83" t="s">
        <x:v>413</x:v>
      </x:c>
      <x:c r="L213" s="83" t="s">
        <x:v>412</x:v>
      </x:c>
      <x:c r="M213" s="83" t="n">
        <x:v>69</x:v>
      </x:c>
      <x:c r="N213" s="83" t="n">
        <x:v>18</x:v>
      </x:c>
      <x:c r="O213" s="85" t="n">
        <x:v>46274</x:v>
      </x:c>
      <x:c r="P213" s="89" t="str">
        <x:f aca="0">A213&amp;TEXT(COUNTIF($A$6:A213,A213),"00")</x:f>
        <x:v>P03504</x:v>
      </x:c>
      <x:c r="Q213" s="89" t="str">
        <x:f aca="0">IF(I213&lt;100,A213&amp;"O"&amp;COUNTIFS($A$6:A213,A213,$I$6:I213,"&lt;100"),"")</x:f>
        <x:v>P035O4</x:v>
      </x:c>
      <x:c r="R213" s="89" t="str">
        <x:f aca="0">IF(I213&lt;100,D213&amp;"O"&amp;COUNTIFS($D$6:D213,D213,$I$6:I213,"&lt;100"),"")</x:f>
        <x:v>KaranO17</x:v>
      </x:c>
      <x:c r="S213" s="278" t="n">
        <x:f>IF(COUNTIF($B$6:$B$605,B213)&gt;1,1,0)</x:f>
        <x:v>0</x:v>
      </x:c>
    </x:row>
    <x:row r="214" ht="15" hidden="0">
      <x:c r="A214" s="83" t="s">
        <x:v>120</x:v>
      </x:c>
      <x:c r="B214" s="83" t="s">
        <x:v>756</x:v>
      </x:c>
      <x:c r="C214" s="83" t="s">
        <x:v>451</x:v>
      </x:c>
      <x:c r="D214" s="83" t="s">
        <x:v>445</x:v>
      </x:c>
      <x:c r="E214" s="83" t="s">
        <x:v>446</x:v>
      </x:c>
      <x:c r="F214" s="83" t="s">
        <x:v>546</x:v>
      </x:c>
      <x:c r="G214" s="85" t="n">
        <x:v>46294</x:v>
      </x:c>
      <x:c r="H214" s="85" t="n">
        <x:v>46307</x:v>
      </x:c>
      <x:c r="I214" s="87" t="n">
        <x:v>52</x:v>
      </x:c>
      <x:c r="J214" s="83" t="s">
        <x:v>543</x:v>
      </x:c>
      <x:c r="K214" s="83" t="s">
        <x:v>396</x:v>
      </x:c>
      <x:c r="L214" s="83" t="s">
        <x:v>412</x:v>
      </x:c>
      <x:c r="M214" s="83" t="n">
        <x:v>60</x:v>
      </x:c>
      <x:c r="N214" s="83" t="n">
        <x:v>53</x:v>
      </x:c>
      <x:c r="O214" s="85" t="n">
        <x:v>46274</x:v>
      </x:c>
      <x:c r="P214" s="89" t="str">
        <x:f aca="0">A214&amp;TEXT(COUNTIF($A$6:A214,A214),"00")</x:f>
        <x:v>P03505</x:v>
      </x:c>
      <x:c r="Q214" s="89" t="str">
        <x:f aca="0">IF(I214&lt;100,A214&amp;"O"&amp;COUNTIFS($A$6:A214,A214,$I$6:I214,"&lt;100"),"")</x:f>
        <x:v>P035O5</x:v>
      </x:c>
      <x:c r="R214" s="89" t="str">
        <x:f aca="0">IF(I214&lt;100,D214&amp;"O"&amp;COUNTIFS($D$6:D214,D214,$I$6:I214,"&lt;100"),"")</x:f>
        <x:v>MeeraO17</x:v>
      </x:c>
      <x:c r="S214" s="278" t="n">
        <x:f>IF(COUNTIF($B$6:$B$605,B214)&gt;1,1,0)</x:f>
        <x:v>0</x:v>
      </x:c>
    </x:row>
    <x:row r="215" ht="15" hidden="0">
      <x:c r="A215" s="83" t="s">
        <x:v>120</x:v>
      </x:c>
      <x:c r="B215" s="83" t="s">
        <x:v>757</x:v>
      </x:c>
      <x:c r="C215" s="83" t="s">
        <x:v>454</x:v>
      </x:c>
      <x:c r="D215" s="83" t="s">
        <x:v>435</x:v>
      </x:c>
      <x:c r="E215" s="83" t="s">
        <x:v>449</x:v>
      </x:c>
      <x:c r="F215" s="83" t="s">
        <x:v>493</x:v>
      </x:c>
      <x:c r="G215" s="85" t="n">
        <x:v>46308</x:v>
      </x:c>
      <x:c r="H215" s="85" t="n">
        <x:v>46318</x:v>
      </x:c>
      <x:c r="I215" s="87" t="n">
        <x:v>53</x:v>
      </x:c>
      <x:c r="J215" s="83" t="s">
        <x:v>543</x:v>
      </x:c>
      <x:c r="K215" s="83"/>
      <x:c r="L215" s="83" t="s">
        <x:v>412</x:v>
      </x:c>
      <x:c r="M215" s="83" t="n">
        <x:v>53</x:v>
      </x:c>
      <x:c r="N215" s="83" t="n">
        <x:v>97</x:v>
      </x:c>
      <x:c r="O215" s="85" t="n">
        <x:v>46274</x:v>
      </x:c>
      <x:c r="P215" s="89" t="str">
        <x:f aca="0">A215&amp;TEXT(COUNTIF($A$6:A215,A215),"00")</x:f>
        <x:v>P03506</x:v>
      </x:c>
      <x:c r="Q215" s="89" t="str">
        <x:f aca="0">IF(I215&lt;100,A215&amp;"O"&amp;COUNTIFS($A$6:A215,A215,$I$6:I215,"&lt;100"),"")</x:f>
        <x:v>P035O6</x:v>
      </x:c>
      <x:c r="R215" s="89" t="str">
        <x:f aca="0">IF(I215&lt;100,D215&amp;"O"&amp;COUNTIFS($D$6:D215,D215,$I$6:I215,"&lt;100"),"")</x:f>
        <x:v>VivekO17</x:v>
      </x:c>
      <x:c r="S215" s="278" t="n">
        <x:f>IF(COUNTIF($B$6:$B$605,B215)&gt;1,1,0)</x:f>
        <x:v>0</x:v>
      </x:c>
    </x:row>
    <x:row r="216" ht="15" hidden="0">
      <x:c r="A216" s="83" t="s">
        <x:v>224</x:v>
      </x:c>
      <x:c r="B216" s="83" t="s">
        <x:v>758</x:v>
      </x:c>
      <x:c r="C216" s="83" t="s">
        <x:v>433</x:v>
      </x:c>
      <x:c r="D216" s="83" t="s">
        <x:v>475</x:v>
      </x:c>
      <x:c r="E216" s="83" t="s">
        <x:v>445</x:v>
      </x:c>
      <x:c r="F216" s="83" t="s">
        <x:v>546</x:v>
      </x:c>
      <x:c r="G216" s="85" t="n">
        <x:v>46239</x:v>
      </x:c>
      <x:c r="H216" s="85" t="n">
        <x:v>46258</x:v>
      </x:c>
      <x:c r="I216" s="87" t="n">
        <x:v>59</x:v>
      </x:c>
      <x:c r="J216" s="83" t="s">
        <x:v>543</x:v>
      </x:c>
      <x:c r="K216" s="83"/>
      <x:c r="L216" s="83" t="s">
        <x:v>395</x:v>
      </x:c>
      <x:c r="M216" s="83" t="n">
        <x:v>69</x:v>
      </x:c>
      <x:c r="N216" s="83" t="n">
        <x:v>55</x:v>
      </x:c>
      <x:c r="O216" s="85" t="n">
        <x:v>46274</x:v>
      </x:c>
      <x:c r="P216" s="89" t="str">
        <x:f aca="0">A216&amp;TEXT(COUNTIF($A$6:A216,A216),"00")</x:f>
        <x:v>P03601</x:v>
      </x:c>
      <x:c r="Q216" s="89" t="str">
        <x:f aca="0">IF(I216&lt;100,A216&amp;"O"&amp;COUNTIFS($A$6:A216,A216,$I$6:I216,"&lt;100"),"")</x:f>
        <x:v>P036O1</x:v>
      </x:c>
      <x:c r="R216" s="89" t="str">
        <x:f aca="0">IF(I216&lt;100,D216&amp;"O"&amp;COUNTIFS($D$6:D216,D216,$I$6:I216,"&lt;100"),"")</x:f>
        <x:v>PriyaO18</x:v>
      </x:c>
      <x:c r="S216" s="278" t="n">
        <x:f>IF(COUNTIF($B$6:$B$605,B216)&gt;1,1,0)</x:f>
        <x:v>0</x:v>
      </x:c>
    </x:row>
    <x:row r="217" ht="15" hidden="0">
      <x:c r="A217" s="83" t="s">
        <x:v>224</x:v>
      </x:c>
      <x:c r="B217" s="83" t="s">
        <x:v>759</x:v>
      </x:c>
      <x:c r="C217" s="83" t="s">
        <x:v>440</x:v>
      </x:c>
      <x:c r="D217" s="83" t="s">
        <x:v>434</x:v>
      </x:c>
      <x:c r="E217" s="83" t="s">
        <x:v>435</x:v>
      </x:c>
      <x:c r="F217" s="83" t="s">
        <x:v>546</x:v>
      </x:c>
      <x:c r="G217" s="85" t="n">
        <x:v>46253</x:v>
      </x:c>
      <x:c r="H217" s="85" t="n">
        <x:v>46264</x:v>
      </x:c>
      <x:c r="I217" s="87" t="n">
        <x:v>32</x:v>
      </x:c>
      <x:c r="J217" s="83" t="s">
        <x:v>543</x:v>
      </x:c>
      <x:c r="K217" s="83"/>
      <x:c r="L217" s="83" t="s">
        <x:v>395</x:v>
      </x:c>
      <x:c r="M217" s="83" t="n">
        <x:v>64</x:v>
      </x:c>
      <x:c r="N217" s="83" t="n">
        <x:v>28</x:v>
      </x:c>
      <x:c r="O217" s="85" t="n">
        <x:v>46274</x:v>
      </x:c>
      <x:c r="P217" s="89" t="str">
        <x:f aca="0">A217&amp;TEXT(COUNTIF($A$6:A217,A217),"00")</x:f>
        <x:v>P03602</x:v>
      </x:c>
      <x:c r="Q217" s="89" t="str">
        <x:f aca="0">IF(I217&lt;100,A217&amp;"O"&amp;COUNTIFS($A$6:A217,A217,$I$6:I217,"&lt;100"),"")</x:f>
        <x:v>P036O2</x:v>
      </x:c>
      <x:c r="R217" s="89" t="str">
        <x:f aca="0">IF(I217&lt;100,D217&amp;"O"&amp;COUNTIFS($D$6:D217,D217,$I$6:I217,"&lt;100"),"")</x:f>
        <x:v>RahulO17</x:v>
      </x:c>
      <x:c r="S217" s="278" t="n">
        <x:f>IF(COUNTIF($B$6:$B$605,B217)&gt;1,1,0)</x:f>
        <x:v>0</x:v>
      </x:c>
    </x:row>
    <x:row r="218" ht="15" hidden="0">
      <x:c r="A218" s="83" t="s">
        <x:v>224</x:v>
      </x:c>
      <x:c r="B218" s="83" t="s">
        <x:v>760</x:v>
      </x:c>
      <x:c r="C218" s="83" t="s">
        <x:v>444</x:v>
      </x:c>
      <x:c r="D218" s="83" t="s">
        <x:v>441</x:v>
      </x:c>
      <x:c r="E218" s="83" t="s">
        <x:v>442</x:v>
      </x:c>
      <x:c r="F218" s="83" t="s">
        <x:v>493</x:v>
      </x:c>
      <x:c r="G218" s="85" t="n">
        <x:v>46267</x:v>
      </x:c>
      <x:c r="H218" s="85" t="n">
        <x:v>46279</x:v>
      </x:c>
      <x:c r="I218" s="87" t="n">
        <x:v>47</x:v>
      </x:c>
      <x:c r="J218" s="83" t="s">
        <x:v>543</x:v>
      </x:c>
      <x:c r="K218" s="83"/>
      <x:c r="L218" s="83" t="s">
        <x:v>395</x:v>
      </x:c>
      <x:c r="M218" s="83" t="n">
        <x:v>25</x:v>
      </x:c>
      <x:c r="N218" s="83" t="n">
        <x:v>84</x:v>
      </x:c>
      <x:c r="O218" s="85" t="n">
        <x:v>46274</x:v>
      </x:c>
      <x:c r="P218" s="89" t="str">
        <x:f aca="0">A218&amp;TEXT(COUNTIF($A$6:A218,A218),"00")</x:f>
        <x:v>P03603</x:v>
      </x:c>
      <x:c r="Q218" s="89" t="str">
        <x:f aca="0">IF(I218&lt;100,A218&amp;"O"&amp;COUNTIFS($A$6:A218,A218,$I$6:I218,"&lt;100"),"")</x:f>
        <x:v>P036O3</x:v>
      </x:c>
      <x:c r="R218" s="89" t="str">
        <x:f aca="0">IF(I218&lt;100,D218&amp;"O"&amp;COUNTIFS($D$6:D218,D218,$I$6:I218,"&lt;100"),"")</x:f>
        <x:v>KaranO18</x:v>
      </x:c>
      <x:c r="S218" s="278" t="n">
        <x:f>IF(COUNTIF($B$6:$B$605,B218)&gt;1,1,0)</x:f>
        <x:v>0</x:v>
      </x:c>
    </x:row>
    <x:row r="219" ht="15" hidden="0">
      <x:c r="A219" s="83" t="s">
        <x:v>224</x:v>
      </x:c>
      <x:c r="B219" s="83" t="s">
        <x:v>761</x:v>
      </x:c>
      <x:c r="C219" s="83" t="s">
        <x:v>448</x:v>
      </x:c>
      <x:c r="D219" s="83" t="s">
        <x:v>445</x:v>
      </x:c>
      <x:c r="E219" s="83" t="s">
        <x:v>446</x:v>
      </x:c>
      <x:c r="F219" s="83" t="s">
        <x:v>493</x:v>
      </x:c>
      <x:c r="G219" s="85" t="n">
        <x:v>46281</x:v>
      </x:c>
      <x:c r="H219" s="85" t="n">
        <x:v>46295</x:v>
      </x:c>
      <x:c r="I219" s="87" t="n">
        <x:v>44</x:v>
      </x:c>
      <x:c r="J219" s="83" t="s">
        <x:v>543</x:v>
      </x:c>
      <x:c r="K219" s="83"/>
      <x:c r="L219" s="83" t="s">
        <x:v>395</x:v>
      </x:c>
      <x:c r="M219" s="83" t="n">
        <x:v>51</x:v>
      </x:c>
      <x:c r="N219" s="83" t="n">
        <x:v>23</x:v>
      </x:c>
      <x:c r="O219" s="85" t="n">
        <x:v>46274</x:v>
      </x:c>
      <x:c r="P219" s="89" t="str">
        <x:f aca="0">A219&amp;TEXT(COUNTIF($A$6:A219,A219),"00")</x:f>
        <x:v>P03604</x:v>
      </x:c>
      <x:c r="Q219" s="89" t="str">
        <x:f aca="0">IF(I219&lt;100,A219&amp;"O"&amp;COUNTIFS($A$6:A219,A219,$I$6:I219,"&lt;100"),"")</x:f>
        <x:v>P036O4</x:v>
      </x:c>
      <x:c r="R219" s="89" t="str">
        <x:f aca="0">IF(I219&lt;100,D219&amp;"O"&amp;COUNTIFS($D$6:D219,D219,$I$6:I219,"&lt;100"),"")</x:f>
        <x:v>MeeraO18</x:v>
      </x:c>
      <x:c r="S219" s="278" t="n">
        <x:f>IF(COUNTIF($B$6:$B$605,B219)&gt;1,1,0)</x:f>
        <x:v>0</x:v>
      </x:c>
    </x:row>
    <x:row r="220" ht="15" hidden="0">
      <x:c r="A220" s="83" t="s">
        <x:v>224</x:v>
      </x:c>
      <x:c r="B220" s="83" t="s">
        <x:v>762</x:v>
      </x:c>
      <x:c r="C220" s="83" t="s">
        <x:v>451</x:v>
      </x:c>
      <x:c r="D220" s="83" t="s">
        <x:v>435</x:v>
      </x:c>
      <x:c r="E220" s="83" t="s">
        <x:v>449</x:v>
      </x:c>
      <x:c r="F220" s="83" t="s">
        <x:v>546</x:v>
      </x:c>
      <x:c r="G220" s="85" t="n">
        <x:v>46295</x:v>
      </x:c>
      <x:c r="H220" s="85" t="n">
        <x:v>46311</x:v>
      </x:c>
      <x:c r="I220" s="87" t="n">
        <x:v>62</x:v>
      </x:c>
      <x:c r="J220" s="83" t="s">
        <x:v>543</x:v>
      </x:c>
      <x:c r="K220" s="83" t="s">
        <x:v>396</x:v>
      </x:c>
      <x:c r="L220" s="83" t="s">
        <x:v>395</x:v>
      </x:c>
      <x:c r="M220" s="83" t="n">
        <x:v>20</x:v>
      </x:c>
      <x:c r="N220" s="83" t="n">
        <x:v>100</x:v>
      </x:c>
      <x:c r="O220" s="85" t="n">
        <x:v>46274</x:v>
      </x:c>
      <x:c r="P220" s="89" t="str">
        <x:f aca="0">A220&amp;TEXT(COUNTIF($A$6:A220,A220),"00")</x:f>
        <x:v>P03605</x:v>
      </x:c>
      <x:c r="Q220" s="89" t="str">
        <x:f aca="0">IF(I220&lt;100,A220&amp;"O"&amp;COUNTIFS($A$6:A220,A220,$I$6:I220,"&lt;100"),"")</x:f>
        <x:v>P036O5</x:v>
      </x:c>
      <x:c r="R220" s="89" t="str">
        <x:f aca="0">IF(I220&lt;100,D220&amp;"O"&amp;COUNTIFS($D$6:D220,D220,$I$6:I220,"&lt;100"),"")</x:f>
        <x:v>VivekO18</x:v>
      </x:c>
      <x:c r="S220" s="278" t="n">
        <x:f>IF(COUNTIF($B$6:$B$605,B220)&gt;1,1,0)</x:f>
        <x:v>0</x:v>
      </x:c>
    </x:row>
    <x:row r="221" ht="15" hidden="0">
      <x:c r="A221" s="83" t="s">
        <x:v>224</x:v>
      </x:c>
      <x:c r="B221" s="83" t="s">
        <x:v>763</x:v>
      </x:c>
      <x:c r="C221" s="83" t="s">
        <x:v>454</x:v>
      </x:c>
      <x:c r="D221" s="83" t="s">
        <x:v>442</x:v>
      </x:c>
      <x:c r="E221" s="83" t="s">
        <x:v>452</x:v>
      </x:c>
      <x:c r="F221" s="83" t="s">
        <x:v>493</x:v>
      </x:c>
      <x:c r="G221" s="85" t="n">
        <x:v>46309</x:v>
      </x:c>
      <x:c r="H221" s="85" t="n">
        <x:v>46326</x:v>
      </x:c>
      <x:c r="I221" s="87" t="n">
        <x:v>37</x:v>
      </x:c>
      <x:c r="J221" s="83" t="s">
        <x:v>543</x:v>
      </x:c>
      <x:c r="K221" s="83"/>
      <x:c r="L221" s="83" t="s">
        <x:v>395</x:v>
      </x:c>
      <x:c r="M221" s="83" t="n">
        <x:v>26</x:v>
      </x:c>
      <x:c r="N221" s="83" t="n">
        <x:v>89</x:v>
      </x:c>
      <x:c r="O221" s="85" t="n">
        <x:v>46274</x:v>
      </x:c>
      <x:c r="P221" s="89" t="str">
        <x:f aca="0">A221&amp;TEXT(COUNTIF($A$6:A221,A221),"00")</x:f>
        <x:v>P03606</x:v>
      </x:c>
      <x:c r="Q221" s="89" t="str">
        <x:f aca="0">IF(I221&lt;100,A221&amp;"O"&amp;COUNTIFS($A$6:A221,A221,$I$6:I221,"&lt;100"),"")</x:f>
        <x:v>P036O6</x:v>
      </x:c>
      <x:c r="R221" s="89" t="str">
        <x:f aca="0">IF(I221&lt;100,D221&amp;"O"&amp;COUNTIFS($D$6:D221,D221,$I$6:I221,"&lt;100"),"")</x:f>
        <x:v>RituO17</x:v>
      </x:c>
      <x:c r="S221" s="278" t="n">
        <x:f>IF(COUNTIF($B$6:$B$605,B221)&gt;1,1,0)</x:f>
        <x:v>0</x:v>
      </x:c>
    </x:row>
    <x:row r="222" ht="15" hidden="0">
      <x:c r="A222" s="83" t="s">
        <x:v>266</x:v>
      </x:c>
      <x:c r="B222" s="83" t="s">
        <x:v>764</x:v>
      </x:c>
      <x:c r="C222" s="83" t="s">
        <x:v>433</x:v>
      </x:c>
      <x:c r="D222" s="83" t="s">
        <x:v>434</x:v>
      </x:c>
      <x:c r="E222" s="83" t="s">
        <x:v>435</x:v>
      </x:c>
      <x:c r="F222" s="83" t="s">
        <x:v>557</x:v>
      </x:c>
      <x:c r="G222" s="85" t="n">
        <x:v>46240</x:v>
      </x:c>
      <x:c r="H222" s="85" t="n">
        <x:v>46263</x:v>
      </x:c>
      <x:c r="I222" s="87" t="n">
        <x:v>59</x:v>
      </x:c>
      <x:c r="J222" s="83" t="s">
        <x:v>543</x:v>
      </x:c>
      <x:c r="K222" s="83"/>
      <x:c r="L222" s="83" t="s">
        <x:v>395</x:v>
      </x:c>
      <x:c r="M222" s="83" t="n">
        <x:v>73</x:v>
      </x:c>
      <x:c r="N222" s="83" t="n">
        <x:v>43</x:v>
      </x:c>
      <x:c r="O222" s="85" t="n">
        <x:v>46274</x:v>
      </x:c>
      <x:c r="P222" s="89" t="str">
        <x:f aca="0">A222&amp;TEXT(COUNTIF($A$6:A222,A222),"00")</x:f>
        <x:v>P03701</x:v>
      </x:c>
      <x:c r="Q222" s="89" t="str">
        <x:f aca="0">IF(I222&lt;100,A222&amp;"O"&amp;COUNTIFS($A$6:A222,A222,$I$6:I222,"&lt;100"),"")</x:f>
        <x:v>P037O1</x:v>
      </x:c>
      <x:c r="R222" s="89" t="str">
        <x:f aca="0">IF(I222&lt;100,D222&amp;"O"&amp;COUNTIFS($D$6:D222,D222,$I$6:I222,"&lt;100"),"")</x:f>
        <x:v>RahulO18</x:v>
      </x:c>
      <x:c r="S222" s="278" t="n">
        <x:f>IF(COUNTIF($B$6:$B$605,B222)&gt;1,1,0)</x:f>
        <x:v>0</x:v>
      </x:c>
    </x:row>
    <x:row r="223" ht="15" hidden="0">
      <x:c r="A223" s="83" t="s">
        <x:v>266</x:v>
      </x:c>
      <x:c r="B223" s="83" t="s">
        <x:v>765</x:v>
      </x:c>
      <x:c r="C223" s="83" t="s">
        <x:v>440</x:v>
      </x:c>
      <x:c r="D223" s="83" t="s">
        <x:v>441</x:v>
      </x:c>
      <x:c r="E223" s="83" t="s">
        <x:v>442</x:v>
      </x:c>
      <x:c r="F223" s="83" t="s">
        <x:v>546</x:v>
      </x:c>
      <x:c r="G223" s="85" t="n">
        <x:v>46254</x:v>
      </x:c>
      <x:c r="H223" s="85" t="n">
        <x:v>46271</x:v>
      </x:c>
      <x:c r="I223" s="87" t="n">
        <x:v>74</x:v>
      </x:c>
      <x:c r="J223" s="83" t="s">
        <x:v>543</x:v>
      </x:c>
      <x:c r="K223" s="83" t="s">
        <x:v>396</x:v>
      </x:c>
      <x:c r="L223" s="83" t="s">
        <x:v>395</x:v>
      </x:c>
      <x:c r="M223" s="83" t="n">
        <x:v>46</x:v>
      </x:c>
      <x:c r="N223" s="83" t="n">
        <x:v>93</x:v>
      </x:c>
      <x:c r="O223" s="85" t="n">
        <x:v>46274</x:v>
      </x:c>
      <x:c r="P223" s="89" t="str">
        <x:f aca="0">A223&amp;TEXT(COUNTIF($A$6:A223,A223),"00")</x:f>
        <x:v>P03702</x:v>
      </x:c>
      <x:c r="Q223" s="89" t="str">
        <x:f aca="0">IF(I223&lt;100,A223&amp;"O"&amp;COUNTIFS($A$6:A223,A223,$I$6:I223,"&lt;100"),"")</x:f>
        <x:v>P037O2</x:v>
      </x:c>
      <x:c r="R223" s="89" t="str">
        <x:f aca="0">IF(I223&lt;100,D223&amp;"O"&amp;COUNTIFS($D$6:D223,D223,$I$6:I223,"&lt;100"),"")</x:f>
        <x:v>KaranO19</x:v>
      </x:c>
      <x:c r="S223" s="278" t="n">
        <x:f>IF(COUNTIF($B$6:$B$605,B223)&gt;1,1,0)</x:f>
        <x:v>0</x:v>
      </x:c>
    </x:row>
    <x:row r="224" ht="15" hidden="0">
      <x:c r="A224" s="83" t="s">
        <x:v>266</x:v>
      </x:c>
      <x:c r="B224" s="83" t="s">
        <x:v>766</x:v>
      </x:c>
      <x:c r="C224" s="83" t="s">
        <x:v>444</x:v>
      </x:c>
      <x:c r="D224" s="83" t="s">
        <x:v>445</x:v>
      </x:c>
      <x:c r="E224" s="83" t="s">
        <x:v>446</x:v>
      </x:c>
      <x:c r="F224" s="83" t="s">
        <x:v>493</x:v>
      </x:c>
      <x:c r="G224" s="85" t="n">
        <x:v>46268</x:v>
      </x:c>
      <x:c r="H224" s="85" t="n">
        <x:v>46289</x:v>
      </x:c>
      <x:c r="I224" s="87" t="n">
        <x:v>86</x:v>
      </x:c>
      <x:c r="J224" s="83" t="s">
        <x:v>543</x:v>
      </x:c>
      <x:c r="K224" s="83" t="s">
        <x:v>396</x:v>
      </x:c>
      <x:c r="L224" s="83" t="s">
        <x:v>395</x:v>
      </x:c>
      <x:c r="M224" s="83" t="n">
        <x:v>22</x:v>
      </x:c>
      <x:c r="N224" s="83" t="n">
        <x:v>49</x:v>
      </x:c>
      <x:c r="O224" s="85" t="n">
        <x:v>46274</x:v>
      </x:c>
      <x:c r="P224" s="89" t="str">
        <x:f aca="0">A224&amp;TEXT(COUNTIF($A$6:A224,A224),"00")</x:f>
        <x:v>P03703</x:v>
      </x:c>
      <x:c r="Q224" s="89" t="str">
        <x:f aca="0">IF(I224&lt;100,A224&amp;"O"&amp;COUNTIFS($A$6:A224,A224,$I$6:I224,"&lt;100"),"")</x:f>
        <x:v>P037O3</x:v>
      </x:c>
      <x:c r="R224" s="89" t="str">
        <x:f aca="0">IF(I224&lt;100,D224&amp;"O"&amp;COUNTIFS($D$6:D224,D224,$I$6:I224,"&lt;100"),"")</x:f>
        <x:v>MeeraO19</x:v>
      </x:c>
      <x:c r="S224" s="278" t="n">
        <x:f>IF(COUNTIF($B$6:$B$605,B224)&gt;1,1,0)</x:f>
        <x:v>0</x:v>
      </x:c>
    </x:row>
    <x:row r="225" ht="15" hidden="0">
      <x:c r="A225" s="83" t="s">
        <x:v>266</x:v>
      </x:c>
      <x:c r="B225" s="83" t="s">
        <x:v>767</x:v>
      </x:c>
      <x:c r="C225" s="83" t="s">
        <x:v>448</x:v>
      </x:c>
      <x:c r="D225" s="83" t="s">
        <x:v>435</x:v>
      </x:c>
      <x:c r="E225" s="83" t="s">
        <x:v>449</x:v>
      </x:c>
      <x:c r="F225" s="83" t="s">
        <x:v>493</x:v>
      </x:c>
      <x:c r="G225" s="85" t="n">
        <x:v>46282</x:v>
      </x:c>
      <x:c r="H225" s="85" t="n">
        <x:v>46295</x:v>
      </x:c>
      <x:c r="I225" s="87" t="n">
        <x:v>93</x:v>
      </x:c>
      <x:c r="J225" s="83" t="s">
        <x:v>543</x:v>
      </x:c>
      <x:c r="K225" s="83"/>
      <x:c r="L225" s="83" t="s">
        <x:v>395</x:v>
      </x:c>
      <x:c r="M225" s="83" t="n">
        <x:v>74</x:v>
      </x:c>
      <x:c r="N225" s="83" t="n">
        <x:v>67</x:v>
      </x:c>
      <x:c r="O225" s="85" t="n">
        <x:v>46274</x:v>
      </x:c>
      <x:c r="P225" s="89" t="str">
        <x:f aca="0">A225&amp;TEXT(COUNTIF($A$6:A225,A225),"00")</x:f>
        <x:v>P03704</x:v>
      </x:c>
      <x:c r="Q225" s="89" t="str">
        <x:f aca="0">IF(I225&lt;100,A225&amp;"O"&amp;COUNTIFS($A$6:A225,A225,$I$6:I225,"&lt;100"),"")</x:f>
        <x:v>P037O4</x:v>
      </x:c>
      <x:c r="R225" s="89" t="str">
        <x:f aca="0">IF(I225&lt;100,D225&amp;"O"&amp;COUNTIFS($D$6:D225,D225,$I$6:I225,"&lt;100"),"")</x:f>
        <x:v>VivekO19</x:v>
      </x:c>
      <x:c r="S225" s="278" t="n">
        <x:f>IF(COUNTIF($B$6:$B$605,B225)&gt;1,1,0)</x:f>
        <x:v>0</x:v>
      </x:c>
    </x:row>
    <x:row r="226" ht="15" hidden="0">
      <x:c r="A226" s="83" t="s">
        <x:v>266</x:v>
      </x:c>
      <x:c r="B226" s="83" t="s">
        <x:v>768</x:v>
      </x:c>
      <x:c r="C226" s="83" t="s">
        <x:v>451</x:v>
      </x:c>
      <x:c r="D226" s="83" t="s">
        <x:v>442</x:v>
      </x:c>
      <x:c r="E226" s="83" t="s">
        <x:v>452</x:v>
      </x:c>
      <x:c r="F226" s="83" t="s">
        <x:v>546</x:v>
      </x:c>
      <x:c r="G226" s="85" t="n">
        <x:v>46296</x:v>
      </x:c>
      <x:c r="H226" s="85" t="n">
        <x:v>46311</x:v>
      </x:c>
      <x:c r="I226" s="87" t="n">
        <x:v>75</x:v>
      </x:c>
      <x:c r="J226" s="83" t="s">
        <x:v>543</x:v>
      </x:c>
      <x:c r="K226" s="83"/>
      <x:c r="L226" s="83" t="s">
        <x:v>395</x:v>
      </x:c>
      <x:c r="M226" s="83" t="n">
        <x:v>50</x:v>
      </x:c>
      <x:c r="N226" s="83" t="n">
        <x:v>68</x:v>
      </x:c>
      <x:c r="O226" s="85" t="n">
        <x:v>46274</x:v>
      </x:c>
      <x:c r="P226" s="89" t="str">
        <x:f aca="0">A226&amp;TEXT(COUNTIF($A$6:A226,A226),"00")</x:f>
        <x:v>P03705</x:v>
      </x:c>
      <x:c r="Q226" s="89" t="str">
        <x:f aca="0">IF(I226&lt;100,A226&amp;"O"&amp;COUNTIFS($A$6:A226,A226,$I$6:I226,"&lt;100"),"")</x:f>
        <x:v>P037O5</x:v>
      </x:c>
      <x:c r="R226" s="89" t="str">
        <x:f aca="0">IF(I226&lt;100,D226&amp;"O"&amp;COUNTIFS($D$6:D226,D226,$I$6:I226,"&lt;100"),"")</x:f>
        <x:v>RituO18</x:v>
      </x:c>
      <x:c r="S226" s="278" t="n">
        <x:f>IF(COUNTIF($B$6:$B$605,B226)&gt;1,1,0)</x:f>
        <x:v>0</x:v>
      </x:c>
    </x:row>
    <x:row r="227" ht="15" hidden="0">
      <x:c r="A227" s="83" t="s">
        <x:v>266</x:v>
      </x:c>
      <x:c r="B227" s="83" t="s">
        <x:v>769</x:v>
      </x:c>
      <x:c r="C227" s="83" t="s">
        <x:v>454</x:v>
      </x:c>
      <x:c r="D227" s="83" t="s">
        <x:v>446</x:v>
      </x:c>
      <x:c r="E227" s="83" t="s">
        <x:v>455</x:v>
      </x:c>
      <x:c r="F227" s="83" t="s">
        <x:v>546</x:v>
      </x:c>
      <x:c r="G227" s="85" t="n">
        <x:v>46310</x:v>
      </x:c>
      <x:c r="H227" s="85" t="n">
        <x:v>46325</x:v>
      </x:c>
      <x:c r="I227" s="87" t="n">
        <x:v>62</x:v>
      </x:c>
      <x:c r="J227" s="83" t="s">
        <x:v>543</x:v>
      </x:c>
      <x:c r="K227" s="83"/>
      <x:c r="L227" s="83" t="s">
        <x:v>395</x:v>
      </x:c>
      <x:c r="M227" s="83" t="n">
        <x:v>26</x:v>
      </x:c>
      <x:c r="N227" s="83" t="n">
        <x:v>84</x:v>
      </x:c>
      <x:c r="O227" s="85" t="n">
        <x:v>46274</x:v>
      </x:c>
      <x:c r="P227" s="89" t="str">
        <x:f aca="0">A227&amp;TEXT(COUNTIF($A$6:A227,A227),"00")</x:f>
        <x:v>P03706</x:v>
      </x:c>
      <x:c r="Q227" s="89" t="str">
        <x:f aca="0">IF(I227&lt;100,A227&amp;"O"&amp;COUNTIFS($A$6:A227,A227,$I$6:I227,"&lt;100"),"")</x:f>
        <x:v>P037O6</x:v>
      </x:c>
      <x:c r="R227" s="89" t="str">
        <x:f aca="0">IF(I227&lt;100,D227&amp;"O"&amp;COUNTIFS($D$6:D227,D227,$I$6:I227,"&lt;100"),"")</x:f>
        <x:v>SanjayO19</x:v>
      </x:c>
      <x:c r="S227" s="278" t="n">
        <x:f>IF(COUNTIF($B$6:$B$605,B227)&gt;1,1,0)</x:f>
        <x:v>0</x:v>
      </x:c>
    </x:row>
    <x:row r="228" ht="15" hidden="0">
      <x:c r="A228" s="83" t="s">
        <x:v>280</x:v>
      </x:c>
      <x:c r="B228" s="83" t="s">
        <x:v>770</x:v>
      </x:c>
      <x:c r="C228" s="83" t="s">
        <x:v>433</x:v>
      </x:c>
      <x:c r="D228" s="83" t="s">
        <x:v>441</x:v>
      </x:c>
      <x:c r="E228" s="83" t="s">
        <x:v>442</x:v>
      </x:c>
      <x:c r="F228" s="83" t="s">
        <x:v>493</x:v>
      </x:c>
      <x:c r="G228" s="85" t="n">
        <x:v>46241</x:v>
      </x:c>
      <x:c r="H228" s="85" t="n">
        <x:v>46250</x:v>
      </x:c>
      <x:c r="I228" s="87" t="n">
        <x:v>95</x:v>
      </x:c>
      <x:c r="J228" s="83" t="s">
        <x:v>543</x:v>
      </x:c>
      <x:c r="K228" s="83" t="s">
        <x:v>396</x:v>
      </x:c>
      <x:c r="L228" s="83" t="s">
        <x:v>395</x:v>
      </x:c>
      <x:c r="M228" s="83" t="n">
        <x:v>77</x:v>
      </x:c>
      <x:c r="N228" s="83" t="n">
        <x:v>29</x:v>
      </x:c>
      <x:c r="O228" s="85" t="n">
        <x:v>46274</x:v>
      </x:c>
      <x:c r="P228" s="89" t="str">
        <x:f aca="0">A228&amp;TEXT(COUNTIF($A$6:A228,A228),"00")</x:f>
        <x:v>P03801</x:v>
      </x:c>
      <x:c r="Q228" s="89" t="str">
        <x:f aca="0">IF(I228&lt;100,A228&amp;"O"&amp;COUNTIFS($A$6:A228,A228,$I$6:I228,"&lt;100"),"")</x:f>
        <x:v>P038O1</x:v>
      </x:c>
      <x:c r="R228" s="89" t="str">
        <x:f aca="0">IF(I228&lt;100,D228&amp;"O"&amp;COUNTIFS($D$6:D228,D228,$I$6:I228,"&lt;100"),"")</x:f>
        <x:v>KaranO20</x:v>
      </x:c>
      <x:c r="S228" s="278" t="n">
        <x:f>IF(COUNTIF($B$6:$B$605,B228)&gt;1,1,0)</x:f>
        <x:v>0</x:v>
      </x:c>
    </x:row>
    <x:row r="229" ht="15" hidden="0">
      <x:c r="A229" s="83" t="s">
        <x:v>280</x:v>
      </x:c>
      <x:c r="B229" s="83" t="s">
        <x:v>771</x:v>
      </x:c>
      <x:c r="C229" s="83" t="s">
        <x:v>440</x:v>
      </x:c>
      <x:c r="D229" s="83" t="s">
        <x:v>445</x:v>
      </x:c>
      <x:c r="E229" s="83" t="s">
        <x:v>446</x:v>
      </x:c>
      <x:c r="F229" s="83" t="s">
        <x:v>546</x:v>
      </x:c>
      <x:c r="G229" s="85" t="n">
        <x:v>46255</x:v>
      </x:c>
      <x:c r="H229" s="85" t="n">
        <x:v>46279</x:v>
      </x:c>
      <x:c r="I229" s="87" t="n">
        <x:v>86</x:v>
      </x:c>
      <x:c r="J229" s="83" t="s">
        <x:v>543</x:v>
      </x:c>
      <x:c r="K229" s="83" t="s">
        <x:v>396</x:v>
      </x:c>
      <x:c r="L229" s="83" t="s">
        <x:v>395</x:v>
      </x:c>
      <x:c r="M229" s="83" t="n">
        <x:v>73</x:v>
      </x:c>
      <x:c r="N229" s="83" t="n">
        <x:v>72</x:v>
      </x:c>
      <x:c r="O229" s="85" t="n">
        <x:v>46274</x:v>
      </x:c>
      <x:c r="P229" s="89" t="str">
        <x:f aca="0">A229&amp;TEXT(COUNTIF($A$6:A229,A229),"00")</x:f>
        <x:v>P03802</x:v>
      </x:c>
      <x:c r="Q229" s="89" t="str">
        <x:f aca="0">IF(I229&lt;100,A229&amp;"O"&amp;COUNTIFS($A$6:A229,A229,$I$6:I229,"&lt;100"),"")</x:f>
        <x:v>P038O2</x:v>
      </x:c>
      <x:c r="R229" s="89" t="str">
        <x:f aca="0">IF(I229&lt;100,D229&amp;"O"&amp;COUNTIFS($D$6:D229,D229,$I$6:I229,"&lt;100"),"")</x:f>
        <x:v>MeeraO20</x:v>
      </x:c>
      <x:c r="S229" s="278" t="n">
        <x:f>IF(COUNTIF($B$6:$B$605,B229)&gt;1,1,0)</x:f>
        <x:v>0</x:v>
      </x:c>
    </x:row>
    <x:row r="230" ht="15" hidden="0">
      <x:c r="A230" s="83" t="s">
        <x:v>280</x:v>
      </x:c>
      <x:c r="B230" s="83" t="s">
        <x:v>772</x:v>
      </x:c>
      <x:c r="C230" s="83" t="s">
        <x:v>444</x:v>
      </x:c>
      <x:c r="D230" s="83" t="s">
        <x:v>435</x:v>
      </x:c>
      <x:c r="E230" s="83" t="s">
        <x:v>449</x:v>
      </x:c>
      <x:c r="F230" s="83" t="s">
        <x:v>557</x:v>
      </x:c>
      <x:c r="G230" s="85" t="n">
        <x:v>46269</x:v>
      </x:c>
      <x:c r="H230" s="85" t="n">
        <x:v>46289</x:v>
      </x:c>
      <x:c r="I230" s="87" t="n">
        <x:v>65</x:v>
      </x:c>
      <x:c r="J230" s="83" t="s">
        <x:v>543</x:v>
      </x:c>
      <x:c r="K230" s="83" t="s">
        <x:v>396</x:v>
      </x:c>
      <x:c r="L230" s="83" t="s">
        <x:v>395</x:v>
      </x:c>
      <x:c r="M230" s="83" t="n">
        <x:v>57</x:v>
      </x:c>
      <x:c r="N230" s="83" t="n">
        <x:v>27</x:v>
      </x:c>
      <x:c r="O230" s="85" t="n">
        <x:v>46274</x:v>
      </x:c>
      <x:c r="P230" s="89" t="str">
        <x:f aca="0">A230&amp;TEXT(COUNTIF($A$6:A230,A230),"00")</x:f>
        <x:v>P03803</x:v>
      </x:c>
      <x:c r="Q230" s="89" t="str">
        <x:f aca="0">IF(I230&lt;100,A230&amp;"O"&amp;COUNTIFS($A$6:A230,A230,$I$6:I230,"&lt;100"),"")</x:f>
        <x:v>P038O3</x:v>
      </x:c>
      <x:c r="R230" s="89" t="str">
        <x:f aca="0">IF(I230&lt;100,D230&amp;"O"&amp;COUNTIFS($D$6:D230,D230,$I$6:I230,"&lt;100"),"")</x:f>
        <x:v>VivekO20</x:v>
      </x:c>
      <x:c r="S230" s="278" t="n">
        <x:f>IF(COUNTIF($B$6:$B$605,B230)&gt;1,1,0)</x:f>
        <x:v>0</x:v>
      </x:c>
    </x:row>
    <x:row r="231" ht="15" hidden="0">
      <x:c r="A231" s="83" t="s">
        <x:v>280</x:v>
      </x:c>
      <x:c r="B231" s="83" t="s">
        <x:v>773</x:v>
      </x:c>
      <x:c r="C231" s="83" t="s">
        <x:v>448</x:v>
      </x:c>
      <x:c r="D231" s="83" t="s">
        <x:v>442</x:v>
      </x:c>
      <x:c r="E231" s="83" t="s">
        <x:v>452</x:v>
      </x:c>
      <x:c r="F231" s="83" t="s">
        <x:v>493</x:v>
      </x:c>
      <x:c r="G231" s="85" t="n">
        <x:v>46283</x:v>
      </x:c>
      <x:c r="H231" s="85" t="n">
        <x:v>46295</x:v>
      </x:c>
      <x:c r="I231" s="87" t="n">
        <x:v>68</x:v>
      </x:c>
      <x:c r="J231" s="83" t="s">
        <x:v>543</x:v>
      </x:c>
      <x:c r="K231" s="83" t="s">
        <x:v>396</x:v>
      </x:c>
      <x:c r="L231" s="83" t="s">
        <x:v>395</x:v>
      </x:c>
      <x:c r="M231" s="83" t="n">
        <x:v>38</x:v>
      </x:c>
      <x:c r="N231" s="83" t="n">
        <x:v>47</x:v>
      </x:c>
      <x:c r="O231" s="85" t="n">
        <x:v>46274</x:v>
      </x:c>
      <x:c r="P231" s="89" t="str">
        <x:f aca="0">A231&amp;TEXT(COUNTIF($A$6:A231,A231),"00")</x:f>
        <x:v>P03804</x:v>
      </x:c>
      <x:c r="Q231" s="89" t="str">
        <x:f aca="0">IF(I231&lt;100,A231&amp;"O"&amp;COUNTIFS($A$6:A231,A231,$I$6:I231,"&lt;100"),"")</x:f>
        <x:v>P038O4</x:v>
      </x:c>
      <x:c r="R231" s="89" t="str">
        <x:f aca="0">IF(I231&lt;100,D231&amp;"O"&amp;COUNTIFS($D$6:D231,D231,$I$6:I231,"&lt;100"),"")</x:f>
        <x:v>RituO19</x:v>
      </x:c>
      <x:c r="S231" s="278" t="n">
        <x:f>IF(COUNTIF($B$6:$B$605,B231)&gt;1,1,0)</x:f>
        <x:v>0</x:v>
      </x:c>
    </x:row>
    <x:row r="232" ht="15" hidden="0">
      <x:c r="A232" s="83" t="s">
        <x:v>280</x:v>
      </x:c>
      <x:c r="B232" s="83" t="s">
        <x:v>774</x:v>
      </x:c>
      <x:c r="C232" s="83" t="s">
        <x:v>451</x:v>
      </x:c>
      <x:c r="D232" s="83" t="s">
        <x:v>446</x:v>
      </x:c>
      <x:c r="E232" s="83" t="s">
        <x:v>455</x:v>
      </x:c>
      <x:c r="F232" s="83" t="s">
        <x:v>557</x:v>
      </x:c>
      <x:c r="G232" s="85" t="n">
        <x:v>46297</x:v>
      </x:c>
      <x:c r="H232" s="85" t="n">
        <x:v>46312</x:v>
      </x:c>
      <x:c r="I232" s="87" t="n">
        <x:v>75</x:v>
      </x:c>
      <x:c r="J232" s="83" t="s">
        <x:v>543</x:v>
      </x:c>
      <x:c r="K232" s="83"/>
      <x:c r="L232" s="83" t="s">
        <x:v>395</x:v>
      </x:c>
      <x:c r="M232" s="83" t="n">
        <x:v>56</x:v>
      </x:c>
      <x:c r="N232" s="83" t="n">
        <x:v>56</x:v>
      </x:c>
      <x:c r="O232" s="85" t="n">
        <x:v>46274</x:v>
      </x:c>
      <x:c r="P232" s="89" t="str">
        <x:f aca="0">A232&amp;TEXT(COUNTIF($A$6:A232,A232),"00")</x:f>
        <x:v>P03805</x:v>
      </x:c>
      <x:c r="Q232" s="89" t="str">
        <x:f aca="0">IF(I232&lt;100,A232&amp;"O"&amp;COUNTIFS($A$6:A232,A232,$I$6:I232,"&lt;100"),"")</x:f>
        <x:v>P038O5</x:v>
      </x:c>
      <x:c r="R232" s="89" t="str">
        <x:f aca="0">IF(I232&lt;100,D232&amp;"O"&amp;COUNTIFS($D$6:D232,D232,$I$6:I232,"&lt;100"),"")</x:f>
        <x:v>SanjayO20</x:v>
      </x:c>
      <x:c r="S232" s="278" t="n">
        <x:f>IF(COUNTIF($B$6:$B$605,B232)&gt;1,1,0)</x:f>
        <x:v>0</x:v>
      </x:c>
    </x:row>
    <x:row r="233" ht="15" hidden="0">
      <x:c r="A233" s="83" t="s">
        <x:v>280</x:v>
      </x:c>
      <x:c r="B233" s="83" t="s">
        <x:v>775</x:v>
      </x:c>
      <x:c r="C233" s="83" t="s">
        <x:v>454</x:v>
      </x:c>
      <x:c r="D233" s="83" t="s">
        <x:v>449</x:v>
      </x:c>
      <x:c r="E233" s="83" t="s">
        <x:v>462</x:v>
      </x:c>
      <x:c r="F233" s="83" t="s">
        <x:v>557</x:v>
      </x:c>
      <x:c r="G233" s="85" t="n">
        <x:v>46311</x:v>
      </x:c>
      <x:c r="H233" s="85" t="n">
        <x:v>46321</x:v>
      </x:c>
      <x:c r="I233" s="87" t="n">
        <x:v>66</x:v>
      </x:c>
      <x:c r="J233" s="83" t="s">
        <x:v>543</x:v>
      </x:c>
      <x:c r="K233" s="83"/>
      <x:c r="L233" s="83" t="s">
        <x:v>395</x:v>
      </x:c>
      <x:c r="M233" s="83" t="n">
        <x:v>63</x:v>
      </x:c>
      <x:c r="N233" s="83" t="n">
        <x:v>57</x:v>
      </x:c>
      <x:c r="O233" s="85" t="n">
        <x:v>46274</x:v>
      </x:c>
      <x:c r="P233" s="89" t="str">
        <x:f aca="0">A233&amp;TEXT(COUNTIF($A$6:A233,A233),"00")</x:f>
        <x:v>P03806</x:v>
      </x:c>
      <x:c r="Q233" s="89" t="str">
        <x:f aca="0">IF(I233&lt;100,A233&amp;"O"&amp;COUNTIFS($A$6:A233,A233,$I$6:I233,"&lt;100"),"")</x:f>
        <x:v>P038O6</x:v>
      </x:c>
      <x:c r="R233" s="89" t="str">
        <x:f aca="0">IF(I233&lt;100,D233&amp;"O"&amp;COUNTIFS($D$6:D233,D233,$I$6:I233,"&lt;100"),"")</x:f>
        <x:v>AnilO18</x:v>
      </x:c>
      <x:c r="S233" s="278" t="n">
        <x:f>IF(COUNTIF($B$6:$B$605,B233)&gt;1,1,0)</x:f>
        <x:v>0</x:v>
      </x:c>
    </x:row>
    <x:row r="234" ht="15" hidden="0">
      <x:c r="A234" s="83" t="s">
        <x:v>278</x:v>
      </x:c>
      <x:c r="B234" s="83" t="s">
        <x:v>776</x:v>
      </x:c>
      <x:c r="C234" s="83" t="s">
        <x:v>433</x:v>
      </x:c>
      <x:c r="D234" s="83" t="s">
        <x:v>445</x:v>
      </x:c>
      <x:c r="E234" s="83" t="s">
        <x:v>446</x:v>
      </x:c>
      <x:c r="F234" s="83" t="s">
        <x:v>493</x:v>
      </x:c>
      <x:c r="G234" s="85" t="n">
        <x:v>46242</x:v>
      </x:c>
      <x:c r="H234" s="85" t="n">
        <x:v>46266</x:v>
      </x:c>
      <x:c r="I234" s="87" t="n">
        <x:v>92</x:v>
      </x:c>
      <x:c r="J234" s="83" t="s">
        <x:v>543</x:v>
      </x:c>
      <x:c r="K234" s="83"/>
      <x:c r="L234" s="83" t="s">
        <x:v>395</x:v>
      </x:c>
      <x:c r="M234" s="83" t="n">
        <x:v>69</x:v>
      </x:c>
      <x:c r="N234" s="83" t="n">
        <x:v>71</x:v>
      </x:c>
      <x:c r="O234" s="85" t="n">
        <x:v>46274</x:v>
      </x:c>
      <x:c r="P234" s="89" t="str">
        <x:f aca="0">A234&amp;TEXT(COUNTIF($A$6:A234,A234),"00")</x:f>
        <x:v>P03901</x:v>
      </x:c>
      <x:c r="Q234" s="89" t="str">
        <x:f aca="0">IF(I234&lt;100,A234&amp;"O"&amp;COUNTIFS($A$6:A234,A234,$I$6:I234,"&lt;100"),"")</x:f>
        <x:v>P039O1</x:v>
      </x:c>
      <x:c r="R234" s="89" t="str">
        <x:f aca="0">IF(I234&lt;100,D234&amp;"O"&amp;COUNTIFS($D$6:D234,D234,$I$6:I234,"&lt;100"),"")</x:f>
        <x:v>MeeraO21</x:v>
      </x:c>
      <x:c r="S234" s="278" t="n">
        <x:f>IF(COUNTIF($B$6:$B$605,B234)&gt;1,1,0)</x:f>
        <x:v>0</x:v>
      </x:c>
    </x:row>
    <x:row r="235" ht="15" hidden="0">
      <x:c r="A235" s="83" t="s">
        <x:v>278</x:v>
      </x:c>
      <x:c r="B235" s="83" t="s">
        <x:v>777</x:v>
      </x:c>
      <x:c r="C235" s="83" t="s">
        <x:v>440</x:v>
      </x:c>
      <x:c r="D235" s="83" t="s">
        <x:v>435</x:v>
      </x:c>
      <x:c r="E235" s="83" t="s">
        <x:v>449</x:v>
      </x:c>
      <x:c r="F235" s="83" t="s">
        <x:v>557</x:v>
      </x:c>
      <x:c r="G235" s="85" t="n">
        <x:v>46256</x:v>
      </x:c>
      <x:c r="H235" s="85" t="n">
        <x:v>46278</x:v>
      </x:c>
      <x:c r="I235" s="87" t="n">
        <x:v>63</x:v>
      </x:c>
      <x:c r="J235" s="83" t="s">
        <x:v>543</x:v>
      </x:c>
      <x:c r="K235" s="83"/>
      <x:c r="L235" s="83" t="s">
        <x:v>395</x:v>
      </x:c>
      <x:c r="M235" s="83" t="n">
        <x:v>86</x:v>
      </x:c>
      <x:c r="N235" s="83" t="n">
        <x:v>33</x:v>
      </x:c>
      <x:c r="O235" s="85" t="n">
        <x:v>46274</x:v>
      </x:c>
      <x:c r="P235" s="89" t="str">
        <x:f aca="0">A235&amp;TEXT(COUNTIF($A$6:A235,A235),"00")</x:f>
        <x:v>P03902</x:v>
      </x:c>
      <x:c r="Q235" s="89" t="str">
        <x:f aca="0">IF(I235&lt;100,A235&amp;"O"&amp;COUNTIFS($A$6:A235,A235,$I$6:I235,"&lt;100"),"")</x:f>
        <x:v>P039O2</x:v>
      </x:c>
      <x:c r="R235" s="89" t="str">
        <x:f aca="0">IF(I235&lt;100,D235&amp;"O"&amp;COUNTIFS($D$6:D235,D235,$I$6:I235,"&lt;100"),"")</x:f>
        <x:v>VivekO21</x:v>
      </x:c>
      <x:c r="S235" s="278" t="n">
        <x:f>IF(COUNTIF($B$6:$B$605,B235)&gt;1,1,0)</x:f>
        <x:v>0</x:v>
      </x:c>
    </x:row>
    <x:row r="236" ht="15" hidden="0">
      <x:c r="A236" s="83" t="s">
        <x:v>278</x:v>
      </x:c>
      <x:c r="B236" s="83" t="s">
        <x:v>778</x:v>
      </x:c>
      <x:c r="C236" s="83" t="s">
        <x:v>444</x:v>
      </x:c>
      <x:c r="D236" s="83" t="s">
        <x:v>442</x:v>
      </x:c>
      <x:c r="E236" s="83" t="s">
        <x:v>452</x:v>
      </x:c>
      <x:c r="F236" s="83" t="s">
        <x:v>493</x:v>
      </x:c>
      <x:c r="G236" s="85" t="n">
        <x:v>46270</x:v>
      </x:c>
      <x:c r="H236" s="85" t="n">
        <x:v>46292</x:v>
      </x:c>
      <x:c r="I236" s="87" t="n">
        <x:v>67</x:v>
      </x:c>
      <x:c r="J236" s="83" t="s">
        <x:v>543</x:v>
      </x:c>
      <x:c r="K236" s="83"/>
      <x:c r="L236" s="83" t="s">
        <x:v>395</x:v>
      </x:c>
      <x:c r="M236" s="83" t="n">
        <x:v>35</x:v>
      </x:c>
      <x:c r="N236" s="83" t="n">
        <x:v>64</x:v>
      </x:c>
      <x:c r="O236" s="85" t="n">
        <x:v>46274</x:v>
      </x:c>
      <x:c r="P236" s="89" t="str">
        <x:f aca="0">A236&amp;TEXT(COUNTIF($A$6:A236,A236),"00")</x:f>
        <x:v>P03903</x:v>
      </x:c>
      <x:c r="Q236" s="89" t="str">
        <x:f aca="0">IF(I236&lt;100,A236&amp;"O"&amp;COUNTIFS($A$6:A236,A236,$I$6:I236,"&lt;100"),"")</x:f>
        <x:v>P039O3</x:v>
      </x:c>
      <x:c r="R236" s="89" t="str">
        <x:f aca="0">IF(I236&lt;100,D236&amp;"O"&amp;COUNTIFS($D$6:D236,D236,$I$6:I236,"&lt;100"),"")</x:f>
        <x:v>RituO20</x:v>
      </x:c>
      <x:c r="S236" s="278" t="n">
        <x:f>IF(COUNTIF($B$6:$B$605,B236)&gt;1,1,0)</x:f>
        <x:v>0</x:v>
      </x:c>
    </x:row>
    <x:row r="237" ht="15" hidden="0">
      <x:c r="A237" s="83" t="s">
        <x:v>278</x:v>
      </x:c>
      <x:c r="B237" s="83" t="s">
        <x:v>779</x:v>
      </x:c>
      <x:c r="C237" s="83" t="s">
        <x:v>448</x:v>
      </x:c>
      <x:c r="D237" s="83" t="s">
        <x:v>446</x:v>
      </x:c>
      <x:c r="E237" s="83" t="s">
        <x:v>455</x:v>
      </x:c>
      <x:c r="F237" s="83" t="s">
        <x:v>493</x:v>
      </x:c>
      <x:c r="G237" s="85" t="n">
        <x:v>46284</x:v>
      </x:c>
      <x:c r="H237" s="85" t="n">
        <x:v>46296</x:v>
      </x:c>
      <x:c r="I237" s="87" t="n">
        <x:v>88</x:v>
      </x:c>
      <x:c r="J237" s="83" t="s">
        <x:v>543</x:v>
      </x:c>
      <x:c r="K237" s="83"/>
      <x:c r="L237" s="83" t="s">
        <x:v>395</x:v>
      </x:c>
      <x:c r="M237" s="83" t="n">
        <x:v>83</x:v>
      </x:c>
      <x:c r="N237" s="83" t="n">
        <x:v>16</x:v>
      </x:c>
      <x:c r="O237" s="85" t="n">
        <x:v>46274</x:v>
      </x:c>
      <x:c r="P237" s="89" t="str">
        <x:f aca="0">A237&amp;TEXT(COUNTIF($A$6:A237,A237),"00")</x:f>
        <x:v>P03904</x:v>
      </x:c>
      <x:c r="Q237" s="89" t="str">
        <x:f aca="0">IF(I237&lt;100,A237&amp;"O"&amp;COUNTIFS($A$6:A237,A237,$I$6:I237,"&lt;100"),"")</x:f>
        <x:v>P039O4</x:v>
      </x:c>
      <x:c r="R237" s="89" t="str">
        <x:f aca="0">IF(I237&lt;100,D237&amp;"O"&amp;COUNTIFS($D$6:D237,D237,$I$6:I237,"&lt;100"),"")</x:f>
        <x:v>SanjayO21</x:v>
      </x:c>
      <x:c r="S237" s="278" t="n">
        <x:f>IF(COUNTIF($B$6:$B$605,B237)&gt;1,1,0)</x:f>
        <x:v>0</x:v>
      </x:c>
    </x:row>
    <x:row r="238" ht="15" hidden="0">
      <x:c r="A238" s="83" t="s">
        <x:v>278</x:v>
      </x:c>
      <x:c r="B238" s="83" t="s">
        <x:v>780</x:v>
      </x:c>
      <x:c r="C238" s="83" t="s">
        <x:v>451</x:v>
      </x:c>
      <x:c r="D238" s="83" t="s">
        <x:v>449</x:v>
      </x:c>
      <x:c r="E238" s="83" t="s">
        <x:v>462</x:v>
      </x:c>
      <x:c r="F238" s="83" t="s">
        <x:v>546</x:v>
      </x:c>
      <x:c r="G238" s="85" t="n">
        <x:v>46298</x:v>
      </x:c>
      <x:c r="H238" s="85" t="n">
        <x:v>46313</x:v>
      </x:c>
      <x:c r="I238" s="87" t="n">
        <x:v>76</x:v>
      </x:c>
      <x:c r="J238" s="83" t="s">
        <x:v>543</x:v>
      </x:c>
      <x:c r="K238" s="83" t="s">
        <x:v>396</x:v>
      </x:c>
      <x:c r="L238" s="83" t="s">
        <x:v>395</x:v>
      </x:c>
      <x:c r="M238" s="83" t="n">
        <x:v>82</x:v>
      </x:c>
      <x:c r="N238" s="83" t="n">
        <x:v>26</x:v>
      </x:c>
      <x:c r="O238" s="85" t="n">
        <x:v>46274</x:v>
      </x:c>
      <x:c r="P238" s="89" t="str">
        <x:f aca="0">A238&amp;TEXT(COUNTIF($A$6:A238,A238),"00")</x:f>
        <x:v>P03905</x:v>
      </x:c>
      <x:c r="Q238" s="89" t="str">
        <x:f aca="0">IF(I238&lt;100,A238&amp;"O"&amp;COUNTIFS($A$6:A238,A238,$I$6:I238,"&lt;100"),"")</x:f>
        <x:v>P039O5</x:v>
      </x:c>
      <x:c r="R238" s="89" t="str">
        <x:f aca="0">IF(I238&lt;100,D238&amp;"O"&amp;COUNTIFS($D$6:D238,D238,$I$6:I238,"&lt;100"),"")</x:f>
        <x:v>AnilO19</x:v>
      </x:c>
      <x:c r="S238" s="278" t="n">
        <x:f>IF(COUNTIF($B$6:$B$605,B238)&gt;1,1,0)</x:f>
        <x:v>0</x:v>
      </x:c>
    </x:row>
    <x:row r="239" ht="15" hidden="0">
      <x:c r="A239" s="83" t="s">
        <x:v>278</x:v>
      </x:c>
      <x:c r="B239" s="83" t="s">
        <x:v>781</x:v>
      </x:c>
      <x:c r="C239" s="83" t="s">
        <x:v>454</x:v>
      </x:c>
      <x:c r="D239" s="83" t="s">
        <x:v>452</x:v>
      </x:c>
      <x:c r="E239" s="83" t="s">
        <x:v>360</x:v>
      </x:c>
      <x:c r="F239" s="83" t="s">
        <x:v>557</x:v>
      </x:c>
      <x:c r="G239" s="85" t="n">
        <x:v>46312</x:v>
      </x:c>
      <x:c r="H239" s="85" t="n">
        <x:v>46326</x:v>
      </x:c>
      <x:c r="I239" s="87" t="n">
        <x:v>65</x:v>
      </x:c>
      <x:c r="J239" s="83" t="s">
        <x:v>543</x:v>
      </x:c>
      <x:c r="K239" s="83"/>
      <x:c r="L239" s="83" t="s">
        <x:v>395</x:v>
      </x:c>
      <x:c r="M239" s="83" t="n">
        <x:v>45</x:v>
      </x:c>
      <x:c r="N239" s="83" t="n">
        <x:v>56</x:v>
      </x:c>
      <x:c r="O239" s="85" t="n">
        <x:v>46274</x:v>
      </x:c>
      <x:c r="P239" s="89" t="str">
        <x:f aca="0">A239&amp;TEXT(COUNTIF($A$6:A239,A239),"00")</x:f>
        <x:v>P03906</x:v>
      </x:c>
      <x:c r="Q239" s="89" t="str">
        <x:f aca="0">IF(I239&lt;100,A239&amp;"O"&amp;COUNTIFS($A$6:A239,A239,$I$6:I239,"&lt;100"),"")</x:f>
        <x:v>P039O6</x:v>
      </x:c>
      <x:c r="R239" s="89" t="str">
        <x:f aca="0">IF(I239&lt;100,D239&amp;"O"&amp;COUNTIFS($D$6:D239,D239,$I$6:I239,"&lt;100"),"")</x:f>
        <x:v>KavyaO19</x:v>
      </x:c>
      <x:c r="S239" s="278" t="n">
        <x:f>IF(COUNTIF($B$6:$B$605,B239)&gt;1,1,0)</x:f>
        <x:v>0</x:v>
      </x:c>
    </x:row>
    <x:row r="240" ht="15" hidden="0">
      <x:c r="A240" s="83" t="s">
        <x:v>150</x:v>
      </x:c>
      <x:c r="B240" s="83" t="s">
        <x:v>782</x:v>
      </x:c>
      <x:c r="C240" s="83" t="s">
        <x:v>433</x:v>
      </x:c>
      <x:c r="D240" s="83" t="s">
        <x:v>435</x:v>
      </x:c>
      <x:c r="E240" s="83" t="s">
        <x:v>449</x:v>
      </x:c>
      <x:c r="F240" s="83" t="s">
        <x:v>557</x:v>
      </x:c>
      <x:c r="G240" s="85" t="n">
        <x:v>46243</x:v>
      </x:c>
      <x:c r="H240" s="85" t="n">
        <x:v>46259</x:v>
      </x:c>
      <x:c r="I240" s="87" t="n">
        <x:v>48</x:v>
      </x:c>
      <x:c r="J240" s="83" t="s">
        <x:v>543</x:v>
      </x:c>
      <x:c r="K240" s="83"/>
      <x:c r="L240" s="83" t="s">
        <x:v>395</x:v>
      </x:c>
      <x:c r="M240" s="83" t="n">
        <x:v>78</x:v>
      </x:c>
      <x:c r="N240" s="83" t="n">
        <x:v>55</x:v>
      </x:c>
      <x:c r="O240" s="85" t="n">
        <x:v>46274</x:v>
      </x:c>
      <x:c r="P240" s="89" t="str">
        <x:f aca="0">A240&amp;TEXT(COUNTIF($A$6:A240,A240),"00")</x:f>
        <x:v>P04001</x:v>
      </x:c>
      <x:c r="Q240" s="89" t="str">
        <x:f aca="0">IF(I240&lt;100,A240&amp;"O"&amp;COUNTIFS($A$6:A240,A240,$I$6:I240,"&lt;100"),"")</x:f>
        <x:v>P040O1</x:v>
      </x:c>
      <x:c r="R240" s="89" t="str">
        <x:f aca="0">IF(I240&lt;100,D240&amp;"O"&amp;COUNTIFS($D$6:D240,D240,$I$6:I240,"&lt;100"),"")</x:f>
        <x:v>VivekO22</x:v>
      </x:c>
      <x:c r="S240" s="278" t="n">
        <x:f>IF(COUNTIF($B$6:$B$605,B240)&gt;1,1,0)</x:f>
        <x:v>0</x:v>
      </x:c>
    </x:row>
    <x:row r="241" ht="15" hidden="0">
      <x:c r="A241" s="83" t="s">
        <x:v>150</x:v>
      </x:c>
      <x:c r="B241" s="83" t="s">
        <x:v>783</x:v>
      </x:c>
      <x:c r="C241" s="83" t="s">
        <x:v>440</x:v>
      </x:c>
      <x:c r="D241" s="83" t="s">
        <x:v>442</x:v>
      </x:c>
      <x:c r="E241" s="83" t="s">
        <x:v>452</x:v>
      </x:c>
      <x:c r="F241" s="83" t="s">
        <x:v>546</x:v>
      </x:c>
      <x:c r="G241" s="85" t="n">
        <x:v>46257</x:v>
      </x:c>
      <x:c r="H241" s="85" t="n">
        <x:v>46279</x:v>
      </x:c>
      <x:c r="I241" s="87" t="n">
        <x:v>47</x:v>
      </x:c>
      <x:c r="J241" s="83" t="s">
        <x:v>543</x:v>
      </x:c>
      <x:c r="K241" s="83"/>
      <x:c r="L241" s="83" t="s">
        <x:v>395</x:v>
      </x:c>
      <x:c r="M241" s="83" t="n">
        <x:v>30</x:v>
      </x:c>
      <x:c r="N241" s="83" t="n">
        <x:v>51</x:v>
      </x:c>
      <x:c r="O241" s="85" t="n">
        <x:v>46274</x:v>
      </x:c>
      <x:c r="P241" s="89" t="str">
        <x:f aca="0">A241&amp;TEXT(COUNTIF($A$6:A241,A241),"00")</x:f>
        <x:v>P04002</x:v>
      </x:c>
      <x:c r="Q241" s="89" t="str">
        <x:f aca="0">IF(I241&lt;100,A241&amp;"O"&amp;COUNTIFS($A$6:A241,A241,$I$6:I241,"&lt;100"),"")</x:f>
        <x:v>P040O2</x:v>
      </x:c>
      <x:c r="R241" s="89" t="str">
        <x:f aca="0">IF(I241&lt;100,D241&amp;"O"&amp;COUNTIFS($D$6:D241,D241,$I$6:I241,"&lt;100"),"")</x:f>
        <x:v>RituO21</x:v>
      </x:c>
      <x:c r="S241" s="278" t="n">
        <x:f>IF(COUNTIF($B$6:$B$605,B241)&gt;1,1,0)</x:f>
        <x:v>0</x:v>
      </x:c>
    </x:row>
    <x:row r="242" ht="15" hidden="0">
      <x:c r="A242" s="83" t="s">
        <x:v>150</x:v>
      </x:c>
      <x:c r="B242" s="83" t="s">
        <x:v>784</x:v>
      </x:c>
      <x:c r="C242" s="83" t="s">
        <x:v>444</x:v>
      </x:c>
      <x:c r="D242" s="83" t="s">
        <x:v>446</x:v>
      </x:c>
      <x:c r="E242" s="83" t="s">
        <x:v>455</x:v>
      </x:c>
      <x:c r="F242" s="83" t="s">
        <x:v>546</x:v>
      </x:c>
      <x:c r="G242" s="85" t="n">
        <x:v>46271</x:v>
      </x:c>
      <x:c r="H242" s="85" t="n">
        <x:v>46292</x:v>
      </x:c>
      <x:c r="I242" s="87" t="n">
        <x:v>43</x:v>
      </x:c>
      <x:c r="J242" s="83" t="s">
        <x:v>543</x:v>
      </x:c>
      <x:c r="K242" s="83"/>
      <x:c r="L242" s="83" t="s">
        <x:v>395</x:v>
      </x:c>
      <x:c r="M242" s="83" t="n">
        <x:v>23</x:v>
      </x:c>
      <x:c r="N242" s="83" t="n">
        <x:v>17</x:v>
      </x:c>
      <x:c r="O242" s="85" t="n">
        <x:v>46274</x:v>
      </x:c>
      <x:c r="P242" s="89" t="str">
        <x:f aca="0">A242&amp;TEXT(COUNTIF($A$6:A242,A242),"00")</x:f>
        <x:v>P04003</x:v>
      </x:c>
      <x:c r="Q242" s="89" t="str">
        <x:f aca="0">IF(I242&lt;100,A242&amp;"O"&amp;COUNTIFS($A$6:A242,A242,$I$6:I242,"&lt;100"),"")</x:f>
        <x:v>P040O3</x:v>
      </x:c>
      <x:c r="R242" s="89" t="str">
        <x:f aca="0">IF(I242&lt;100,D242&amp;"O"&amp;COUNTIFS($D$6:D242,D242,$I$6:I242,"&lt;100"),"")</x:f>
        <x:v>SanjayO22</x:v>
      </x:c>
      <x:c r="S242" s="278" t="n">
        <x:f>IF(COUNTIF($B$6:$B$605,B242)&gt;1,1,0)</x:f>
        <x:v>0</x:v>
      </x:c>
    </x:row>
    <x:row r="243" ht="15" hidden="0">
      <x:c r="A243" s="83" t="s">
        <x:v>150</x:v>
      </x:c>
      <x:c r="B243" s="83" t="s">
        <x:v>785</x:v>
      </x:c>
      <x:c r="C243" s="83" t="s">
        <x:v>448</x:v>
      </x:c>
      <x:c r="D243" s="83" t="s">
        <x:v>449</x:v>
      </x:c>
      <x:c r="E243" s="83" t="s">
        <x:v>462</x:v>
      </x:c>
      <x:c r="F243" s="83" t="s">
        <x:v>493</x:v>
      </x:c>
      <x:c r="G243" s="85" t="n">
        <x:v>46285</x:v>
      </x:c>
      <x:c r="H243" s="85" t="n">
        <x:v>46301</x:v>
      </x:c>
      <x:c r="I243" s="87" t="n">
        <x:v>52</x:v>
      </x:c>
      <x:c r="J243" s="83" t="s">
        <x:v>543</x:v>
      </x:c>
      <x:c r="K243" s="83"/>
      <x:c r="L243" s="83" t="s">
        <x:v>395</x:v>
      </x:c>
      <x:c r="M243" s="83" t="n">
        <x:v>72</x:v>
      </x:c>
      <x:c r="N243" s="83" t="n">
        <x:v>21</x:v>
      </x:c>
      <x:c r="O243" s="85" t="n">
        <x:v>46274</x:v>
      </x:c>
      <x:c r="P243" s="89" t="str">
        <x:f aca="0">A243&amp;TEXT(COUNTIF($A$6:A243,A243),"00")</x:f>
        <x:v>P04004</x:v>
      </x:c>
      <x:c r="Q243" s="89" t="str">
        <x:f aca="0">IF(I243&lt;100,A243&amp;"O"&amp;COUNTIFS($A$6:A243,A243,$I$6:I243,"&lt;100"),"")</x:f>
        <x:v>P040O4</x:v>
      </x:c>
      <x:c r="R243" s="89" t="str">
        <x:f aca="0">IF(I243&lt;100,D243&amp;"O"&amp;COUNTIFS($D$6:D243,D243,$I$6:I243,"&lt;100"),"")</x:f>
        <x:v>AnilO20</x:v>
      </x:c>
      <x:c r="S243" s="278" t="n">
        <x:f>IF(COUNTIF($B$6:$B$605,B243)&gt;1,1,0)</x:f>
        <x:v>0</x:v>
      </x:c>
    </x:row>
    <x:row r="244" ht="15" hidden="0">
      <x:c r="A244" s="83" t="s">
        <x:v>150</x:v>
      </x:c>
      <x:c r="B244" s="83" t="s">
        <x:v>786</x:v>
      </x:c>
      <x:c r="C244" s="83" t="s">
        <x:v>451</x:v>
      </x:c>
      <x:c r="D244" s="83" t="s">
        <x:v>452</x:v>
      </x:c>
      <x:c r="E244" s="83" t="s">
        <x:v>360</x:v>
      </x:c>
      <x:c r="F244" s="83" t="s">
        <x:v>493</x:v>
      </x:c>
      <x:c r="G244" s="85" t="n">
        <x:v>46299</x:v>
      </x:c>
      <x:c r="H244" s="85" t="n">
        <x:v>46319</x:v>
      </x:c>
      <x:c r="I244" s="87" t="n">
        <x:v>34</x:v>
      </x:c>
      <x:c r="J244" s="83" t="s">
        <x:v>586</x:v>
      </x:c>
      <x:c r="K244" s="83" t="s">
        <x:v>413</x:v>
      </x:c>
      <x:c r="L244" s="83" t="s">
        <x:v>412</x:v>
      </x:c>
      <x:c r="M244" s="83" t="n">
        <x:v>62</x:v>
      </x:c>
      <x:c r="N244" s="83" t="n">
        <x:v>63</x:v>
      </x:c>
      <x:c r="O244" s="85" t="n">
        <x:v>46274</x:v>
      </x:c>
      <x:c r="P244" s="89" t="str">
        <x:f aca="0">A244&amp;TEXT(COUNTIF($A$6:A244,A244),"00")</x:f>
        <x:v>P04005</x:v>
      </x:c>
      <x:c r="Q244" s="89" t="str">
        <x:f aca="0">IF(I244&lt;100,A244&amp;"O"&amp;COUNTIFS($A$6:A244,A244,$I$6:I244,"&lt;100"),"")</x:f>
        <x:v>P040O5</x:v>
      </x:c>
      <x:c r="R244" s="89" t="str">
        <x:f aca="0">IF(I244&lt;100,D244&amp;"O"&amp;COUNTIFS($D$6:D244,D244,$I$6:I244,"&lt;100"),"")</x:f>
        <x:v>KavyaO20</x:v>
      </x:c>
      <x:c r="S244" s="278" t="n">
        <x:f>IF(COUNTIF($B$6:$B$605,B244)&gt;1,1,0)</x:f>
        <x:v>0</x:v>
      </x:c>
    </x:row>
    <x:row r="245" ht="15" hidden="0">
      <x:c r="A245" s="83" t="s">
        <x:v>150</x:v>
      </x:c>
      <x:c r="B245" s="83" t="s">
        <x:v>787</x:v>
      </x:c>
      <x:c r="C245" s="83" t="s">
        <x:v>454</x:v>
      </x:c>
      <x:c r="D245" s="83" t="s">
        <x:v>455</x:v>
      </x:c>
      <x:c r="E245" s="83" t="s">
        <x:v>475</x:v>
      </x:c>
      <x:c r="F245" s="83" t="s">
        <x:v>550</x:v>
      </x:c>
      <x:c r="G245" s="85" t="n">
        <x:v>46313</x:v>
      </x:c>
      <x:c r="H245" s="85" t="n">
        <x:v>46330</x:v>
      </x:c>
      <x:c r="I245" s="87" t="n">
        <x:v>59</x:v>
      </x:c>
      <x:c r="J245" s="83" t="s">
        <x:v>543</x:v>
      </x:c>
      <x:c r="K245" s="83"/>
      <x:c r="L245" s="83" t="s">
        <x:v>395</x:v>
      </x:c>
      <x:c r="M245" s="83" t="n">
        <x:v>44</x:v>
      </x:c>
      <x:c r="N245" s="83" t="n">
        <x:v>81</x:v>
      </x:c>
      <x:c r="O245" s="85" t="n">
        <x:v>46274</x:v>
      </x:c>
      <x:c r="P245" s="89" t="str">
        <x:f aca="0">A245&amp;TEXT(COUNTIF($A$6:A245,A245),"00")</x:f>
        <x:v>P04006</x:v>
      </x:c>
      <x:c r="Q245" s="89" t="str">
        <x:f aca="0">IF(I245&lt;100,A245&amp;"O"&amp;COUNTIFS($A$6:A245,A245,$I$6:I245,"&lt;100"),"")</x:f>
        <x:v>P040O6</x:v>
      </x:c>
      <x:c r="R245" s="89" t="str">
        <x:f aca="0">IF(I245&lt;100,D245&amp;"O"&amp;COUNTIFS($D$6:D245,D245,$I$6:I245,"&lt;100"),"")</x:f>
        <x:v>RohanO18</x:v>
      </x:c>
      <x:c r="S245" s="278" t="n">
        <x:f>IF(COUNTIF($B$6:$B$605,B245)&gt;1,1,0)</x:f>
        <x:v>0</x:v>
      </x:c>
    </x:row>
    <x:row r="246" ht="15" hidden="0">
      <x:c r="A246" s="83" t="s">
        <x:v>248</x:v>
      </x:c>
      <x:c r="B246" s="83" t="s">
        <x:v>788</x:v>
      </x:c>
      <x:c r="C246" s="83" t="s">
        <x:v>433</x:v>
      </x:c>
      <x:c r="D246" s="83" t="s">
        <x:v>442</x:v>
      </x:c>
      <x:c r="E246" s="83" t="s">
        <x:v>452</x:v>
      </x:c>
      <x:c r="F246" s="83" t="s">
        <x:v>550</x:v>
      </x:c>
      <x:c r="G246" s="85" t="n">
        <x:v>46244</x:v>
      </x:c>
      <x:c r="H246" s="85" t="n">
        <x:v>46256</x:v>
      </x:c>
      <x:c r="I246" s="87" t="n">
        <x:v>18</x:v>
      </x:c>
      <x:c r="J246" s="83" t="s">
        <x:v>543</x:v>
      </x:c>
      <x:c r="K246" s="83"/>
      <x:c r="L246" s="83" t="s">
        <x:v>395</x:v>
      </x:c>
      <x:c r="M246" s="83" t="n">
        <x:v>43</x:v>
      </x:c>
      <x:c r="N246" s="83" t="n">
        <x:v>79</x:v>
      </x:c>
      <x:c r="O246" s="85" t="n">
        <x:v>46274</x:v>
      </x:c>
      <x:c r="P246" s="89" t="str">
        <x:f aca="0">A246&amp;TEXT(COUNTIF($A$6:A246,A246),"00")</x:f>
        <x:v>P04101</x:v>
      </x:c>
      <x:c r="Q246" s="89" t="str">
        <x:f aca="0">IF(I246&lt;100,A246&amp;"O"&amp;COUNTIFS($A$6:A246,A246,$I$6:I246,"&lt;100"),"")</x:f>
        <x:v>P041O1</x:v>
      </x:c>
      <x:c r="R246" s="89" t="str">
        <x:f aca="0">IF(I246&lt;100,D246&amp;"O"&amp;COUNTIFS($D$6:D246,D246,$I$6:I246,"&lt;100"),"")</x:f>
        <x:v>RituO22</x:v>
      </x:c>
      <x:c r="S246" s="278" t="n">
        <x:f>IF(COUNTIF($B$6:$B$605,B246)&gt;1,1,0)</x:f>
        <x:v>0</x:v>
      </x:c>
    </x:row>
    <x:row r="247" ht="15" hidden="0">
      <x:c r="A247" s="83" t="s">
        <x:v>248</x:v>
      </x:c>
      <x:c r="B247" s="83" t="s">
        <x:v>789</x:v>
      </x:c>
      <x:c r="C247" s="83" t="s">
        <x:v>440</x:v>
      </x:c>
      <x:c r="D247" s="83" t="s">
        <x:v>446</x:v>
      </x:c>
      <x:c r="E247" s="83" t="s">
        <x:v>455</x:v>
      </x:c>
      <x:c r="F247" s="83" t="s">
        <x:v>493</x:v>
      </x:c>
      <x:c r="G247" s="85" t="n">
        <x:v>46258</x:v>
      </x:c>
      <x:c r="H247" s="85" t="n">
        <x:v>46275</x:v>
      </x:c>
      <x:c r="I247" s="87" t="n">
        <x:v>35</x:v>
      </x:c>
      <x:c r="J247" s="83" t="s">
        <x:v>543</x:v>
      </x:c>
      <x:c r="K247" s="83"/>
      <x:c r="L247" s="83" t="s">
        <x:v>395</x:v>
      </x:c>
      <x:c r="M247" s="83" t="n">
        <x:v>77</x:v>
      </x:c>
      <x:c r="N247" s="83" t="n">
        <x:v>72</x:v>
      </x:c>
      <x:c r="O247" s="85" t="n">
        <x:v>46274</x:v>
      </x:c>
      <x:c r="P247" s="89" t="str">
        <x:f aca="0">A247&amp;TEXT(COUNTIF($A$6:A247,A247),"00")</x:f>
        <x:v>P04102</x:v>
      </x:c>
      <x:c r="Q247" s="89" t="str">
        <x:f aca="0">IF(I247&lt;100,A247&amp;"O"&amp;COUNTIFS($A$6:A247,A247,$I$6:I247,"&lt;100"),"")</x:f>
        <x:v>P041O2</x:v>
      </x:c>
      <x:c r="R247" s="89" t="str">
        <x:f aca="0">IF(I247&lt;100,D247&amp;"O"&amp;COUNTIFS($D$6:D247,D247,$I$6:I247,"&lt;100"),"")</x:f>
        <x:v>SanjayO23</x:v>
      </x:c>
      <x:c r="S247" s="278" t="n">
        <x:f>IF(COUNTIF($B$6:$B$605,B247)&gt;1,1,0)</x:f>
        <x:v>0</x:v>
      </x:c>
    </x:row>
    <x:row r="248" ht="15" hidden="0">
      <x:c r="A248" s="83" t="s">
        <x:v>248</x:v>
      </x:c>
      <x:c r="B248" s="83" t="s">
        <x:v>790</x:v>
      </x:c>
      <x:c r="C248" s="83" t="s">
        <x:v>444</x:v>
      </x:c>
      <x:c r="D248" s="83" t="s">
        <x:v>449</x:v>
      </x:c>
      <x:c r="E248" s="83" t="s">
        <x:v>462</x:v>
      </x:c>
      <x:c r="F248" s="83" t="s">
        <x:v>546</x:v>
      </x:c>
      <x:c r="G248" s="85" t="n">
        <x:v>46272</x:v>
      </x:c>
      <x:c r="H248" s="85" t="n">
        <x:v>46296</x:v>
      </x:c>
      <x:c r="I248" s="87" t="n">
        <x:v>45</x:v>
      </x:c>
      <x:c r="J248" s="83" t="s">
        <x:v>543</x:v>
      </x:c>
      <x:c r="K248" s="83"/>
      <x:c r="L248" s="83" t="s">
        <x:v>395</x:v>
      </x:c>
      <x:c r="M248" s="83" t="n">
        <x:v>74</x:v>
      </x:c>
      <x:c r="N248" s="83" t="n">
        <x:v>92</x:v>
      </x:c>
      <x:c r="O248" s="85" t="n">
        <x:v>46274</x:v>
      </x:c>
      <x:c r="P248" s="89" t="str">
        <x:f aca="0">A248&amp;TEXT(COUNTIF($A$6:A248,A248),"00")</x:f>
        <x:v>P04103</x:v>
      </x:c>
      <x:c r="Q248" s="89" t="str">
        <x:f aca="0">IF(I248&lt;100,A248&amp;"O"&amp;COUNTIFS($A$6:A248,A248,$I$6:I248,"&lt;100"),"")</x:f>
        <x:v>P041O3</x:v>
      </x:c>
      <x:c r="R248" s="89" t="str">
        <x:f aca="0">IF(I248&lt;100,D248&amp;"O"&amp;COUNTIFS($D$6:D248,D248,$I$6:I248,"&lt;100"),"")</x:f>
        <x:v>AnilO21</x:v>
      </x:c>
      <x:c r="S248" s="278" t="n">
        <x:f>IF(COUNTIF($B$6:$B$605,B248)&gt;1,1,0)</x:f>
        <x:v>0</x:v>
      </x:c>
    </x:row>
    <x:row r="249" ht="15" hidden="0">
      <x:c r="A249" s="83" t="s">
        <x:v>248</x:v>
      </x:c>
      <x:c r="B249" s="83" t="s">
        <x:v>791</x:v>
      </x:c>
      <x:c r="C249" s="83" t="s">
        <x:v>448</x:v>
      </x:c>
      <x:c r="D249" s="83" t="s">
        <x:v>452</x:v>
      </x:c>
      <x:c r="E249" s="83" t="s">
        <x:v>360</x:v>
      </x:c>
      <x:c r="F249" s="83" t="s">
        <x:v>493</x:v>
      </x:c>
      <x:c r="G249" s="85" t="n">
        <x:v>46286</x:v>
      </x:c>
      <x:c r="H249" s="85" t="n">
        <x:v>46303</x:v>
      </x:c>
      <x:c r="I249" s="87" t="n">
        <x:v>49</x:v>
      </x:c>
      <x:c r="J249" s="83" t="s">
        <x:v>543</x:v>
      </x:c>
      <x:c r="K249" s="83" t="s">
        <x:v>396</x:v>
      </x:c>
      <x:c r="L249" s="83" t="s">
        <x:v>395</x:v>
      </x:c>
      <x:c r="M249" s="83" t="n">
        <x:v>85</x:v>
      </x:c>
      <x:c r="N249" s="83" t="n">
        <x:v>78</x:v>
      </x:c>
      <x:c r="O249" s="85" t="n">
        <x:v>46274</x:v>
      </x:c>
      <x:c r="P249" s="89" t="str">
        <x:f aca="0">A249&amp;TEXT(COUNTIF($A$6:A249,A249),"00")</x:f>
        <x:v>P04104</x:v>
      </x:c>
      <x:c r="Q249" s="89" t="str">
        <x:f aca="0">IF(I249&lt;100,A249&amp;"O"&amp;COUNTIFS($A$6:A249,A249,$I$6:I249,"&lt;100"),"")</x:f>
        <x:v>P041O4</x:v>
      </x:c>
      <x:c r="R249" s="89" t="str">
        <x:f aca="0">IF(I249&lt;100,D249&amp;"O"&amp;COUNTIFS($D$6:D249,D249,$I$6:I249,"&lt;100"),"")</x:f>
        <x:v>KavyaO21</x:v>
      </x:c>
      <x:c r="S249" s="278" t="n">
        <x:f>IF(COUNTIF($B$6:$B$605,B249)&gt;1,1,0)</x:f>
        <x:v>0</x:v>
      </x:c>
    </x:row>
    <x:row r="250" ht="15" hidden="0">
      <x:c r="A250" s="83" t="s">
        <x:v>248</x:v>
      </x:c>
      <x:c r="B250" s="83" t="s">
        <x:v>792</x:v>
      </x:c>
      <x:c r="C250" s="83" t="s">
        <x:v>451</x:v>
      </x:c>
      <x:c r="D250" s="83" t="s">
        <x:v>455</x:v>
      </x:c>
      <x:c r="E250" s="83" t="s">
        <x:v>475</x:v>
      </x:c>
      <x:c r="F250" s="83" t="s">
        <x:v>546</x:v>
      </x:c>
      <x:c r="G250" s="85" t="n">
        <x:v>46300</x:v>
      </x:c>
      <x:c r="H250" s="85" t="n">
        <x:v>46322</x:v>
      </x:c>
      <x:c r="I250" s="87" t="n">
        <x:v>42</x:v>
      </x:c>
      <x:c r="J250" s="83" t="s">
        <x:v>543</x:v>
      </x:c>
      <x:c r="K250" s="83" t="s">
        <x:v>396</x:v>
      </x:c>
      <x:c r="L250" s="83" t="s">
        <x:v>395</x:v>
      </x:c>
      <x:c r="M250" s="83" t="n">
        <x:v>94</x:v>
      </x:c>
      <x:c r="N250" s="83" t="n">
        <x:v>57</x:v>
      </x:c>
      <x:c r="O250" s="85" t="n">
        <x:v>46274</x:v>
      </x:c>
      <x:c r="P250" s="89" t="str">
        <x:f aca="0">A250&amp;TEXT(COUNTIF($A$6:A250,A250),"00")</x:f>
        <x:v>P04105</x:v>
      </x:c>
      <x:c r="Q250" s="89" t="str">
        <x:f aca="0">IF(I250&lt;100,A250&amp;"O"&amp;COUNTIFS($A$6:A250,A250,$I$6:I250,"&lt;100"),"")</x:f>
        <x:v>P041O5</x:v>
      </x:c>
      <x:c r="R250" s="89" t="str">
        <x:f aca="0">IF(I250&lt;100,D250&amp;"O"&amp;COUNTIFS($D$6:D250,D250,$I$6:I250,"&lt;100"),"")</x:f>
        <x:v>RohanO19</x:v>
      </x:c>
      <x:c r="S250" s="278" t="n">
        <x:f>IF(COUNTIF($B$6:$B$605,B250)&gt;1,1,0)</x:f>
        <x:v>0</x:v>
      </x:c>
    </x:row>
    <x:row r="251" ht="15" hidden="0">
      <x:c r="A251" s="83" t="s">
        <x:v>248</x:v>
      </x:c>
      <x:c r="B251" s="83" t="s">
        <x:v>793</x:v>
      </x:c>
      <x:c r="C251" s="83" t="s">
        <x:v>454</x:v>
      </x:c>
      <x:c r="D251" s="83" t="s">
        <x:v>462</x:v>
      </x:c>
      <x:c r="E251" s="83" t="s">
        <x:v>434</x:v>
      </x:c>
      <x:c r="F251" s="83" t="s">
        <x:v>546</x:v>
      </x:c>
      <x:c r="G251" s="85" t="n">
        <x:v>46314</x:v>
      </x:c>
      <x:c r="H251" s="85" t="n">
        <x:v>46324</x:v>
      </x:c>
      <x:c r="I251" s="87" t="n">
        <x:v>20</x:v>
      </x:c>
      <x:c r="J251" s="83" t="s">
        <x:v>543</x:v>
      </x:c>
      <x:c r="K251" s="83" t="s">
        <x:v>396</x:v>
      </x:c>
      <x:c r="L251" s="83" t="s">
        <x:v>395</x:v>
      </x:c>
      <x:c r="M251" s="83" t="n">
        <x:v>87</x:v>
      </x:c>
      <x:c r="N251" s="83" t="n">
        <x:v>85</x:v>
      </x:c>
      <x:c r="O251" s="85" t="n">
        <x:v>46274</x:v>
      </x:c>
      <x:c r="P251" s="89" t="str">
        <x:f aca="0">A251&amp;TEXT(COUNTIF($A$6:A251,A251),"00")</x:f>
        <x:v>P04106</x:v>
      </x:c>
      <x:c r="Q251" s="89" t="str">
        <x:f aca="0">IF(I251&lt;100,A251&amp;"O"&amp;COUNTIFS($A$6:A251,A251,$I$6:I251,"&lt;100"),"")</x:f>
        <x:v>P041O6</x:v>
      </x:c>
      <x:c r="R251" s="89" t="str">
        <x:f aca="0">IF(I251&lt;100,D251&amp;"O"&amp;COUNTIFS($D$6:D251,D251,$I$6:I251,"&lt;100"),"")</x:f>
        <x:v>DeepaO19</x:v>
      </x:c>
      <x:c r="S251" s="278" t="n">
        <x:f>IF(COUNTIF($B$6:$B$605,B251)&gt;1,1,0)</x:f>
        <x:v>0</x:v>
      </x:c>
    </x:row>
    <x:row r="252" ht="15" hidden="0">
      <x:c r="A252" s="83" t="s">
        <x:v>175</x:v>
      </x:c>
      <x:c r="B252" s="83" t="s">
        <x:v>794</x:v>
      </x:c>
      <x:c r="C252" s="83" t="s">
        <x:v>433</x:v>
      </x:c>
      <x:c r="D252" s="83" t="s">
        <x:v>446</x:v>
      </x:c>
      <x:c r="E252" s="83" t="s">
        <x:v>455</x:v>
      </x:c>
      <x:c r="F252" s="83" t="s">
        <x:v>493</x:v>
      </x:c>
      <x:c r="G252" s="85" t="n">
        <x:v>46245</x:v>
      </x:c>
      <x:c r="H252" s="85" t="n">
        <x:v>46262</x:v>
      </x:c>
      <x:c r="I252" s="87" t="n">
        <x:v>38</x:v>
      </x:c>
      <x:c r="J252" s="83" t="s">
        <x:v>543</x:v>
      </x:c>
      <x:c r="K252" s="83"/>
      <x:c r="L252" s="83" t="s">
        <x:v>395</x:v>
      </x:c>
      <x:c r="M252" s="83" t="n">
        <x:v>36</x:v>
      </x:c>
      <x:c r="N252" s="83" t="n">
        <x:v>53</x:v>
      </x:c>
      <x:c r="O252" s="85" t="n">
        <x:v>46274</x:v>
      </x:c>
      <x:c r="P252" s="89" t="str">
        <x:f aca="0">A252&amp;TEXT(COUNTIF($A$6:A252,A252),"00")</x:f>
        <x:v>P04201</x:v>
      </x:c>
      <x:c r="Q252" s="89" t="str">
        <x:f aca="0">IF(I252&lt;100,A252&amp;"O"&amp;COUNTIFS($A$6:A252,A252,$I$6:I252,"&lt;100"),"")</x:f>
        <x:v>P042O1</x:v>
      </x:c>
      <x:c r="R252" s="89" t="str">
        <x:f aca="0">IF(I252&lt;100,D252&amp;"O"&amp;COUNTIFS($D$6:D252,D252,$I$6:I252,"&lt;100"),"")</x:f>
        <x:v>SanjayO24</x:v>
      </x:c>
      <x:c r="S252" s="278" t="n">
        <x:f>IF(COUNTIF($B$6:$B$605,B252)&gt;1,1,0)</x:f>
        <x:v>0</x:v>
      </x:c>
    </x:row>
    <x:row r="253" ht="15" hidden="0">
      <x:c r="A253" s="83" t="s">
        <x:v>175</x:v>
      </x:c>
      <x:c r="B253" s="83" t="s">
        <x:v>795</x:v>
      </x:c>
      <x:c r="C253" s="83" t="s">
        <x:v>440</x:v>
      </x:c>
      <x:c r="D253" s="83" t="s">
        <x:v>449</x:v>
      </x:c>
      <x:c r="E253" s="83" t="s">
        <x:v>462</x:v>
      </x:c>
      <x:c r="F253" s="83" t="s">
        <x:v>557</x:v>
      </x:c>
      <x:c r="G253" s="85" t="n">
        <x:v>46259</x:v>
      </x:c>
      <x:c r="H253" s="85" t="n">
        <x:v>46274</x:v>
      </x:c>
      <x:c r="I253" s="87" t="n">
        <x:v>40</x:v>
      </x:c>
      <x:c r="J253" s="83" t="s">
        <x:v>543</x:v>
      </x:c>
      <x:c r="K253" s="83"/>
      <x:c r="L253" s="83" t="s">
        <x:v>395</x:v>
      </x:c>
      <x:c r="M253" s="83" t="n">
        <x:v>70</x:v>
      </x:c>
      <x:c r="N253" s="83" t="n">
        <x:v>41</x:v>
      </x:c>
      <x:c r="O253" s="85" t="n">
        <x:v>46274</x:v>
      </x:c>
      <x:c r="P253" s="89" t="str">
        <x:f aca="0">A253&amp;TEXT(COUNTIF($A$6:A253,A253),"00")</x:f>
        <x:v>P04202</x:v>
      </x:c>
      <x:c r="Q253" s="89" t="str">
        <x:f aca="0">IF(I253&lt;100,A253&amp;"O"&amp;COUNTIFS($A$6:A253,A253,$I$6:I253,"&lt;100"),"")</x:f>
        <x:v>P042O2</x:v>
      </x:c>
      <x:c r="R253" s="89" t="str">
        <x:f aca="0">IF(I253&lt;100,D253&amp;"O"&amp;COUNTIFS($D$6:D253,D253,$I$6:I253,"&lt;100"),"")</x:f>
        <x:v>AnilO22</x:v>
      </x:c>
      <x:c r="S253" s="278" t="n">
        <x:f>IF(COUNTIF($B$6:$B$605,B253)&gt;1,1,0)</x:f>
        <x:v>0</x:v>
      </x:c>
    </x:row>
    <x:row r="254" ht="15" hidden="0">
      <x:c r="A254" s="83" t="s">
        <x:v>175</x:v>
      </x:c>
      <x:c r="B254" s="83" t="s">
        <x:v>796</x:v>
      </x:c>
      <x:c r="C254" s="83" t="s">
        <x:v>444</x:v>
      </x:c>
      <x:c r="D254" s="83" t="s">
        <x:v>452</x:v>
      </x:c>
      <x:c r="E254" s="83" t="s">
        <x:v>360</x:v>
      </x:c>
      <x:c r="F254" s="83" t="s">
        <x:v>493</x:v>
      </x:c>
      <x:c r="G254" s="85" t="n">
        <x:v>46273</x:v>
      </x:c>
      <x:c r="H254" s="85" t="n">
        <x:v>46282</x:v>
      </x:c>
      <x:c r="I254" s="87" t="n">
        <x:v>36</x:v>
      </x:c>
      <x:c r="J254" s="83" t="s">
        <x:v>543</x:v>
      </x:c>
      <x:c r="K254" s="83" t="s">
        <x:v>396</x:v>
      </x:c>
      <x:c r="L254" s="83" t="s">
        <x:v>395</x:v>
      </x:c>
      <x:c r="M254" s="83" t="n">
        <x:v>38</x:v>
      </x:c>
      <x:c r="N254" s="83" t="n">
        <x:v>60</x:v>
      </x:c>
      <x:c r="O254" s="85" t="n">
        <x:v>46274</x:v>
      </x:c>
      <x:c r="P254" s="89" t="str">
        <x:f aca="0">A254&amp;TEXT(COUNTIF($A$6:A254,A254),"00")</x:f>
        <x:v>P04203</x:v>
      </x:c>
      <x:c r="Q254" s="89" t="str">
        <x:f aca="0">IF(I254&lt;100,A254&amp;"O"&amp;COUNTIFS($A$6:A254,A254,$I$6:I254,"&lt;100"),"")</x:f>
        <x:v>P042O3</x:v>
      </x:c>
      <x:c r="R254" s="89" t="str">
        <x:f aca="0">IF(I254&lt;100,D254&amp;"O"&amp;COUNTIFS($D$6:D254,D254,$I$6:I254,"&lt;100"),"")</x:f>
        <x:v>KavyaO22</x:v>
      </x:c>
      <x:c r="S254" s="278" t="n">
        <x:f>IF(COUNTIF($B$6:$B$605,B254)&gt;1,1,0)</x:f>
        <x:v>0</x:v>
      </x:c>
    </x:row>
    <x:row r="255" ht="15" hidden="0">
      <x:c r="A255" s="83" t="s">
        <x:v>175</x:v>
      </x:c>
      <x:c r="B255" s="83" t="s">
        <x:v>797</x:v>
      </x:c>
      <x:c r="C255" s="83" t="s">
        <x:v>448</x:v>
      </x:c>
      <x:c r="D255" s="83" t="s">
        <x:v>455</x:v>
      </x:c>
      <x:c r="E255" s="83" t="s">
        <x:v>475</x:v>
      </x:c>
      <x:c r="F255" s="83" t="s">
        <x:v>493</x:v>
      </x:c>
      <x:c r="G255" s="85" t="n">
        <x:v>46287</x:v>
      </x:c>
      <x:c r="H255" s="85" t="n">
        <x:v>46302</x:v>
      </x:c>
      <x:c r="I255" s="87" t="n">
        <x:v>19</x:v>
      </x:c>
      <x:c r="J255" s="83" t="s">
        <x:v>543</x:v>
      </x:c>
      <x:c r="K255" s="83"/>
      <x:c r="L255" s="83" t="s">
        <x:v>395</x:v>
      </x:c>
      <x:c r="M255" s="83" t="n">
        <x:v>59</x:v>
      </x:c>
      <x:c r="N255" s="83" t="n">
        <x:v>91</x:v>
      </x:c>
      <x:c r="O255" s="85" t="n">
        <x:v>46274</x:v>
      </x:c>
      <x:c r="P255" s="89" t="str">
        <x:f aca="0">A255&amp;TEXT(COUNTIF($A$6:A255,A255),"00")</x:f>
        <x:v>P04204</x:v>
      </x:c>
      <x:c r="Q255" s="89" t="str">
        <x:f aca="0">IF(I255&lt;100,A255&amp;"O"&amp;COUNTIFS($A$6:A255,A255,$I$6:I255,"&lt;100"),"")</x:f>
        <x:v>P042O4</x:v>
      </x:c>
      <x:c r="R255" s="89" t="str">
        <x:f aca="0">IF(I255&lt;100,D255&amp;"O"&amp;COUNTIFS($D$6:D255,D255,$I$6:I255,"&lt;100"),"")</x:f>
        <x:v>RohanO20</x:v>
      </x:c>
      <x:c r="S255" s="278" t="n">
        <x:f>IF(COUNTIF($B$6:$B$605,B255)&gt;1,1,0)</x:f>
        <x:v>0</x:v>
      </x:c>
    </x:row>
    <x:row r="256" ht="15" hidden="0">
      <x:c r="A256" s="83" t="s">
        <x:v>175</x:v>
      </x:c>
      <x:c r="B256" s="83" t="s">
        <x:v>798</x:v>
      </x:c>
      <x:c r="C256" s="83" t="s">
        <x:v>451</x:v>
      </x:c>
      <x:c r="D256" s="83" t="s">
        <x:v>462</x:v>
      </x:c>
      <x:c r="E256" s="83" t="s">
        <x:v>434</x:v>
      </x:c>
      <x:c r="F256" s="83" t="s">
        <x:v>493</x:v>
      </x:c>
      <x:c r="G256" s="85" t="n">
        <x:v>46301</x:v>
      </x:c>
      <x:c r="H256" s="85" t="n">
        <x:v>46315</x:v>
      </x:c>
      <x:c r="I256" s="87" t="n">
        <x:v>33</x:v>
      </x:c>
      <x:c r="J256" s="83" t="s">
        <x:v>543</x:v>
      </x:c>
      <x:c r="K256" s="83"/>
      <x:c r="L256" s="83" t="s">
        <x:v>395</x:v>
      </x:c>
      <x:c r="M256" s="83" t="n">
        <x:v>97</x:v>
      </x:c>
      <x:c r="N256" s="83" t="n">
        <x:v>15</x:v>
      </x:c>
      <x:c r="O256" s="85" t="n">
        <x:v>46274</x:v>
      </x:c>
      <x:c r="P256" s="89" t="str">
        <x:f aca="0">A256&amp;TEXT(COUNTIF($A$6:A256,A256),"00")</x:f>
        <x:v>P04205</x:v>
      </x:c>
      <x:c r="Q256" s="89" t="str">
        <x:f aca="0">IF(I256&lt;100,A256&amp;"O"&amp;COUNTIFS($A$6:A256,A256,$I$6:I256,"&lt;100"),"")</x:f>
        <x:v>P042O5</x:v>
      </x:c>
      <x:c r="R256" s="89" t="str">
        <x:f aca="0">IF(I256&lt;100,D256&amp;"O"&amp;COUNTIFS($D$6:D256,D256,$I$6:I256,"&lt;100"),"")</x:f>
        <x:v>DeepaO20</x:v>
      </x:c>
      <x:c r="S256" s="278" t="n">
        <x:f>IF(COUNTIF($B$6:$B$605,B256)&gt;1,1,0)</x:f>
        <x:v>0</x:v>
      </x:c>
    </x:row>
    <x:row r="257" ht="15" hidden="0">
      <x:c r="A257" s="83" t="s">
        <x:v>175</x:v>
      </x:c>
      <x:c r="B257" s="83" t="s">
        <x:v>799</x:v>
      </x:c>
      <x:c r="C257" s="83" t="s">
        <x:v>454</x:v>
      </x:c>
      <x:c r="D257" s="83" t="s">
        <x:v>360</x:v>
      </x:c>
      <x:c r="E257" s="83" t="s">
        <x:v>441</x:v>
      </x:c>
      <x:c r="F257" s="83" t="s">
        <x:v>557</x:v>
      </x:c>
      <x:c r="G257" s="85" t="n">
        <x:v>46315</x:v>
      </x:c>
      <x:c r="H257" s="85" t="n">
        <x:v>46339</x:v>
      </x:c>
      <x:c r="I257" s="87" t="n">
        <x:v>50</x:v>
      </x:c>
      <x:c r="J257" s="83" t="s">
        <x:v>543</x:v>
      </x:c>
      <x:c r="K257" s="83"/>
      <x:c r="L257" s="83" t="s">
        <x:v>395</x:v>
      </x:c>
      <x:c r="M257" s="83" t="n">
        <x:v>99</x:v>
      </x:c>
      <x:c r="N257" s="83" t="n">
        <x:v>86</x:v>
      </x:c>
      <x:c r="O257" s="85" t="n">
        <x:v>46274</x:v>
      </x:c>
      <x:c r="P257" s="89" t="str">
        <x:f aca="0">A257&amp;TEXT(COUNTIF($A$6:A257,A257),"00")</x:f>
        <x:v>P04206</x:v>
      </x:c>
      <x:c r="Q257" s="89" t="str">
        <x:f aca="0">IF(I257&lt;100,A257&amp;"O"&amp;COUNTIFS($A$6:A257,A257,$I$6:I257,"&lt;100"),"")</x:f>
        <x:v>P042O6</x:v>
      </x:c>
      <x:c r="R257" s="89" t="str">
        <x:f aca="0">IF(I257&lt;100,D257&amp;"O"&amp;COUNTIFS($D$6:D257,D257,$I$6:I257,"&lt;100"),"")</x:f>
        <x:v>AmitO19</x:v>
      </x:c>
      <x:c r="S257" s="278" t="n">
        <x:f>IF(COUNTIF($B$6:$B$605,B257)&gt;1,1,0)</x:f>
        <x:v>0</x:v>
      </x:c>
    </x:row>
    <x:row r="258" ht="15" hidden="0">
      <x:c r="A258" s="83" t="s">
        <x:v>262</x:v>
      </x:c>
      <x:c r="B258" s="83" t="s">
        <x:v>800</x:v>
      </x:c>
      <x:c r="C258" s="83" t="s">
        <x:v>433</x:v>
      </x:c>
      <x:c r="D258" s="83" t="s">
        <x:v>449</x:v>
      </x:c>
      <x:c r="E258" s="83" t="s">
        <x:v>462</x:v>
      </x:c>
      <x:c r="F258" s="83" t="s">
        <x:v>557</x:v>
      </x:c>
      <x:c r="G258" s="85" t="n">
        <x:v>46246</x:v>
      </x:c>
      <x:c r="H258" s="85" t="n">
        <x:v>46258</x:v>
      </x:c>
      <x:c r="I258" s="87" t="n">
        <x:v>82</x:v>
      </x:c>
      <x:c r="J258" s="83" t="s">
        <x:v>543</x:v>
      </x:c>
      <x:c r="K258" s="83"/>
      <x:c r="L258" s="83" t="s">
        <x:v>395</x:v>
      </x:c>
      <x:c r="M258" s="83" t="n">
        <x:v>47</x:v>
      </x:c>
      <x:c r="N258" s="83" t="n">
        <x:v>46</x:v>
      </x:c>
      <x:c r="O258" s="85" t="n">
        <x:v>46274</x:v>
      </x:c>
      <x:c r="P258" s="89" t="str">
        <x:f aca="0">A258&amp;TEXT(COUNTIF($A$6:A258,A258),"00")</x:f>
        <x:v>P04301</x:v>
      </x:c>
      <x:c r="Q258" s="89" t="str">
        <x:f aca="0">IF(I258&lt;100,A258&amp;"O"&amp;COUNTIFS($A$6:A258,A258,$I$6:I258,"&lt;100"),"")</x:f>
        <x:v>P043O1</x:v>
      </x:c>
      <x:c r="R258" s="89" t="str">
        <x:f aca="0">IF(I258&lt;100,D258&amp;"O"&amp;COUNTIFS($D$6:D258,D258,$I$6:I258,"&lt;100"),"")</x:f>
        <x:v>AnilO23</x:v>
      </x:c>
      <x:c r="S258" s="278" t="n">
        <x:f>IF(COUNTIF($B$6:$B$605,B258)&gt;1,1,0)</x:f>
        <x:v>0</x:v>
      </x:c>
    </x:row>
    <x:row r="259" ht="15" hidden="0">
      <x:c r="A259" s="83" t="s">
        <x:v>262</x:v>
      </x:c>
      <x:c r="B259" s="83" t="s">
        <x:v>801</x:v>
      </x:c>
      <x:c r="C259" s="83" t="s">
        <x:v>440</x:v>
      </x:c>
      <x:c r="D259" s="83" t="s">
        <x:v>452</x:v>
      </x:c>
      <x:c r="E259" s="83" t="s">
        <x:v>360</x:v>
      </x:c>
      <x:c r="F259" s="83" t="s">
        <x:v>493</x:v>
      </x:c>
      <x:c r="G259" s="85" t="n">
        <x:v>46260</x:v>
      </x:c>
      <x:c r="H259" s="85" t="n">
        <x:v>46276</x:v>
      </x:c>
      <x:c r="I259" s="87" t="n">
        <x:v>59</x:v>
      </x:c>
      <x:c r="J259" s="83" t="s">
        <x:v>543</x:v>
      </x:c>
      <x:c r="K259" s="83"/>
      <x:c r="L259" s="83" t="s">
        <x:v>395</x:v>
      </x:c>
      <x:c r="M259" s="83" t="n">
        <x:v>34</x:v>
      </x:c>
      <x:c r="N259" s="83" t="n">
        <x:v>48</x:v>
      </x:c>
      <x:c r="O259" s="85" t="n">
        <x:v>46274</x:v>
      </x:c>
      <x:c r="P259" s="89" t="str">
        <x:f aca="0">A259&amp;TEXT(COUNTIF($A$6:A259,A259),"00")</x:f>
        <x:v>P04302</x:v>
      </x:c>
      <x:c r="Q259" s="89" t="str">
        <x:f aca="0">IF(I259&lt;100,A259&amp;"O"&amp;COUNTIFS($A$6:A259,A259,$I$6:I259,"&lt;100"),"")</x:f>
        <x:v>P043O2</x:v>
      </x:c>
      <x:c r="R259" s="89" t="str">
        <x:f aca="0">IF(I259&lt;100,D259&amp;"O"&amp;COUNTIFS($D$6:D259,D259,$I$6:I259,"&lt;100"),"")</x:f>
        <x:v>KavyaO23</x:v>
      </x:c>
      <x:c r="S259" s="278" t="n">
        <x:f>IF(COUNTIF($B$6:$B$605,B259)&gt;1,1,0)</x:f>
        <x:v>0</x:v>
      </x:c>
    </x:row>
    <x:row r="260" ht="15" hidden="0">
      <x:c r="A260" s="83" t="s">
        <x:v>262</x:v>
      </x:c>
      <x:c r="B260" s="83" t="s">
        <x:v>802</x:v>
      </x:c>
      <x:c r="C260" s="83" t="s">
        <x:v>444</x:v>
      </x:c>
      <x:c r="D260" s="83" t="s">
        <x:v>455</x:v>
      </x:c>
      <x:c r="E260" s="83" t="s">
        <x:v>475</x:v>
      </x:c>
      <x:c r="F260" s="83" t="s">
        <x:v>493</x:v>
      </x:c>
      <x:c r="G260" s="85" t="n">
        <x:v>46274</x:v>
      </x:c>
      <x:c r="H260" s="85" t="n">
        <x:v>46287</x:v>
      </x:c>
      <x:c r="I260" s="87" t="n">
        <x:v>75</x:v>
      </x:c>
      <x:c r="J260" s="83" t="s">
        <x:v>543</x:v>
      </x:c>
      <x:c r="K260" s="83" t="s">
        <x:v>396</x:v>
      </x:c>
      <x:c r="L260" s="83" t="s">
        <x:v>395</x:v>
      </x:c>
      <x:c r="M260" s="83" t="n">
        <x:v>94</x:v>
      </x:c>
      <x:c r="N260" s="83" t="n">
        <x:v>84</x:v>
      </x:c>
      <x:c r="O260" s="85" t="n">
        <x:v>46274</x:v>
      </x:c>
      <x:c r="P260" s="89" t="str">
        <x:f aca="0">A260&amp;TEXT(COUNTIF($A$6:A260,A260),"00")</x:f>
        <x:v>P04303</x:v>
      </x:c>
      <x:c r="Q260" s="89" t="str">
        <x:f aca="0">IF(I260&lt;100,A260&amp;"O"&amp;COUNTIFS($A$6:A260,A260,$I$6:I260,"&lt;100"),"")</x:f>
        <x:v>P043O3</x:v>
      </x:c>
      <x:c r="R260" s="89" t="str">
        <x:f aca="0">IF(I260&lt;100,D260&amp;"O"&amp;COUNTIFS($D$6:D260,D260,$I$6:I260,"&lt;100"),"")</x:f>
        <x:v>RohanO21</x:v>
      </x:c>
      <x:c r="S260" s="278" t="n">
        <x:f>IF(COUNTIF($B$6:$B$605,B260)&gt;1,1,0)</x:f>
        <x:v>0</x:v>
      </x:c>
    </x:row>
    <x:row r="261" ht="15" hidden="0">
      <x:c r="A261" s="83" t="s">
        <x:v>262</x:v>
      </x:c>
      <x:c r="B261" s="83" t="s">
        <x:v>803</x:v>
      </x:c>
      <x:c r="C261" s="83" t="s">
        <x:v>448</x:v>
      </x:c>
      <x:c r="D261" s="83" t="s">
        <x:v>462</x:v>
      </x:c>
      <x:c r="E261" s="83" t="s">
        <x:v>434</x:v>
      </x:c>
      <x:c r="F261" s="83" t="s">
        <x:v>557</x:v>
      </x:c>
      <x:c r="G261" s="85" t="n">
        <x:v>46288</x:v>
      </x:c>
      <x:c r="H261" s="85" t="n">
        <x:v>46303</x:v>
      </x:c>
      <x:c r="I261" s="87" t="n">
        <x:v>62</x:v>
      </x:c>
      <x:c r="J261" s="83" t="s">
        <x:v>543</x:v>
      </x:c>
      <x:c r="K261" s="83"/>
      <x:c r="L261" s="83" t="s">
        <x:v>395</x:v>
      </x:c>
      <x:c r="M261" s="83" t="n">
        <x:v>62</x:v>
      </x:c>
      <x:c r="N261" s="83" t="n">
        <x:v>73</x:v>
      </x:c>
      <x:c r="O261" s="85" t="n">
        <x:v>46274</x:v>
      </x:c>
      <x:c r="P261" s="89" t="str">
        <x:f aca="0">A261&amp;TEXT(COUNTIF($A$6:A261,A261),"00")</x:f>
        <x:v>P04304</x:v>
      </x:c>
      <x:c r="Q261" s="89" t="str">
        <x:f aca="0">IF(I261&lt;100,A261&amp;"O"&amp;COUNTIFS($A$6:A261,A261,$I$6:I261,"&lt;100"),"")</x:f>
        <x:v>P043O4</x:v>
      </x:c>
      <x:c r="R261" s="89" t="str">
        <x:f aca="0">IF(I261&lt;100,D261&amp;"O"&amp;COUNTIFS($D$6:D261,D261,$I$6:I261,"&lt;100"),"")</x:f>
        <x:v>DeepaO21</x:v>
      </x:c>
      <x:c r="S261" s="278" t="n">
        <x:f>IF(COUNTIF($B$6:$B$605,B261)&gt;1,1,0)</x:f>
        <x:v>0</x:v>
      </x:c>
    </x:row>
    <x:row r="262" ht="15" hidden="0">
      <x:c r="A262" s="83" t="s">
        <x:v>262</x:v>
      </x:c>
      <x:c r="B262" s="83" t="s">
        <x:v>804</x:v>
      </x:c>
      <x:c r="C262" s="83" t="s">
        <x:v>451</x:v>
      </x:c>
      <x:c r="D262" s="83" t="s">
        <x:v>360</x:v>
      </x:c>
      <x:c r="E262" s="83" t="s">
        <x:v>441</x:v>
      </x:c>
      <x:c r="F262" s="83" t="s">
        <x:v>546</x:v>
      </x:c>
      <x:c r="G262" s="85" t="n">
        <x:v>46302</x:v>
      </x:c>
      <x:c r="H262" s="85" t="n">
        <x:v>46311</x:v>
      </x:c>
      <x:c r="I262" s="87" t="n">
        <x:v>75</x:v>
      </x:c>
      <x:c r="J262" s="83" t="s">
        <x:v>543</x:v>
      </x:c>
      <x:c r="K262" s="83"/>
      <x:c r="L262" s="83" t="s">
        <x:v>395</x:v>
      </x:c>
      <x:c r="M262" s="83" t="n">
        <x:v>31</x:v>
      </x:c>
      <x:c r="N262" s="83" t="n">
        <x:v>71</x:v>
      </x:c>
      <x:c r="O262" s="85" t="n">
        <x:v>46274</x:v>
      </x:c>
      <x:c r="P262" s="89" t="str">
        <x:f aca="0">A262&amp;TEXT(COUNTIF($A$6:A262,A262),"00")</x:f>
        <x:v>P04305</x:v>
      </x:c>
      <x:c r="Q262" s="89" t="str">
        <x:f aca="0">IF(I262&lt;100,A262&amp;"O"&amp;COUNTIFS($A$6:A262,A262,$I$6:I262,"&lt;100"),"")</x:f>
        <x:v>P043O5</x:v>
      </x:c>
      <x:c r="R262" s="89" t="str">
        <x:f aca="0">IF(I262&lt;100,D262&amp;"O"&amp;COUNTIFS($D$6:D262,D262,$I$6:I262,"&lt;100"),"")</x:f>
        <x:v>AmitO20</x:v>
      </x:c>
      <x:c r="S262" s="278" t="n">
        <x:f>IF(COUNTIF($B$6:$B$605,B262)&gt;1,1,0)</x:f>
        <x:v>0</x:v>
      </x:c>
    </x:row>
    <x:row r="263" ht="15" hidden="0">
      <x:c r="A263" s="83" t="s">
        <x:v>262</x:v>
      </x:c>
      <x:c r="B263" s="83" t="s">
        <x:v>805</x:v>
      </x:c>
      <x:c r="C263" s="83" t="s">
        <x:v>454</x:v>
      </x:c>
      <x:c r="D263" s="83" t="s">
        <x:v>475</x:v>
      </x:c>
      <x:c r="E263" s="83" t="s">
        <x:v>445</x:v>
      </x:c>
      <x:c r="F263" s="83" t="s">
        <x:v>550</x:v>
      </x:c>
      <x:c r="G263" s="85" t="n">
        <x:v>46316</x:v>
      </x:c>
      <x:c r="H263" s="85" t="n">
        <x:v>46339</x:v>
      </x:c>
      <x:c r="I263" s="87" t="n">
        <x:v>84</x:v>
      </x:c>
      <x:c r="J263" s="83" t="s">
        <x:v>543</x:v>
      </x:c>
      <x:c r="K263" s="83" t="s">
        <x:v>396</x:v>
      </x:c>
      <x:c r="L263" s="83" t="s">
        <x:v>395</x:v>
      </x:c>
      <x:c r="M263" s="83" t="n">
        <x:v>32</x:v>
      </x:c>
      <x:c r="N263" s="83" t="n">
        <x:v>54</x:v>
      </x:c>
      <x:c r="O263" s="85" t="n">
        <x:v>46274</x:v>
      </x:c>
      <x:c r="P263" s="89" t="str">
        <x:f aca="0">A263&amp;TEXT(COUNTIF($A$6:A263,A263),"00")</x:f>
        <x:v>P04306</x:v>
      </x:c>
      <x:c r="Q263" s="89" t="str">
        <x:f aca="0">IF(I263&lt;100,A263&amp;"O"&amp;COUNTIFS($A$6:A263,A263,$I$6:I263,"&lt;100"),"")</x:f>
        <x:v>P043O6</x:v>
      </x:c>
      <x:c r="R263" s="89" t="str">
        <x:f aca="0">IF(I263&lt;100,D263&amp;"O"&amp;COUNTIFS($D$6:D263,D263,$I$6:I263,"&lt;100"),"")</x:f>
        <x:v>PriyaO19</x:v>
      </x:c>
      <x:c r="S263" s="278" t="n">
        <x:f>IF(COUNTIF($B$6:$B$605,B263)&gt;1,1,0)</x:f>
        <x:v>0</x:v>
      </x:c>
    </x:row>
    <x:row r="264" ht="15" hidden="0">
      <x:c r="A264" s="83" t="s">
        <x:v>154</x:v>
      </x:c>
      <x:c r="B264" s="83" t="s">
        <x:v>806</x:v>
      </x:c>
      <x:c r="C264" s="83" t="s">
        <x:v>433</x:v>
      </x:c>
      <x:c r="D264" s="83" t="s">
        <x:v>452</x:v>
      </x:c>
      <x:c r="E264" s="83" t="s">
        <x:v>360</x:v>
      </x:c>
      <x:c r="F264" s="83" t="s">
        <x:v>546</x:v>
      </x:c>
      <x:c r="G264" s="85" t="n">
        <x:v>46247</x:v>
      </x:c>
      <x:c r="H264" s="85" t="n">
        <x:v>46256</x:v>
      </x:c>
      <x:c r="I264" s="87" t="n">
        <x:v>52</x:v>
      </x:c>
      <x:c r="J264" s="83" t="s">
        <x:v>543</x:v>
      </x:c>
      <x:c r="K264" s="83"/>
      <x:c r="L264" s="83" t="s">
        <x:v>395</x:v>
      </x:c>
      <x:c r="M264" s="83" t="n">
        <x:v>26</x:v>
      </x:c>
      <x:c r="N264" s="83" t="n">
        <x:v>84</x:v>
      </x:c>
      <x:c r="O264" s="85" t="n">
        <x:v>46274</x:v>
      </x:c>
      <x:c r="P264" s="89" t="str">
        <x:f aca="0">A264&amp;TEXT(COUNTIF($A$6:A264,A264),"00")</x:f>
        <x:v>P04401</x:v>
      </x:c>
      <x:c r="Q264" s="89" t="str">
        <x:f aca="0">IF(I264&lt;100,A264&amp;"O"&amp;COUNTIFS($A$6:A264,A264,$I$6:I264,"&lt;100"),"")</x:f>
        <x:v>P044O1</x:v>
      </x:c>
      <x:c r="R264" s="89" t="str">
        <x:f aca="0">IF(I264&lt;100,D264&amp;"O"&amp;COUNTIFS($D$6:D264,D264,$I$6:I264,"&lt;100"),"")</x:f>
        <x:v>KavyaO24</x:v>
      </x:c>
      <x:c r="S264" s="278" t="n">
        <x:f>IF(COUNTIF($B$6:$B$605,B264)&gt;1,1,0)</x:f>
        <x:v>0</x:v>
      </x:c>
    </x:row>
    <x:row r="265" ht="15" hidden="0">
      <x:c r="A265" s="83" t="s">
        <x:v>154</x:v>
      </x:c>
      <x:c r="B265" s="83" t="s">
        <x:v>807</x:v>
      </x:c>
      <x:c r="C265" s="83" t="s">
        <x:v>440</x:v>
      </x:c>
      <x:c r="D265" s="83" t="s">
        <x:v>455</x:v>
      </x:c>
      <x:c r="E265" s="83" t="s">
        <x:v>475</x:v>
      </x:c>
      <x:c r="F265" s="83" t="s">
        <x:v>493</x:v>
      </x:c>
      <x:c r="G265" s="85" t="n">
        <x:v>46261</x:v>
      </x:c>
      <x:c r="H265" s="85" t="n">
        <x:v>46278</x:v>
      </x:c>
      <x:c r="I265" s="87" t="n">
        <x:v>41</x:v>
      </x:c>
      <x:c r="J265" s="83" t="s">
        <x:v>543</x:v>
      </x:c>
      <x:c r="K265" s="83"/>
      <x:c r="L265" s="83" t="s">
        <x:v>395</x:v>
      </x:c>
      <x:c r="M265" s="83" t="n">
        <x:v>63</x:v>
      </x:c>
      <x:c r="N265" s="83" t="n">
        <x:v>17</x:v>
      </x:c>
      <x:c r="O265" s="85" t="n">
        <x:v>46274</x:v>
      </x:c>
      <x:c r="P265" s="89" t="str">
        <x:f aca="0">A265&amp;TEXT(COUNTIF($A$6:A265,A265),"00")</x:f>
        <x:v>P04402</x:v>
      </x:c>
      <x:c r="Q265" s="89" t="str">
        <x:f aca="0">IF(I265&lt;100,A265&amp;"O"&amp;COUNTIFS($A$6:A265,A265,$I$6:I265,"&lt;100"),"")</x:f>
        <x:v>P044O2</x:v>
      </x:c>
      <x:c r="R265" s="89" t="str">
        <x:f aca="0">IF(I265&lt;100,D265&amp;"O"&amp;COUNTIFS($D$6:D265,D265,$I$6:I265,"&lt;100"),"")</x:f>
        <x:v>RohanO22</x:v>
      </x:c>
      <x:c r="S265" s="278" t="n">
        <x:f>IF(COUNTIF($B$6:$B$605,B265)&gt;1,1,0)</x:f>
        <x:v>0</x:v>
      </x:c>
    </x:row>
    <x:row r="266" ht="15" hidden="0">
      <x:c r="A266" s="83" t="s">
        <x:v>154</x:v>
      </x:c>
      <x:c r="B266" s="83" t="s">
        <x:v>808</x:v>
      </x:c>
      <x:c r="C266" s="83" t="s">
        <x:v>444</x:v>
      </x:c>
      <x:c r="D266" s="83" t="s">
        <x:v>462</x:v>
      </x:c>
      <x:c r="E266" s="83" t="s">
        <x:v>434</x:v>
      </x:c>
      <x:c r="F266" s="83" t="s">
        <x:v>550</x:v>
      </x:c>
      <x:c r="G266" s="85" t="n">
        <x:v>46275</x:v>
      </x:c>
      <x:c r="H266" s="85" t="n">
        <x:v>46297</x:v>
      </x:c>
      <x:c r="I266" s="87" t="n">
        <x:v>49</x:v>
      </x:c>
      <x:c r="J266" s="83" t="s">
        <x:v>543</x:v>
      </x:c>
      <x:c r="K266" s="83"/>
      <x:c r="L266" s="83" t="s">
        <x:v>395</x:v>
      </x:c>
      <x:c r="M266" s="83" t="n">
        <x:v>57</x:v>
      </x:c>
      <x:c r="N266" s="83" t="n">
        <x:v>34</x:v>
      </x:c>
      <x:c r="O266" s="85" t="n">
        <x:v>46274</x:v>
      </x:c>
      <x:c r="P266" s="89" t="str">
        <x:f aca="0">A266&amp;TEXT(COUNTIF($A$6:A266,A266),"00")</x:f>
        <x:v>P04403</x:v>
      </x:c>
      <x:c r="Q266" s="89" t="str">
        <x:f aca="0">IF(I266&lt;100,A266&amp;"O"&amp;COUNTIFS($A$6:A266,A266,$I$6:I266,"&lt;100"),"")</x:f>
        <x:v>P044O3</x:v>
      </x:c>
      <x:c r="R266" s="89" t="str">
        <x:f aca="0">IF(I266&lt;100,D266&amp;"O"&amp;COUNTIFS($D$6:D266,D266,$I$6:I266,"&lt;100"),"")</x:f>
        <x:v>DeepaO22</x:v>
      </x:c>
      <x:c r="S266" s="278" t="n">
        <x:f>IF(COUNTIF($B$6:$B$605,B266)&gt;1,1,0)</x:f>
        <x:v>0</x:v>
      </x:c>
    </x:row>
    <x:row r="267" ht="15" hidden="0">
      <x:c r="A267" s="83" t="s">
        <x:v>154</x:v>
      </x:c>
      <x:c r="B267" s="83" t="s">
        <x:v>809</x:v>
      </x:c>
      <x:c r="C267" s="83" t="s">
        <x:v>448</x:v>
      </x:c>
      <x:c r="D267" s="83" t="s">
        <x:v>360</x:v>
      </x:c>
      <x:c r="E267" s="83" t="s">
        <x:v>441</x:v>
      </x:c>
      <x:c r="F267" s="83" t="s">
        <x:v>493</x:v>
      </x:c>
      <x:c r="G267" s="85" t="n">
        <x:v>46289</x:v>
      </x:c>
      <x:c r="H267" s="85" t="n">
        <x:v>46298</x:v>
      </x:c>
      <x:c r="I267" s="87" t="n">
        <x:v>37</x:v>
      </x:c>
      <x:c r="J267" s="83" t="s">
        <x:v>586</x:v>
      </x:c>
      <x:c r="K267" s="83" t="s">
        <x:v>413</x:v>
      </x:c>
      <x:c r="L267" s="83" t="s">
        <x:v>412</x:v>
      </x:c>
      <x:c r="M267" s="83" t="n">
        <x:v>85</x:v>
      </x:c>
      <x:c r="N267" s="83" t="n">
        <x:v>80</x:v>
      </x:c>
      <x:c r="O267" s="85" t="n">
        <x:v>46274</x:v>
      </x:c>
      <x:c r="P267" s="89" t="str">
        <x:f aca="0">A267&amp;TEXT(COUNTIF($A$6:A267,A267),"00")</x:f>
        <x:v>P04404</x:v>
      </x:c>
      <x:c r="Q267" s="89" t="str">
        <x:f aca="0">IF(I267&lt;100,A267&amp;"O"&amp;COUNTIFS($A$6:A267,A267,$I$6:I267,"&lt;100"),"")</x:f>
        <x:v>P044O4</x:v>
      </x:c>
      <x:c r="R267" s="89" t="str">
        <x:f aca="0">IF(I267&lt;100,D267&amp;"O"&amp;COUNTIFS($D$6:D267,D267,$I$6:I267,"&lt;100"),"")</x:f>
        <x:v>AmitO21</x:v>
      </x:c>
      <x:c r="S267" s="278" t="n">
        <x:f>IF(COUNTIF($B$6:$B$605,B267)&gt;1,1,0)</x:f>
        <x:v>0</x:v>
      </x:c>
    </x:row>
    <x:row r="268" ht="15" hidden="0">
      <x:c r="A268" s="83" t="s">
        <x:v>154</x:v>
      </x:c>
      <x:c r="B268" s="83" t="s">
        <x:v>810</x:v>
      </x:c>
      <x:c r="C268" s="83" t="s">
        <x:v>451</x:v>
      </x:c>
      <x:c r="D268" s="83" t="s">
        <x:v>475</x:v>
      </x:c>
      <x:c r="E268" s="83" t="s">
        <x:v>445</x:v>
      </x:c>
      <x:c r="F268" s="83" t="s">
        <x:v>493</x:v>
      </x:c>
      <x:c r="G268" s="85" t="n">
        <x:v>46303</x:v>
      </x:c>
      <x:c r="H268" s="85" t="n">
        <x:v>46315</x:v>
      </x:c>
      <x:c r="I268" s="87" t="n">
        <x:v>55</x:v>
      </x:c>
      <x:c r="J268" s="83" t="s">
        <x:v>543</x:v>
      </x:c>
      <x:c r="K268" s="83"/>
      <x:c r="L268" s="83" t="s">
        <x:v>395</x:v>
      </x:c>
      <x:c r="M268" s="83" t="n">
        <x:v>63</x:v>
      </x:c>
      <x:c r="N268" s="83" t="n">
        <x:v>86</x:v>
      </x:c>
      <x:c r="O268" s="85" t="n">
        <x:v>46274</x:v>
      </x:c>
      <x:c r="P268" s="89" t="str">
        <x:f aca="0">A268&amp;TEXT(COUNTIF($A$6:A268,A268),"00")</x:f>
        <x:v>P04405</x:v>
      </x:c>
      <x:c r="Q268" s="89" t="str">
        <x:f aca="0">IF(I268&lt;100,A268&amp;"O"&amp;COUNTIFS($A$6:A268,A268,$I$6:I268,"&lt;100"),"")</x:f>
        <x:v>P044O5</x:v>
      </x:c>
      <x:c r="R268" s="89" t="str">
        <x:f aca="0">IF(I268&lt;100,D268&amp;"O"&amp;COUNTIFS($D$6:D268,D268,$I$6:I268,"&lt;100"),"")</x:f>
        <x:v>PriyaO20</x:v>
      </x:c>
      <x:c r="S268" s="278" t="n">
        <x:f>IF(COUNTIF($B$6:$B$605,B268)&gt;1,1,0)</x:f>
        <x:v>0</x:v>
      </x:c>
    </x:row>
    <x:row r="269" ht="15" hidden="0">
      <x:c r="A269" s="83" t="s">
        <x:v>154</x:v>
      </x:c>
      <x:c r="B269" s="83" t="s">
        <x:v>811</x:v>
      </x:c>
      <x:c r="C269" s="83" t="s">
        <x:v>454</x:v>
      </x:c>
      <x:c r="D269" s="83" t="s">
        <x:v>434</x:v>
      </x:c>
      <x:c r="E269" s="83" t="s">
        <x:v>435</x:v>
      </x:c>
      <x:c r="F269" s="83" t="s">
        <x:v>493</x:v>
      </x:c>
      <x:c r="G269" s="85" t="n">
        <x:v>46317</x:v>
      </x:c>
      <x:c r="H269" s="85" t="n">
        <x:v>46335</x:v>
      </x:c>
      <x:c r="I269" s="87" t="n">
        <x:v>48</x:v>
      </x:c>
      <x:c r="J269" s="83" t="s">
        <x:v>543</x:v>
      </x:c>
      <x:c r="K269" s="83" t="s">
        <x:v>396</x:v>
      </x:c>
      <x:c r="L269" s="83" t="s">
        <x:v>395</x:v>
      </x:c>
      <x:c r="M269" s="83" t="n">
        <x:v>48</x:v>
      </x:c>
      <x:c r="N269" s="83" t="n">
        <x:v>102</x:v>
      </x:c>
      <x:c r="O269" s="85" t="n">
        <x:v>46274</x:v>
      </x:c>
      <x:c r="P269" s="89" t="str">
        <x:f aca="0">A269&amp;TEXT(COUNTIF($A$6:A269,A269),"00")</x:f>
        <x:v>P04406</x:v>
      </x:c>
      <x:c r="Q269" s="89" t="str">
        <x:f aca="0">IF(I269&lt;100,A269&amp;"O"&amp;COUNTIFS($A$6:A269,A269,$I$6:I269,"&lt;100"),"")</x:f>
        <x:v>P044O6</x:v>
      </x:c>
      <x:c r="R269" s="89" t="str">
        <x:f aca="0">IF(I269&lt;100,D269&amp;"O"&amp;COUNTIFS($D$6:D269,D269,$I$6:I269,"&lt;100"),"")</x:f>
        <x:v>RahulO19</x:v>
      </x:c>
      <x:c r="S269" s="278" t="n">
        <x:f>IF(COUNTIF($B$6:$B$605,B269)&gt;1,1,0)</x:f>
        <x:v>0</x:v>
      </x:c>
    </x:row>
    <x:row r="270" ht="15" hidden="0">
      <x:c r="A270" s="83" t="s">
        <x:v>122</x:v>
      </x:c>
      <x:c r="B270" s="83" t="s">
        <x:v>812</x:v>
      </x:c>
      <x:c r="C270" s="83" t="s">
        <x:v>433</x:v>
      </x:c>
      <x:c r="D270" s="83" t="s">
        <x:v>455</x:v>
      </x:c>
      <x:c r="E270" s="83" t="s">
        <x:v>475</x:v>
      </x:c>
      <x:c r="F270" s="83" t="s">
        <x:v>550</x:v>
      </x:c>
      <x:c r="G270" s="85" t="n">
        <x:v>46248</x:v>
      </x:c>
      <x:c r="H270" s="85" t="n">
        <x:v>46269</x:v>
      </x:c>
      <x:c r="I270" s="87" t="n">
        <x:v>55</x:v>
      </x:c>
      <x:c r="J270" s="83" t="s">
        <x:v>543</x:v>
      </x:c>
      <x:c r="K270" s="83"/>
      <x:c r="L270" s="83" t="s">
        <x:v>395</x:v>
      </x:c>
      <x:c r="M270" s="83" t="n">
        <x:v>58</x:v>
      </x:c>
      <x:c r="N270" s="83" t="n">
        <x:v>36</x:v>
      </x:c>
      <x:c r="O270" s="85" t="n">
        <x:v>46274</x:v>
      </x:c>
      <x:c r="P270" s="89" t="str">
        <x:f aca="0">A270&amp;TEXT(COUNTIF($A$6:A270,A270),"00")</x:f>
        <x:v>P04501</x:v>
      </x:c>
      <x:c r="Q270" s="89" t="str">
        <x:f aca="0">IF(I270&lt;100,A270&amp;"O"&amp;COUNTIFS($A$6:A270,A270,$I$6:I270,"&lt;100"),"")</x:f>
        <x:v>P045O1</x:v>
      </x:c>
      <x:c r="R270" s="89" t="str">
        <x:f aca="0">IF(I270&lt;100,D270&amp;"O"&amp;COUNTIFS($D$6:D270,D270,$I$6:I270,"&lt;100"),"")</x:f>
        <x:v>RohanO23</x:v>
      </x:c>
      <x:c r="S270" s="278" t="n">
        <x:f>IF(COUNTIF($B$6:$B$605,B270)&gt;1,1,0)</x:f>
        <x:v>0</x:v>
      </x:c>
    </x:row>
    <x:row r="271" ht="15" hidden="0">
      <x:c r="A271" s="83" t="s">
        <x:v>122</x:v>
      </x:c>
      <x:c r="B271" s="83" t="s">
        <x:v>813</x:v>
      </x:c>
      <x:c r="C271" s="83" t="s">
        <x:v>440</x:v>
      </x:c>
      <x:c r="D271" s="83" t="s">
        <x:v>462</x:v>
      </x:c>
      <x:c r="E271" s="83" t="s">
        <x:v>434</x:v>
      </x:c>
      <x:c r="F271" s="83" t="s">
        <x:v>493</x:v>
      </x:c>
      <x:c r="G271" s="85" t="n">
        <x:v>46262</x:v>
      </x:c>
      <x:c r="H271" s="85" t="n">
        <x:v>46284</x:v>
      </x:c>
      <x:c r="I271" s="87" t="n">
        <x:v>29</x:v>
      </x:c>
      <x:c r="J271" s="83" t="s">
        <x:v>543</x:v>
      </x:c>
      <x:c r="K271" s="83"/>
      <x:c r="L271" s="83" t="s">
        <x:v>395</x:v>
      </x:c>
      <x:c r="M271" s="83" t="n">
        <x:v>61</x:v>
      </x:c>
      <x:c r="N271" s="83" t="n">
        <x:v>67</x:v>
      </x:c>
      <x:c r="O271" s="85" t="n">
        <x:v>46274</x:v>
      </x:c>
      <x:c r="P271" s="89" t="str">
        <x:f aca="0">A271&amp;TEXT(COUNTIF($A$6:A271,A271),"00")</x:f>
        <x:v>P04502</x:v>
      </x:c>
      <x:c r="Q271" s="89" t="str">
        <x:f aca="0">IF(I271&lt;100,A271&amp;"O"&amp;COUNTIFS($A$6:A271,A271,$I$6:I271,"&lt;100"),"")</x:f>
        <x:v>P045O2</x:v>
      </x:c>
      <x:c r="R271" s="89" t="str">
        <x:f aca="0">IF(I271&lt;100,D271&amp;"O"&amp;COUNTIFS($D$6:D271,D271,$I$6:I271,"&lt;100"),"")</x:f>
        <x:v>DeepaO23</x:v>
      </x:c>
      <x:c r="S271" s="278" t="n">
        <x:f>IF(COUNTIF($B$6:$B$605,B271)&gt;1,1,0)</x:f>
        <x:v>0</x:v>
      </x:c>
    </x:row>
    <x:row r="272" ht="15" hidden="0">
      <x:c r="A272" s="83" t="s">
        <x:v>122</x:v>
      </x:c>
      <x:c r="B272" s="83" t="s">
        <x:v>814</x:v>
      </x:c>
      <x:c r="C272" s="83" t="s">
        <x:v>444</x:v>
      </x:c>
      <x:c r="D272" s="83" t="s">
        <x:v>360</x:v>
      </x:c>
      <x:c r="E272" s="83" t="s">
        <x:v>441</x:v>
      </x:c>
      <x:c r="F272" s="83" t="s">
        <x:v>550</x:v>
      </x:c>
      <x:c r="G272" s="85" t="n">
        <x:v>46276</x:v>
      </x:c>
      <x:c r="H272" s="85" t="n">
        <x:v>46290</x:v>
      </x:c>
      <x:c r="I272" s="87" t="n">
        <x:v>62</x:v>
      </x:c>
      <x:c r="J272" s="83" t="s">
        <x:v>543</x:v>
      </x:c>
      <x:c r="K272" s="83"/>
      <x:c r="L272" s="83" t="s">
        <x:v>395</x:v>
      </x:c>
      <x:c r="M272" s="83" t="n">
        <x:v>64</x:v>
      </x:c>
      <x:c r="N272" s="83" t="n">
        <x:v>36</x:v>
      </x:c>
      <x:c r="O272" s="85" t="n">
        <x:v>46274</x:v>
      </x:c>
      <x:c r="P272" s="89" t="str">
        <x:f aca="0">A272&amp;TEXT(COUNTIF($A$6:A272,A272),"00")</x:f>
        <x:v>P04503</x:v>
      </x:c>
      <x:c r="Q272" s="89" t="str">
        <x:f aca="0">IF(I272&lt;100,A272&amp;"O"&amp;COUNTIFS($A$6:A272,A272,$I$6:I272,"&lt;100"),"")</x:f>
        <x:v>P045O3</x:v>
      </x:c>
      <x:c r="R272" s="89" t="str">
        <x:f aca="0">IF(I272&lt;100,D272&amp;"O"&amp;COUNTIFS($D$6:D272,D272,$I$6:I272,"&lt;100"),"")</x:f>
        <x:v>AmitO22</x:v>
      </x:c>
      <x:c r="S272" s="278" t="n">
        <x:f>IF(COUNTIF($B$6:$B$605,B272)&gt;1,1,0)</x:f>
        <x:v>0</x:v>
      </x:c>
    </x:row>
    <x:row r="273" ht="15" hidden="0">
      <x:c r="A273" s="83" t="s">
        <x:v>122</x:v>
      </x:c>
      <x:c r="B273" s="83" t="s">
        <x:v>815</x:v>
      </x:c>
      <x:c r="C273" s="83" t="s">
        <x:v>448</x:v>
      </x:c>
      <x:c r="D273" s="83" t="s">
        <x:v>475</x:v>
      </x:c>
      <x:c r="E273" s="83" t="s">
        <x:v>445</x:v>
      </x:c>
      <x:c r="F273" s="83" t="s">
        <x:v>546</x:v>
      </x:c>
      <x:c r="G273" s="85" t="n">
        <x:v>46290</x:v>
      </x:c>
      <x:c r="H273" s="85" t="n">
        <x:v>46313</x:v>
      </x:c>
      <x:c r="I273" s="87" t="n">
        <x:v>36</x:v>
      </x:c>
      <x:c r="J273" s="83" t="s">
        <x:v>586</x:v>
      </x:c>
      <x:c r="K273" s="83" t="s">
        <x:v>413</x:v>
      </x:c>
      <x:c r="L273" s="83" t="s">
        <x:v>412</x:v>
      </x:c>
      <x:c r="M273" s="83" t="n">
        <x:v>91</x:v>
      </x:c>
      <x:c r="N273" s="83" t="n">
        <x:v>78</x:v>
      </x:c>
      <x:c r="O273" s="85" t="n">
        <x:v>46274</x:v>
      </x:c>
      <x:c r="P273" s="89" t="str">
        <x:f aca="0">A273&amp;TEXT(COUNTIF($A$6:A273,A273),"00")</x:f>
        <x:v>P04504</x:v>
      </x:c>
      <x:c r="Q273" s="89" t="str">
        <x:f aca="0">IF(I273&lt;100,A273&amp;"O"&amp;COUNTIFS($A$6:A273,A273,$I$6:I273,"&lt;100"),"")</x:f>
        <x:v>P045O4</x:v>
      </x:c>
      <x:c r="R273" s="89" t="str">
        <x:f aca="0">IF(I273&lt;100,D273&amp;"O"&amp;COUNTIFS($D$6:D273,D273,$I$6:I273,"&lt;100"),"")</x:f>
        <x:v>PriyaO21</x:v>
      </x:c>
      <x:c r="S273" s="278" t="n">
        <x:f>IF(COUNTIF($B$6:$B$605,B273)&gt;1,1,0)</x:f>
        <x:v>0</x:v>
      </x:c>
    </x:row>
    <x:row r="274" ht="15" hidden="0">
      <x:c r="A274" s="83" t="s">
        <x:v>122</x:v>
      </x:c>
      <x:c r="B274" s="83" t="s">
        <x:v>816</x:v>
      </x:c>
      <x:c r="C274" s="83" t="s">
        <x:v>451</x:v>
      </x:c>
      <x:c r="D274" s="83" t="s">
        <x:v>434</x:v>
      </x:c>
      <x:c r="E274" s="83" t="s">
        <x:v>435</x:v>
      </x:c>
      <x:c r="F274" s="83" t="s">
        <x:v>546</x:v>
      </x:c>
      <x:c r="G274" s="85" t="n">
        <x:v>46304</x:v>
      </x:c>
      <x:c r="H274" s="85" t="n">
        <x:v>46327</x:v>
      </x:c>
      <x:c r="I274" s="87" t="n">
        <x:v>48</x:v>
      </x:c>
      <x:c r="J274" s="83" t="s">
        <x:v>543</x:v>
      </x:c>
      <x:c r="K274" s="83"/>
      <x:c r="L274" s="83" t="s">
        <x:v>412</x:v>
      </x:c>
      <x:c r="M274" s="83" t="n">
        <x:v>61</x:v>
      </x:c>
      <x:c r="N274" s="83" t="n">
        <x:v>28</x:v>
      </x:c>
      <x:c r="O274" s="85" t="n">
        <x:v>46274</x:v>
      </x:c>
      <x:c r="P274" s="89" t="str">
        <x:f aca="0">A274&amp;TEXT(COUNTIF($A$6:A274,A274),"00")</x:f>
        <x:v>P04505</x:v>
      </x:c>
      <x:c r="Q274" s="89" t="str">
        <x:f aca="0">IF(I274&lt;100,A274&amp;"O"&amp;COUNTIFS($A$6:A274,A274,$I$6:I274,"&lt;100"),"")</x:f>
        <x:v>P045O5</x:v>
      </x:c>
      <x:c r="R274" s="89" t="str">
        <x:f aca="0">IF(I274&lt;100,D274&amp;"O"&amp;COUNTIFS($D$6:D274,D274,$I$6:I274,"&lt;100"),"")</x:f>
        <x:v>RahulO20</x:v>
      </x:c>
      <x:c r="S274" s="278" t="n">
        <x:f>IF(COUNTIF($B$6:$B$605,B274)&gt;1,1,0)</x:f>
        <x:v>0</x:v>
      </x:c>
    </x:row>
    <x:row r="275" ht="15" hidden="0">
      <x:c r="A275" s="83" t="s">
        <x:v>122</x:v>
      </x:c>
      <x:c r="B275" s="83" t="s">
        <x:v>817</x:v>
      </x:c>
      <x:c r="C275" s="83" t="s">
        <x:v>454</x:v>
      </x:c>
      <x:c r="D275" s="83" t="s">
        <x:v>441</x:v>
      </x:c>
      <x:c r="E275" s="83" t="s">
        <x:v>442</x:v>
      </x:c>
      <x:c r="F275" s="83" t="s">
        <x:v>493</x:v>
      </x:c>
      <x:c r="G275" s="85" t="n">
        <x:v>46318</x:v>
      </x:c>
      <x:c r="H275" s="85" t="n">
        <x:v>46337</x:v>
      </x:c>
      <x:c r="I275" s="87" t="n">
        <x:v>48</x:v>
      </x:c>
      <x:c r="J275" s="83" t="s">
        <x:v>543</x:v>
      </x:c>
      <x:c r="K275" s="83"/>
      <x:c r="L275" s="83" t="s">
        <x:v>412</x:v>
      </x:c>
      <x:c r="M275" s="83" t="n">
        <x:v>78</x:v>
      </x:c>
      <x:c r="N275" s="83" t="n">
        <x:v>82</x:v>
      </x:c>
      <x:c r="O275" s="85" t="n">
        <x:v>46274</x:v>
      </x:c>
      <x:c r="P275" s="89" t="str">
        <x:f aca="0">A275&amp;TEXT(COUNTIF($A$6:A275,A275),"00")</x:f>
        <x:v>P04506</x:v>
      </x:c>
      <x:c r="Q275" s="89" t="str">
        <x:f aca="0">IF(I275&lt;100,A275&amp;"O"&amp;COUNTIFS($A$6:A275,A275,$I$6:I275,"&lt;100"),"")</x:f>
        <x:v>P045O6</x:v>
      </x:c>
      <x:c r="R275" s="89" t="str">
        <x:f aca="0">IF(I275&lt;100,D275&amp;"O"&amp;COUNTIFS($D$6:D275,D275,$I$6:I275,"&lt;100"),"")</x:f>
        <x:v>KaranO21</x:v>
      </x:c>
      <x:c r="S275" s="278" t="n">
        <x:f>IF(COUNTIF($B$6:$B$605,B275)&gt;1,1,0)</x:f>
        <x:v>0</x:v>
      </x:c>
    </x:row>
    <x:row r="276" ht="15" hidden="0">
      <x:c r="A276" s="83" t="s">
        <x:v>292</x:v>
      </x:c>
      <x:c r="B276" s="83" t="s">
        <x:v>818</x:v>
      </x:c>
      <x:c r="C276" s="83" t="s">
        <x:v>433</x:v>
      </x:c>
      <x:c r="D276" s="83" t="s">
        <x:v>462</x:v>
      </x:c>
      <x:c r="E276" s="83" t="s">
        <x:v>434</x:v>
      </x:c>
      <x:c r="F276" s="83" t="s">
        <x:v>493</x:v>
      </x:c>
      <x:c r="G276" s="85" t="n">
        <x:v>46249</x:v>
      </x:c>
      <x:c r="H276" s="85" t="n">
        <x:v>46265</x:v>
      </x:c>
      <x:c r="I276" s="87" t="n">
        <x:v>95</x:v>
      </x:c>
      <x:c r="J276" s="83" t="s">
        <x:v>543</x:v>
      </x:c>
      <x:c r="K276" s="83" t="s">
        <x:v>396</x:v>
      </x:c>
      <x:c r="L276" s="83" t="s">
        <x:v>395</x:v>
      </x:c>
      <x:c r="M276" s="83" t="n">
        <x:v>66</x:v>
      </x:c>
      <x:c r="N276" s="83" t="n">
        <x:v>44</x:v>
      </x:c>
      <x:c r="O276" s="85" t="n">
        <x:v>46274</x:v>
      </x:c>
      <x:c r="P276" s="89" t="str">
        <x:f aca="0">A276&amp;TEXT(COUNTIF($A$6:A276,A276),"00")</x:f>
        <x:v>P04601</x:v>
      </x:c>
      <x:c r="Q276" s="89" t="str">
        <x:f aca="0">IF(I276&lt;100,A276&amp;"O"&amp;COUNTIFS($A$6:A276,A276,$I$6:I276,"&lt;100"),"")</x:f>
        <x:v>P046O1</x:v>
      </x:c>
      <x:c r="R276" s="89" t="str">
        <x:f aca="0">IF(I276&lt;100,D276&amp;"O"&amp;COUNTIFS($D$6:D276,D276,$I$6:I276,"&lt;100"),"")</x:f>
        <x:v>DeepaO24</x:v>
      </x:c>
      <x:c r="S276" s="278" t="n">
        <x:f>IF(COUNTIF($B$6:$B$605,B276)&gt;1,1,0)</x:f>
        <x:v>0</x:v>
      </x:c>
    </x:row>
    <x:row r="277" ht="15" hidden="0">
      <x:c r="A277" s="83" t="s">
        <x:v>292</x:v>
      </x:c>
      <x:c r="B277" s="83" t="s">
        <x:v>819</x:v>
      </x:c>
      <x:c r="C277" s="83" t="s">
        <x:v>440</x:v>
      </x:c>
      <x:c r="D277" s="83" t="s">
        <x:v>360</x:v>
      </x:c>
      <x:c r="E277" s="83" t="s">
        <x:v>441</x:v>
      </x:c>
      <x:c r="F277" s="83" t="s">
        <x:v>493</x:v>
      </x:c>
      <x:c r="G277" s="85" t="n">
        <x:v>46263</x:v>
      </x:c>
      <x:c r="H277" s="85" t="n">
        <x:v>46283</x:v>
      </x:c>
      <x:c r="I277" s="87" t="n">
        <x:v>79</x:v>
      </x:c>
      <x:c r="J277" s="83" t="s">
        <x:v>543</x:v>
      </x:c>
      <x:c r="K277" s="83"/>
      <x:c r="L277" s="83" t="s">
        <x:v>395</x:v>
      </x:c>
      <x:c r="M277" s="83" t="n">
        <x:v>42</x:v>
      </x:c>
      <x:c r="N277" s="83" t="n">
        <x:v>31</x:v>
      </x:c>
      <x:c r="O277" s="85" t="n">
        <x:v>46274</x:v>
      </x:c>
      <x:c r="P277" s="89" t="str">
        <x:f aca="0">A277&amp;TEXT(COUNTIF($A$6:A277,A277),"00")</x:f>
        <x:v>P04602</x:v>
      </x:c>
      <x:c r="Q277" s="89" t="str">
        <x:f aca="0">IF(I277&lt;100,A277&amp;"O"&amp;COUNTIFS($A$6:A277,A277,$I$6:I277,"&lt;100"),"")</x:f>
        <x:v>P046O2</x:v>
      </x:c>
      <x:c r="R277" s="89" t="str">
        <x:f aca="0">IF(I277&lt;100,D277&amp;"O"&amp;COUNTIFS($D$6:D277,D277,$I$6:I277,"&lt;100"),"")</x:f>
        <x:v>AmitO23</x:v>
      </x:c>
      <x:c r="S277" s="278" t="n">
        <x:f>IF(COUNTIF($B$6:$B$605,B277)&gt;1,1,0)</x:f>
        <x:v>0</x:v>
      </x:c>
    </x:row>
    <x:row r="278" ht="15" hidden="0">
      <x:c r="A278" s="83" t="s">
        <x:v>292</x:v>
      </x:c>
      <x:c r="B278" s="83" t="s">
        <x:v>820</x:v>
      </x:c>
      <x:c r="C278" s="83" t="s">
        <x:v>444</x:v>
      </x:c>
      <x:c r="D278" s="83" t="s">
        <x:v>475</x:v>
      </x:c>
      <x:c r="E278" s="83" t="s">
        <x:v>445</x:v>
      </x:c>
      <x:c r="F278" s="83" t="s">
        <x:v>557</x:v>
      </x:c>
      <x:c r="G278" s="85" t="n">
        <x:v>46277</x:v>
      </x:c>
      <x:c r="H278" s="85" t="n">
        <x:v>46296</x:v>
      </x:c>
      <x:c r="I278" s="87" t="n">
        <x:v>81</x:v>
      </x:c>
      <x:c r="J278" s="83" t="s">
        <x:v>543</x:v>
      </x:c>
      <x:c r="K278" s="83"/>
      <x:c r="L278" s="83" t="s">
        <x:v>395</x:v>
      </x:c>
      <x:c r="M278" s="83" t="n">
        <x:v>79</x:v>
      </x:c>
      <x:c r="N278" s="83" t="n">
        <x:v>72</x:v>
      </x:c>
      <x:c r="O278" s="85" t="n">
        <x:v>46274</x:v>
      </x:c>
      <x:c r="P278" s="89" t="str">
        <x:f aca="0">A278&amp;TEXT(COUNTIF($A$6:A278,A278),"00")</x:f>
        <x:v>P04603</x:v>
      </x:c>
      <x:c r="Q278" s="89" t="str">
        <x:f aca="0">IF(I278&lt;100,A278&amp;"O"&amp;COUNTIFS($A$6:A278,A278,$I$6:I278,"&lt;100"),"")</x:f>
        <x:v>P046O3</x:v>
      </x:c>
      <x:c r="R278" s="89" t="str">
        <x:f aca="0">IF(I278&lt;100,D278&amp;"O"&amp;COUNTIFS($D$6:D278,D278,$I$6:I278,"&lt;100"),"")</x:f>
        <x:v>PriyaO22</x:v>
      </x:c>
      <x:c r="S278" s="278" t="n">
        <x:f>IF(COUNTIF($B$6:$B$605,B278)&gt;1,1,0)</x:f>
        <x:v>0</x:v>
      </x:c>
    </x:row>
    <x:row r="279" ht="15" hidden="0">
      <x:c r="A279" s="83" t="s">
        <x:v>292</x:v>
      </x:c>
      <x:c r="B279" s="83" t="s">
        <x:v>821</x:v>
      </x:c>
      <x:c r="C279" s="83" t="s">
        <x:v>448</x:v>
      </x:c>
      <x:c r="D279" s="83" t="s">
        <x:v>434</x:v>
      </x:c>
      <x:c r="E279" s="83" t="s">
        <x:v>435</x:v>
      </x:c>
      <x:c r="F279" s="83" t="s">
        <x:v>557</x:v>
      </x:c>
      <x:c r="G279" s="85" t="n">
        <x:v>46291</x:v>
      </x:c>
      <x:c r="H279" s="85" t="n">
        <x:v>46301</x:v>
      </x:c>
      <x:c r="I279" s="87" t="n">
        <x:v>92</x:v>
      </x:c>
      <x:c r="J279" s="83" t="s">
        <x:v>543</x:v>
      </x:c>
      <x:c r="K279" s="83" t="s">
        <x:v>396</x:v>
      </x:c>
      <x:c r="L279" s="83" t="s">
        <x:v>395</x:v>
      </x:c>
      <x:c r="M279" s="83" t="n">
        <x:v>90</x:v>
      </x:c>
      <x:c r="N279" s="83" t="n">
        <x:v>88</x:v>
      </x:c>
      <x:c r="O279" s="85" t="n">
        <x:v>46274</x:v>
      </x:c>
      <x:c r="P279" s="89" t="str">
        <x:f aca="0">A279&amp;TEXT(COUNTIF($A$6:A279,A279),"00")</x:f>
        <x:v>P04604</x:v>
      </x:c>
      <x:c r="Q279" s="89" t="str">
        <x:f aca="0">IF(I279&lt;100,A279&amp;"O"&amp;COUNTIFS($A$6:A279,A279,$I$6:I279,"&lt;100"),"")</x:f>
        <x:v>P046O4</x:v>
      </x:c>
      <x:c r="R279" s="89" t="str">
        <x:f aca="0">IF(I279&lt;100,D279&amp;"O"&amp;COUNTIFS($D$6:D279,D279,$I$6:I279,"&lt;100"),"")</x:f>
        <x:v>RahulO21</x:v>
      </x:c>
      <x:c r="S279" s="278" t="n">
        <x:f>IF(COUNTIF($B$6:$B$605,B279)&gt;1,1,0)</x:f>
        <x:v>0</x:v>
      </x:c>
    </x:row>
    <x:row r="280" ht="15" hidden="0">
      <x:c r="A280" s="83" t="s">
        <x:v>292</x:v>
      </x:c>
      <x:c r="B280" s="83" t="s">
        <x:v>822</x:v>
      </x:c>
      <x:c r="C280" s="83" t="s">
        <x:v>451</x:v>
      </x:c>
      <x:c r="D280" s="83" t="s">
        <x:v>441</x:v>
      </x:c>
      <x:c r="E280" s="83" t="s">
        <x:v>442</x:v>
      </x:c>
      <x:c r="F280" s="83" t="s">
        <x:v>493</x:v>
      </x:c>
      <x:c r="G280" s="85" t="n">
        <x:v>46305</x:v>
      </x:c>
      <x:c r="H280" s="85" t="n">
        <x:v>46322</x:v>
      </x:c>
      <x:c r="I280" s="87" t="n">
        <x:v>73</x:v>
      </x:c>
      <x:c r="J280" s="83" t="s">
        <x:v>543</x:v>
      </x:c>
      <x:c r="K280" s="83"/>
      <x:c r="L280" s="83" t="s">
        <x:v>395</x:v>
      </x:c>
      <x:c r="M280" s="83" t="n">
        <x:v>88</x:v>
      </x:c>
      <x:c r="N280" s="83" t="n">
        <x:v>17</x:v>
      </x:c>
      <x:c r="O280" s="85" t="n">
        <x:v>46274</x:v>
      </x:c>
      <x:c r="P280" s="89" t="str">
        <x:f aca="0">A280&amp;TEXT(COUNTIF($A$6:A280,A280),"00")</x:f>
        <x:v>P04605</x:v>
      </x:c>
      <x:c r="Q280" s="89" t="str">
        <x:f aca="0">IF(I280&lt;100,A280&amp;"O"&amp;COUNTIFS($A$6:A280,A280,$I$6:I280,"&lt;100"),"")</x:f>
        <x:v>P046O5</x:v>
      </x:c>
      <x:c r="R280" s="89" t="str">
        <x:f aca="0">IF(I280&lt;100,D280&amp;"O"&amp;COUNTIFS($D$6:D280,D280,$I$6:I280,"&lt;100"),"")</x:f>
        <x:v>KaranO22</x:v>
      </x:c>
      <x:c r="S280" s="278" t="n">
        <x:f>IF(COUNTIF($B$6:$B$605,B280)&gt;1,1,0)</x:f>
        <x:v>0</x:v>
      </x:c>
    </x:row>
    <x:row r="281" ht="15" hidden="0">
      <x:c r="A281" s="83" t="s">
        <x:v>292</x:v>
      </x:c>
      <x:c r="B281" s="83" t="s">
        <x:v>823</x:v>
      </x:c>
      <x:c r="C281" s="83" t="s">
        <x:v>454</x:v>
      </x:c>
      <x:c r="D281" s="83" t="s">
        <x:v>445</x:v>
      </x:c>
      <x:c r="E281" s="83" t="s">
        <x:v>446</x:v>
      </x:c>
      <x:c r="F281" s="83" t="s">
        <x:v>546</x:v>
      </x:c>
      <x:c r="G281" s="85" t="n">
        <x:v>46319</x:v>
      </x:c>
      <x:c r="H281" s="85" t="n">
        <x:v>46343</x:v>
      </x:c>
      <x:c r="I281" s="87" t="n">
        <x:v>77</x:v>
      </x:c>
      <x:c r="J281" s="83" t="s">
        <x:v>543</x:v>
      </x:c>
      <x:c r="K281" s="83"/>
      <x:c r="L281" s="83" t="s">
        <x:v>395</x:v>
      </x:c>
      <x:c r="M281" s="83" t="n">
        <x:v>22</x:v>
      </x:c>
      <x:c r="N281" s="83" t="n">
        <x:v>45</x:v>
      </x:c>
      <x:c r="O281" s="85" t="n">
        <x:v>46274</x:v>
      </x:c>
      <x:c r="P281" s="89" t="str">
        <x:f aca="0">A281&amp;TEXT(COUNTIF($A$6:A281,A281),"00")</x:f>
        <x:v>P04606</x:v>
      </x:c>
      <x:c r="Q281" s="89" t="str">
        <x:f aca="0">IF(I281&lt;100,A281&amp;"O"&amp;COUNTIFS($A$6:A281,A281,$I$6:I281,"&lt;100"),"")</x:f>
        <x:v>P046O6</x:v>
      </x:c>
      <x:c r="R281" s="89" t="str">
        <x:f aca="0">IF(I281&lt;100,D281&amp;"O"&amp;COUNTIFS($D$6:D281,D281,$I$6:I281,"&lt;100"),"")</x:f>
        <x:v>MeeraO22</x:v>
      </x:c>
      <x:c r="S281" s="278" t="n">
        <x:f>IF(COUNTIF($B$6:$B$605,B281)&gt;1,1,0)</x:f>
        <x:v>0</x:v>
      </x:c>
    </x:row>
    <x:row r="282" ht="15" hidden="0">
      <x:c r="A282" s="83" t="s">
        <x:v>274</x:v>
      </x:c>
      <x:c r="B282" s="83" t="s">
        <x:v>824</x:v>
      </x:c>
      <x:c r="C282" s="83" t="s">
        <x:v>433</x:v>
      </x:c>
      <x:c r="D282" s="83" t="s">
        <x:v>360</x:v>
      </x:c>
      <x:c r="E282" s="83" t="s">
        <x:v>441</x:v>
      </x:c>
      <x:c r="F282" s="83" t="s">
        <x:v>557</x:v>
      </x:c>
      <x:c r="G282" s="85" t="n">
        <x:v>46250</x:v>
      </x:c>
      <x:c r="H282" s="85" t="n">
        <x:v>46259</x:v>
      </x:c>
      <x:c r="I282" s="87" t="n">
        <x:v>58</x:v>
      </x:c>
      <x:c r="J282" s="83" t="s">
        <x:v>543</x:v>
      </x:c>
      <x:c r="K282" s="83"/>
      <x:c r="L282" s="83" t="s">
        <x:v>395</x:v>
      </x:c>
      <x:c r="M282" s="83" t="n">
        <x:v>74</x:v>
      </x:c>
      <x:c r="N282" s="83" t="n">
        <x:v>74</x:v>
      </x:c>
      <x:c r="O282" s="85" t="n">
        <x:v>46274</x:v>
      </x:c>
      <x:c r="P282" s="89" t="str">
        <x:f aca="0">A282&amp;TEXT(COUNTIF($A$6:A282,A282),"00")</x:f>
        <x:v>P04701</x:v>
      </x:c>
      <x:c r="Q282" s="89" t="str">
        <x:f aca="0">IF(I282&lt;100,A282&amp;"O"&amp;COUNTIFS($A$6:A282,A282,$I$6:I282,"&lt;100"),"")</x:f>
        <x:v>P047O1</x:v>
      </x:c>
      <x:c r="R282" s="89" t="str">
        <x:f aca="0">IF(I282&lt;100,D282&amp;"O"&amp;COUNTIFS($D$6:D282,D282,$I$6:I282,"&lt;100"),"")</x:f>
        <x:v>AmitO24</x:v>
      </x:c>
      <x:c r="S282" s="278" t="n">
        <x:f>IF(COUNTIF($B$6:$B$605,B282)&gt;1,1,0)</x:f>
        <x:v>0</x:v>
      </x:c>
    </x:row>
    <x:row r="283" ht="15" hidden="0">
      <x:c r="A283" s="83" t="s">
        <x:v>274</x:v>
      </x:c>
      <x:c r="B283" s="83" t="s">
        <x:v>825</x:v>
      </x:c>
      <x:c r="C283" s="83" t="s">
        <x:v>440</x:v>
      </x:c>
      <x:c r="D283" s="83" t="s">
        <x:v>475</x:v>
      </x:c>
      <x:c r="E283" s="83" t="s">
        <x:v>445</x:v>
      </x:c>
      <x:c r="F283" s="83" t="s">
        <x:v>546</x:v>
      </x:c>
      <x:c r="G283" s="85" t="n">
        <x:v>46264</x:v>
      </x:c>
      <x:c r="H283" s="85" t="n">
        <x:v>46288</x:v>
      </x:c>
      <x:c r="I283" s="87" t="n">
        <x:v>82</x:v>
      </x:c>
      <x:c r="J283" s="83" t="s">
        <x:v>543</x:v>
      </x:c>
      <x:c r="K283" s="83"/>
      <x:c r="L283" s="83" t="s">
        <x:v>395</x:v>
      </x:c>
      <x:c r="M283" s="83" t="n">
        <x:v>25</x:v>
      </x:c>
      <x:c r="N283" s="83" t="n">
        <x:v>69</x:v>
      </x:c>
      <x:c r="O283" s="85" t="n">
        <x:v>46274</x:v>
      </x:c>
      <x:c r="P283" s="89" t="str">
        <x:f aca="0">A283&amp;TEXT(COUNTIF($A$6:A283,A283),"00")</x:f>
        <x:v>P04702</x:v>
      </x:c>
      <x:c r="Q283" s="89" t="str">
        <x:f aca="0">IF(I283&lt;100,A283&amp;"O"&amp;COUNTIFS($A$6:A283,A283,$I$6:I283,"&lt;100"),"")</x:f>
        <x:v>P047O2</x:v>
      </x:c>
      <x:c r="R283" s="89" t="str">
        <x:f aca="0">IF(I283&lt;100,D283&amp;"O"&amp;COUNTIFS($D$6:D283,D283,$I$6:I283,"&lt;100"),"")</x:f>
        <x:v>PriyaO23</x:v>
      </x:c>
      <x:c r="S283" s="278" t="n">
        <x:f>IF(COUNTIF($B$6:$B$605,B283)&gt;1,1,0)</x:f>
        <x:v>0</x:v>
      </x:c>
    </x:row>
    <x:row r="284" ht="15" hidden="0">
      <x:c r="A284" s="83" t="s">
        <x:v>274</x:v>
      </x:c>
      <x:c r="B284" s="83" t="s">
        <x:v>826</x:v>
      </x:c>
      <x:c r="C284" s="83" t="s">
        <x:v>444</x:v>
      </x:c>
      <x:c r="D284" s="83" t="s">
        <x:v>434</x:v>
      </x:c>
      <x:c r="E284" s="83" t="s">
        <x:v>435</x:v>
      </x:c>
      <x:c r="F284" s="83" t="s">
        <x:v>557</x:v>
      </x:c>
      <x:c r="G284" s="85" t="n">
        <x:v>46278</x:v>
      </x:c>
      <x:c r="H284" s="85" t="n">
        <x:v>46297</x:v>
      </x:c>
      <x:c r="I284" s="87" t="n">
        <x:v>71</x:v>
      </x:c>
      <x:c r="J284" s="83" t="s">
        <x:v>543</x:v>
      </x:c>
      <x:c r="K284" s="83"/>
      <x:c r="L284" s="83" t="s">
        <x:v>395</x:v>
      </x:c>
      <x:c r="M284" s="83" t="n">
        <x:v>76</x:v>
      </x:c>
      <x:c r="N284" s="83" t="n">
        <x:v>17</x:v>
      </x:c>
      <x:c r="O284" s="85" t="n">
        <x:v>46274</x:v>
      </x:c>
      <x:c r="P284" s="89" t="str">
        <x:f aca="0">A284&amp;TEXT(COUNTIF($A$6:A284,A284),"00")</x:f>
        <x:v>P04703</x:v>
      </x:c>
      <x:c r="Q284" s="89" t="str">
        <x:f aca="0">IF(I284&lt;100,A284&amp;"O"&amp;COUNTIFS($A$6:A284,A284,$I$6:I284,"&lt;100"),"")</x:f>
        <x:v>P047O3</x:v>
      </x:c>
      <x:c r="R284" s="89" t="str">
        <x:f aca="0">IF(I284&lt;100,D284&amp;"O"&amp;COUNTIFS($D$6:D284,D284,$I$6:I284,"&lt;100"),"")</x:f>
        <x:v>RahulO22</x:v>
      </x:c>
      <x:c r="S284" s="278" t="n">
        <x:f>IF(COUNTIF($B$6:$B$605,B284)&gt;1,1,0)</x:f>
        <x:v>0</x:v>
      </x:c>
    </x:row>
    <x:row r="285" ht="15" hidden="0">
      <x:c r="A285" s="83" t="s">
        <x:v>274</x:v>
      </x:c>
      <x:c r="B285" s="83" t="s">
        <x:v>827</x:v>
      </x:c>
      <x:c r="C285" s="83" t="s">
        <x:v>448</x:v>
      </x:c>
      <x:c r="D285" s="83" t="s">
        <x:v>441</x:v>
      </x:c>
      <x:c r="E285" s="83" t="s">
        <x:v>442</x:v>
      </x:c>
      <x:c r="F285" s="83" t="s">
        <x:v>557</x:v>
      </x:c>
      <x:c r="G285" s="85" t="n">
        <x:v>46292</x:v>
      </x:c>
      <x:c r="H285" s="85" t="n">
        <x:v>46301</x:v>
      </x:c>
      <x:c r="I285" s="87" t="n">
        <x:v>85</x:v>
      </x:c>
      <x:c r="J285" s="83" t="s">
        <x:v>543</x:v>
      </x:c>
      <x:c r="K285" s="83"/>
      <x:c r="L285" s="83" t="s">
        <x:v>395</x:v>
      </x:c>
      <x:c r="M285" s="83" t="n">
        <x:v>53</x:v>
      </x:c>
      <x:c r="N285" s="83" t="n">
        <x:v>73</x:v>
      </x:c>
      <x:c r="O285" s="85" t="n">
        <x:v>46274</x:v>
      </x:c>
      <x:c r="P285" s="89" t="str">
        <x:f aca="0">A285&amp;TEXT(COUNTIF($A$6:A285,A285),"00")</x:f>
        <x:v>P04704</x:v>
      </x:c>
      <x:c r="Q285" s="89" t="str">
        <x:f aca="0">IF(I285&lt;100,A285&amp;"O"&amp;COUNTIFS($A$6:A285,A285,$I$6:I285,"&lt;100"),"")</x:f>
        <x:v>P047O4</x:v>
      </x:c>
      <x:c r="R285" s="89" t="str">
        <x:f aca="0">IF(I285&lt;100,D285&amp;"O"&amp;COUNTIFS($D$6:D285,D285,$I$6:I285,"&lt;100"),"")</x:f>
        <x:v>KaranO23</x:v>
      </x:c>
      <x:c r="S285" s="278" t="n">
        <x:f>IF(COUNTIF($B$6:$B$605,B285)&gt;1,1,0)</x:f>
        <x:v>0</x:v>
      </x:c>
    </x:row>
    <x:row r="286" ht="15" hidden="0">
      <x:c r="A286" s="83" t="s">
        <x:v>274</x:v>
      </x:c>
      <x:c r="B286" s="83" t="s">
        <x:v>828</x:v>
      </x:c>
      <x:c r="C286" s="83" t="s">
        <x:v>451</x:v>
      </x:c>
      <x:c r="D286" s="83" t="s">
        <x:v>445</x:v>
      </x:c>
      <x:c r="E286" s="83" t="s">
        <x:v>446</x:v>
      </x:c>
      <x:c r="F286" s="83" t="s">
        <x:v>546</x:v>
      </x:c>
      <x:c r="G286" s="85" t="n">
        <x:v>46306</x:v>
      </x:c>
      <x:c r="H286" s="85" t="n">
        <x:v>46324</x:v>
      </x:c>
      <x:c r="I286" s="87" t="n">
        <x:v>87</x:v>
      </x:c>
      <x:c r="J286" s="83" t="s">
        <x:v>543</x:v>
      </x:c>
      <x:c r="K286" s="83"/>
      <x:c r="L286" s="83" t="s">
        <x:v>395</x:v>
      </x:c>
      <x:c r="M286" s="83" t="n">
        <x:v>97</x:v>
      </x:c>
      <x:c r="N286" s="83" t="n">
        <x:v>30</x:v>
      </x:c>
      <x:c r="O286" s="85" t="n">
        <x:v>46274</x:v>
      </x:c>
      <x:c r="P286" s="89" t="str">
        <x:f aca="0">A286&amp;TEXT(COUNTIF($A$6:A286,A286),"00")</x:f>
        <x:v>P04705</x:v>
      </x:c>
      <x:c r="Q286" s="89" t="str">
        <x:f aca="0">IF(I286&lt;100,A286&amp;"O"&amp;COUNTIFS($A$6:A286,A286,$I$6:I286,"&lt;100"),"")</x:f>
        <x:v>P047O5</x:v>
      </x:c>
      <x:c r="R286" s="89" t="str">
        <x:f aca="0">IF(I286&lt;100,D286&amp;"O"&amp;COUNTIFS($D$6:D286,D286,$I$6:I286,"&lt;100"),"")</x:f>
        <x:v>MeeraO23</x:v>
      </x:c>
      <x:c r="S286" s="278" t="n">
        <x:f>IF(COUNTIF($B$6:$B$605,B286)&gt;1,1,0)</x:f>
        <x:v>0</x:v>
      </x:c>
    </x:row>
    <x:row r="287" ht="15" hidden="0">
      <x:c r="A287" s="83" t="s">
        <x:v>274</x:v>
      </x:c>
      <x:c r="B287" s="83" t="s">
        <x:v>829</x:v>
      </x:c>
      <x:c r="C287" s="83" t="s">
        <x:v>454</x:v>
      </x:c>
      <x:c r="D287" s="83" t="s">
        <x:v>435</x:v>
      </x:c>
      <x:c r="E287" s="83" t="s">
        <x:v>449</x:v>
      </x:c>
      <x:c r="F287" s="83" t="s">
        <x:v>493</x:v>
      </x:c>
      <x:c r="G287" s="85" t="n">
        <x:v>46320</x:v>
      </x:c>
      <x:c r="H287" s="85" t="n">
        <x:v>46343</x:v>
      </x:c>
      <x:c r="I287" s="87" t="n">
        <x:v>87</x:v>
      </x:c>
      <x:c r="J287" s="83" t="s">
        <x:v>543</x:v>
      </x:c>
      <x:c r="K287" s="83" t="s">
        <x:v>396</x:v>
      </x:c>
      <x:c r="L287" s="83" t="s">
        <x:v>395</x:v>
      </x:c>
      <x:c r="M287" s="83" t="n">
        <x:v>86</x:v>
      </x:c>
      <x:c r="N287" s="83" t="n">
        <x:v>75</x:v>
      </x:c>
      <x:c r="O287" s="85" t="n">
        <x:v>46274</x:v>
      </x:c>
      <x:c r="P287" s="89" t="str">
        <x:f aca="0">A287&amp;TEXT(COUNTIF($A$6:A287,A287),"00")</x:f>
        <x:v>P04706</x:v>
      </x:c>
      <x:c r="Q287" s="89" t="str">
        <x:f aca="0">IF(I287&lt;100,A287&amp;"O"&amp;COUNTIFS($A$6:A287,A287,$I$6:I287,"&lt;100"),"")</x:f>
        <x:v>P047O6</x:v>
      </x:c>
      <x:c r="R287" s="89" t="str">
        <x:f aca="0">IF(I287&lt;100,D287&amp;"O"&amp;COUNTIFS($D$6:D287,D287,$I$6:I287,"&lt;100"),"")</x:f>
        <x:v>VivekO23</x:v>
      </x:c>
      <x:c r="S287" s="278" t="n">
        <x:f>IF(COUNTIF($B$6:$B$605,B287)&gt;1,1,0)</x:f>
        <x:v>0</x:v>
      </x:c>
    </x:row>
    <x:row r="288" ht="15" hidden="0">
      <x:c r="A288" s="83" t="s">
        <x:v>167</x:v>
      </x:c>
      <x:c r="B288" s="83" t="s">
        <x:v>830</x:v>
      </x:c>
      <x:c r="C288" s="83" t="s">
        <x:v>433</x:v>
      </x:c>
      <x:c r="D288" s="83" t="s">
        <x:v>475</x:v>
      </x:c>
      <x:c r="E288" s="83" t="s">
        <x:v>445</x:v>
      </x:c>
      <x:c r="F288" s="83" t="s">
        <x:v>493</x:v>
      </x:c>
      <x:c r="G288" s="85" t="n">
        <x:v>46251</x:v>
      </x:c>
      <x:c r="H288" s="85" t="n">
        <x:v>46265</x:v>
      </x:c>
      <x:c r="I288" s="87" t="n">
        <x:v>60</x:v>
      </x:c>
      <x:c r="J288" s="83" t="s">
        <x:v>543</x:v>
      </x:c>
      <x:c r="K288" s="83"/>
      <x:c r="L288" s="83" t="s">
        <x:v>395</x:v>
      </x:c>
      <x:c r="M288" s="83" t="n">
        <x:v>82</x:v>
      </x:c>
      <x:c r="N288" s="83" t="n">
        <x:v>41</x:v>
      </x:c>
      <x:c r="O288" s="85" t="n">
        <x:v>46274</x:v>
      </x:c>
      <x:c r="P288" s="89" t="str">
        <x:f aca="0">A288&amp;TEXT(COUNTIF($A$6:A288,A288),"00")</x:f>
        <x:v>P04801</x:v>
      </x:c>
      <x:c r="Q288" s="89" t="str">
        <x:f aca="0">IF(I288&lt;100,A288&amp;"O"&amp;COUNTIFS($A$6:A288,A288,$I$6:I288,"&lt;100"),"")</x:f>
        <x:v>P048O1</x:v>
      </x:c>
      <x:c r="R288" s="89" t="str">
        <x:f aca="0">IF(I288&lt;100,D288&amp;"O"&amp;COUNTIFS($D$6:D288,D288,$I$6:I288,"&lt;100"),"")</x:f>
        <x:v>PriyaO24</x:v>
      </x:c>
      <x:c r="S288" s="278" t="n">
        <x:f>IF(COUNTIF($B$6:$B$605,B288)&gt;1,1,0)</x:f>
        <x:v>0</x:v>
      </x:c>
    </x:row>
    <x:row r="289" ht="15" hidden="0">
      <x:c r="A289" s="83" t="s">
        <x:v>167</x:v>
      </x:c>
      <x:c r="B289" s="83" t="s">
        <x:v>831</x:v>
      </x:c>
      <x:c r="C289" s="83" t="s">
        <x:v>440</x:v>
      </x:c>
      <x:c r="D289" s="83" t="s">
        <x:v>434</x:v>
      </x:c>
      <x:c r="E289" s="83" t="s">
        <x:v>435</x:v>
      </x:c>
      <x:c r="F289" s="83" t="s">
        <x:v>546</x:v>
      </x:c>
      <x:c r="G289" s="85" t="n">
        <x:v>46265</x:v>
      </x:c>
      <x:c r="H289" s="85" t="n">
        <x:v>46287</x:v>
      </x:c>
      <x:c r="I289" s="87" t="n">
        <x:v>71</x:v>
      </x:c>
      <x:c r="J289" s="83" t="s">
        <x:v>543</x:v>
      </x:c>
      <x:c r="K289" s="83" t="s">
        <x:v>396</x:v>
      </x:c>
      <x:c r="L289" s="83" t="s">
        <x:v>395</x:v>
      </x:c>
      <x:c r="M289" s="83" t="n">
        <x:v>65</x:v>
      </x:c>
      <x:c r="N289" s="83" t="n">
        <x:v>72</x:v>
      </x:c>
      <x:c r="O289" s="85" t="n">
        <x:v>46274</x:v>
      </x:c>
      <x:c r="P289" s="89" t="str">
        <x:f aca="0">A289&amp;TEXT(COUNTIF($A$6:A289,A289),"00")</x:f>
        <x:v>P04802</x:v>
      </x:c>
      <x:c r="Q289" s="89" t="str">
        <x:f aca="0">IF(I289&lt;100,A289&amp;"O"&amp;COUNTIFS($A$6:A289,A289,$I$6:I289,"&lt;100"),"")</x:f>
        <x:v>P048O2</x:v>
      </x:c>
      <x:c r="R289" s="89" t="str">
        <x:f aca="0">IF(I289&lt;100,D289&amp;"O"&amp;COUNTIFS($D$6:D289,D289,$I$6:I289,"&lt;100"),"")</x:f>
        <x:v>RahulO23</x:v>
      </x:c>
      <x:c r="S289" s="278" t="n">
        <x:f>IF(COUNTIF($B$6:$B$605,B289)&gt;1,1,0)</x:f>
        <x:v>0</x:v>
      </x:c>
    </x:row>
    <x:row r="290" ht="15" hidden="0">
      <x:c r="A290" s="83" t="s">
        <x:v>167</x:v>
      </x:c>
      <x:c r="B290" s="83" t="s">
        <x:v>832</x:v>
      </x:c>
      <x:c r="C290" s="83" t="s">
        <x:v>444</x:v>
      </x:c>
      <x:c r="D290" s="83" t="s">
        <x:v>441</x:v>
      </x:c>
      <x:c r="E290" s="83" t="s">
        <x:v>442</x:v>
      </x:c>
      <x:c r="F290" s="83" t="s">
        <x:v>546</x:v>
      </x:c>
      <x:c r="G290" s="85" t="n">
        <x:v>46279</x:v>
      </x:c>
      <x:c r="H290" s="85" t="n">
        <x:v>46301</x:v>
      </x:c>
      <x:c r="I290" s="87" t="n">
        <x:v>47</x:v>
      </x:c>
      <x:c r="J290" s="83" t="s">
        <x:v>543</x:v>
      </x:c>
      <x:c r="K290" s="83"/>
      <x:c r="L290" s="83" t="s">
        <x:v>395</x:v>
      </x:c>
      <x:c r="M290" s="83" t="n">
        <x:v>44</x:v>
      </x:c>
      <x:c r="N290" s="83" t="n">
        <x:v>34</x:v>
      </x:c>
      <x:c r="O290" s="85" t="n">
        <x:v>46274</x:v>
      </x:c>
      <x:c r="P290" s="89" t="str">
        <x:f aca="0">A290&amp;TEXT(COUNTIF($A$6:A290,A290),"00")</x:f>
        <x:v>P04803</x:v>
      </x:c>
      <x:c r="Q290" s="89" t="str">
        <x:f aca="0">IF(I290&lt;100,A290&amp;"O"&amp;COUNTIFS($A$6:A290,A290,$I$6:I290,"&lt;100"),"")</x:f>
        <x:v>P048O3</x:v>
      </x:c>
      <x:c r="R290" s="89" t="str">
        <x:f aca="0">IF(I290&lt;100,D290&amp;"O"&amp;COUNTIFS($D$6:D290,D290,$I$6:I290,"&lt;100"),"")</x:f>
        <x:v>KaranO24</x:v>
      </x:c>
      <x:c r="S290" s="278" t="n">
        <x:f>IF(COUNTIF($B$6:$B$605,B290)&gt;1,1,0)</x:f>
        <x:v>0</x:v>
      </x:c>
    </x:row>
    <x:row r="291" ht="15" hidden="0">
      <x:c r="A291" s="83" t="s">
        <x:v>167</x:v>
      </x:c>
      <x:c r="B291" s="83" t="s">
        <x:v>833</x:v>
      </x:c>
      <x:c r="C291" s="83" t="s">
        <x:v>448</x:v>
      </x:c>
      <x:c r="D291" s="83" t="s">
        <x:v>445</x:v>
      </x:c>
      <x:c r="E291" s="83" t="s">
        <x:v>446</x:v>
      </x:c>
      <x:c r="F291" s="83" t="s">
        <x:v>546</x:v>
      </x:c>
      <x:c r="G291" s="85" t="n">
        <x:v>46293</x:v>
      </x:c>
      <x:c r="H291" s="85" t="n">
        <x:v>46307</x:v>
      </x:c>
      <x:c r="I291" s="87" t="n">
        <x:v>83</x:v>
      </x:c>
      <x:c r="J291" s="83" t="s">
        <x:v>543</x:v>
      </x:c>
      <x:c r="K291" s="83"/>
      <x:c r="L291" s="83" t="s">
        <x:v>395</x:v>
      </x:c>
      <x:c r="M291" s="83" t="n">
        <x:v>61</x:v>
      </x:c>
      <x:c r="N291" s="83" t="n">
        <x:v>44</x:v>
      </x:c>
      <x:c r="O291" s="85" t="n">
        <x:v>46274</x:v>
      </x:c>
      <x:c r="P291" s="89" t="str">
        <x:f aca="0">A291&amp;TEXT(COUNTIF($A$6:A291,A291),"00")</x:f>
        <x:v>P04804</x:v>
      </x:c>
      <x:c r="Q291" s="89" t="str">
        <x:f aca="0">IF(I291&lt;100,A291&amp;"O"&amp;COUNTIFS($A$6:A291,A291,$I$6:I291,"&lt;100"),"")</x:f>
        <x:v>P048O4</x:v>
      </x:c>
      <x:c r="R291" s="89" t="str">
        <x:f aca="0">IF(I291&lt;100,D291&amp;"O"&amp;COUNTIFS($D$6:D291,D291,$I$6:I291,"&lt;100"),"")</x:f>
        <x:v>MeeraO24</x:v>
      </x:c>
      <x:c r="S291" s="278" t="n">
        <x:f>IF(COUNTIF($B$6:$B$605,B291)&gt;1,1,0)</x:f>
        <x:v>0</x:v>
      </x:c>
    </x:row>
    <x:row r="292" ht="15" hidden="0">
      <x:c r="A292" s="83" t="s">
        <x:v>167</x:v>
      </x:c>
      <x:c r="B292" s="83" t="s">
        <x:v>834</x:v>
      </x:c>
      <x:c r="C292" s="83" t="s">
        <x:v>451</x:v>
      </x:c>
      <x:c r="D292" s="83" t="s">
        <x:v>435</x:v>
      </x:c>
      <x:c r="E292" s="83" t="s">
        <x:v>449</x:v>
      </x:c>
      <x:c r="F292" s="83" t="s">
        <x:v>493</x:v>
      </x:c>
      <x:c r="G292" s="85" t="n">
        <x:v>46307</x:v>
      </x:c>
      <x:c r="H292" s="85" t="n">
        <x:v>46318</x:v>
      </x:c>
      <x:c r="I292" s="87" t="n">
        <x:v>48</x:v>
      </x:c>
      <x:c r="J292" s="83" t="s">
        <x:v>543</x:v>
      </x:c>
      <x:c r="K292" s="83"/>
      <x:c r="L292" s="83" t="s">
        <x:v>395</x:v>
      </x:c>
      <x:c r="M292" s="83" t="n">
        <x:v>38</x:v>
      </x:c>
      <x:c r="N292" s="83" t="n">
        <x:v>30</x:v>
      </x:c>
      <x:c r="O292" s="85" t="n">
        <x:v>46274</x:v>
      </x:c>
      <x:c r="P292" s="89" t="str">
        <x:f aca="0">A292&amp;TEXT(COUNTIF($A$6:A292,A292),"00")</x:f>
        <x:v>P04805</x:v>
      </x:c>
      <x:c r="Q292" s="89" t="str">
        <x:f aca="0">IF(I292&lt;100,A292&amp;"O"&amp;COUNTIFS($A$6:A292,A292,$I$6:I292,"&lt;100"),"")</x:f>
        <x:v>P048O5</x:v>
      </x:c>
      <x:c r="R292" s="89" t="str">
        <x:f aca="0">IF(I292&lt;100,D292&amp;"O"&amp;COUNTIFS($D$6:D292,D292,$I$6:I292,"&lt;100"),"")</x:f>
        <x:v>VivekO24</x:v>
      </x:c>
      <x:c r="S292" s="278" t="n">
        <x:f>IF(COUNTIF($B$6:$B$605,B292)&gt;1,1,0)</x:f>
        <x:v>0</x:v>
      </x:c>
    </x:row>
    <x:row r="293" ht="15" hidden="0">
      <x:c r="A293" s="83" t="s">
        <x:v>167</x:v>
      </x:c>
      <x:c r="B293" s="83" t="s">
        <x:v>835</x:v>
      </x:c>
      <x:c r="C293" s="83" t="s">
        <x:v>454</x:v>
      </x:c>
      <x:c r="D293" s="83" t="s">
        <x:v>442</x:v>
      </x:c>
      <x:c r="E293" s="83" t="s">
        <x:v>452</x:v>
      </x:c>
      <x:c r="F293" s="83" t="s">
        <x:v>550</x:v>
      </x:c>
      <x:c r="G293" s="85" t="n">
        <x:v>46321</x:v>
      </x:c>
      <x:c r="H293" s="85" t="n">
        <x:v>46345</x:v>
      </x:c>
      <x:c r="I293" s="87" t="n">
        <x:v>66</x:v>
      </x:c>
      <x:c r="J293" s="83" t="s">
        <x:v>543</x:v>
      </x:c>
      <x:c r="K293" s="83"/>
      <x:c r="L293" s="83" t="s">
        <x:v>395</x:v>
      </x:c>
      <x:c r="M293" s="83" t="n">
        <x:v>95</x:v>
      </x:c>
      <x:c r="N293" s="83" t="n">
        <x:v>86</x:v>
      </x:c>
      <x:c r="O293" s="85" t="n">
        <x:v>46274</x:v>
      </x:c>
      <x:c r="P293" s="89" t="str">
        <x:f aca="0">A293&amp;TEXT(COUNTIF($A$6:A293,A293),"00")</x:f>
        <x:v>P04806</x:v>
      </x:c>
      <x:c r="Q293" s="89" t="str">
        <x:f aca="0">IF(I293&lt;100,A293&amp;"O"&amp;COUNTIFS($A$6:A293,A293,$I$6:I293,"&lt;100"),"")</x:f>
        <x:v>P048O6</x:v>
      </x:c>
      <x:c r="R293" s="89" t="str">
        <x:f aca="0">IF(I293&lt;100,D293&amp;"O"&amp;COUNTIFS($D$6:D293,D293,$I$6:I293,"&lt;100"),"")</x:f>
        <x:v>RituO23</x:v>
      </x:c>
      <x:c r="S293" s="278" t="n">
        <x:f>IF(COUNTIF($B$6:$B$605,B293)&gt;1,1,0)</x:f>
        <x:v>0</x:v>
      </x:c>
    </x:row>
    <x:row r="294" ht="15" hidden="0">
      <x:c r="A294" s="83" t="s">
        <x:v>202</x:v>
      </x:c>
      <x:c r="B294" s="83" t="s">
        <x:v>836</x:v>
      </x:c>
      <x:c r="C294" s="83" t="s">
        <x:v>433</x:v>
      </x:c>
      <x:c r="D294" s="83" t="s">
        <x:v>434</x:v>
      </x:c>
      <x:c r="E294" s="83" t="s">
        <x:v>435</x:v>
      </x:c>
      <x:c r="F294" s="83" t="s">
        <x:v>493</x:v>
      </x:c>
      <x:c r="G294" s="85" t="n">
        <x:v>46252</x:v>
      </x:c>
      <x:c r="H294" s="85" t="n">
        <x:v>46269</x:v>
      </x:c>
      <x:c r="I294" s="87" t="n">
        <x:v>33</x:v>
      </x:c>
      <x:c r="J294" s="83" t="s">
        <x:v>543</x:v>
      </x:c>
      <x:c r="K294" s="83" t="s">
        <x:v>396</x:v>
      </x:c>
      <x:c r="L294" s="83" t="s">
        <x:v>395</x:v>
      </x:c>
      <x:c r="M294" s="83" t="n">
        <x:v>73</x:v>
      </x:c>
      <x:c r="N294" s="83" t="n">
        <x:v>80</x:v>
      </x:c>
      <x:c r="O294" s="85" t="n">
        <x:v>46274</x:v>
      </x:c>
      <x:c r="P294" s="89" t="str">
        <x:f aca="0">A294&amp;TEXT(COUNTIF($A$6:A294,A294),"00")</x:f>
        <x:v>P04901</x:v>
      </x:c>
      <x:c r="Q294" s="89" t="str">
        <x:f aca="0">IF(I294&lt;100,A294&amp;"O"&amp;COUNTIFS($A$6:A294,A294,$I$6:I294,"&lt;100"),"")</x:f>
        <x:v>P049O1</x:v>
      </x:c>
      <x:c r="R294" s="89" t="str">
        <x:f aca="0">IF(I294&lt;100,D294&amp;"O"&amp;COUNTIFS($D$6:D294,D294,$I$6:I294,"&lt;100"),"")</x:f>
        <x:v>RahulO24</x:v>
      </x:c>
      <x:c r="S294" s="278" t="n">
        <x:f>IF(COUNTIF($B$6:$B$605,B294)&gt;1,1,0)</x:f>
        <x:v>0</x:v>
      </x:c>
    </x:row>
    <x:row r="295" ht="15" hidden="0">
      <x:c r="A295" s="83" t="s">
        <x:v>202</x:v>
      </x:c>
      <x:c r="B295" s="83" t="s">
        <x:v>837</x:v>
      </x:c>
      <x:c r="C295" s="83" t="s">
        <x:v>440</x:v>
      </x:c>
      <x:c r="D295" s="83" t="s">
        <x:v>441</x:v>
      </x:c>
      <x:c r="E295" s="83" t="s">
        <x:v>442</x:v>
      </x:c>
      <x:c r="F295" s="83" t="s">
        <x:v>550</x:v>
      </x:c>
      <x:c r="G295" s="85" t="n">
        <x:v>46266</x:v>
      </x:c>
      <x:c r="H295" s="85" t="n">
        <x:v>46285</x:v>
      </x:c>
      <x:c r="I295" s="87" t="n">
        <x:v>43</x:v>
      </x:c>
      <x:c r="J295" s="83" t="s">
        <x:v>543</x:v>
      </x:c>
      <x:c r="K295" s="83" t="s">
        <x:v>396</x:v>
      </x:c>
      <x:c r="L295" s="83" t="s">
        <x:v>395</x:v>
      </x:c>
      <x:c r="M295" s="83" t="n">
        <x:v>31</x:v>
      </x:c>
      <x:c r="N295" s="83" t="n">
        <x:v>95</x:v>
      </x:c>
      <x:c r="O295" s="85" t="n">
        <x:v>46274</x:v>
      </x:c>
      <x:c r="P295" s="89" t="str">
        <x:f aca="0">A295&amp;TEXT(COUNTIF($A$6:A295,A295),"00")</x:f>
        <x:v>P04902</x:v>
      </x:c>
      <x:c r="Q295" s="89" t="str">
        <x:f aca="0">IF(I295&lt;100,A295&amp;"O"&amp;COUNTIFS($A$6:A295,A295,$I$6:I295,"&lt;100"),"")</x:f>
        <x:v>P049O2</x:v>
      </x:c>
      <x:c r="R295" s="89" t="str">
        <x:f aca="0">IF(I295&lt;100,D295&amp;"O"&amp;COUNTIFS($D$6:D295,D295,$I$6:I295,"&lt;100"),"")</x:f>
        <x:v>KaranO25</x:v>
      </x:c>
      <x:c r="S295" s="278" t="n">
        <x:f>IF(COUNTIF($B$6:$B$605,B295)&gt;1,1,0)</x:f>
        <x:v>0</x:v>
      </x:c>
    </x:row>
    <x:row r="296" ht="15" hidden="0">
      <x:c r="A296" s="83" t="s">
        <x:v>202</x:v>
      </x:c>
      <x:c r="B296" s="83" t="s">
        <x:v>838</x:v>
      </x:c>
      <x:c r="C296" s="83" t="s">
        <x:v>444</x:v>
      </x:c>
      <x:c r="D296" s="83" t="s">
        <x:v>445</x:v>
      </x:c>
      <x:c r="E296" s="83" t="s">
        <x:v>446</x:v>
      </x:c>
      <x:c r="F296" s="83" t="s">
        <x:v>546</x:v>
      </x:c>
      <x:c r="G296" s="85" t="n">
        <x:v>46280</x:v>
      </x:c>
      <x:c r="H296" s="85" t="n">
        <x:v>46297</x:v>
      </x:c>
      <x:c r="I296" s="87" t="n">
        <x:v>61</x:v>
      </x:c>
      <x:c r="J296" s="83" t="s">
        <x:v>543</x:v>
      </x:c>
      <x:c r="K296" s="83" t="s">
        <x:v>396</x:v>
      </x:c>
      <x:c r="L296" s="83" t="s">
        <x:v>395</x:v>
      </x:c>
      <x:c r="M296" s="83" t="n">
        <x:v>55</x:v>
      </x:c>
      <x:c r="N296" s="83" t="n">
        <x:v>90</x:v>
      </x:c>
      <x:c r="O296" s="85" t="n">
        <x:v>46274</x:v>
      </x:c>
      <x:c r="P296" s="89" t="str">
        <x:f aca="0">A296&amp;TEXT(COUNTIF($A$6:A296,A296),"00")</x:f>
        <x:v>P04903</x:v>
      </x:c>
      <x:c r="Q296" s="89" t="str">
        <x:f aca="0">IF(I296&lt;100,A296&amp;"O"&amp;COUNTIFS($A$6:A296,A296,$I$6:I296,"&lt;100"),"")</x:f>
        <x:v>P049O3</x:v>
      </x:c>
      <x:c r="R296" s="89" t="str">
        <x:f aca="0">IF(I296&lt;100,D296&amp;"O"&amp;COUNTIFS($D$6:D296,D296,$I$6:I296,"&lt;100"),"")</x:f>
        <x:v>MeeraO25</x:v>
      </x:c>
      <x:c r="S296" s="278" t="n">
        <x:f>IF(COUNTIF($B$6:$B$605,B296)&gt;1,1,0)</x:f>
        <x:v>0</x:v>
      </x:c>
    </x:row>
    <x:row r="297" ht="15" hidden="0">
      <x:c r="A297" s="83" t="s">
        <x:v>202</x:v>
      </x:c>
      <x:c r="B297" s="83" t="s">
        <x:v>839</x:v>
      </x:c>
      <x:c r="C297" s="83" t="s">
        <x:v>448</x:v>
      </x:c>
      <x:c r="D297" s="83" t="s">
        <x:v>435</x:v>
      </x:c>
      <x:c r="E297" s="83" t="s">
        <x:v>449</x:v>
      </x:c>
      <x:c r="F297" s="83" t="s">
        <x:v>550</x:v>
      </x:c>
      <x:c r="G297" s="85" t="n">
        <x:v>46294</x:v>
      </x:c>
      <x:c r="H297" s="85" t="n">
        <x:v>46313</x:v>
      </x:c>
      <x:c r="I297" s="87" t="n">
        <x:v>43</x:v>
      </x:c>
      <x:c r="J297" s="83" t="s">
        <x:v>543</x:v>
      </x:c>
      <x:c r="K297" s="83"/>
      <x:c r="L297" s="83" t="s">
        <x:v>395</x:v>
      </x:c>
      <x:c r="M297" s="83" t="n">
        <x:v>81</x:v>
      </x:c>
      <x:c r="N297" s="83" t="n">
        <x:v>83</x:v>
      </x:c>
      <x:c r="O297" s="85" t="n">
        <x:v>46274</x:v>
      </x:c>
      <x:c r="P297" s="89" t="str">
        <x:f aca="0">A297&amp;TEXT(COUNTIF($A$6:A297,A297),"00")</x:f>
        <x:v>P04904</x:v>
      </x:c>
      <x:c r="Q297" s="89" t="str">
        <x:f aca="0">IF(I297&lt;100,A297&amp;"O"&amp;COUNTIFS($A$6:A297,A297,$I$6:I297,"&lt;100"),"")</x:f>
        <x:v>P049O4</x:v>
      </x:c>
      <x:c r="R297" s="89" t="str">
        <x:f aca="0">IF(I297&lt;100,D297&amp;"O"&amp;COUNTIFS($D$6:D297,D297,$I$6:I297,"&lt;100"),"")</x:f>
        <x:v>VivekO25</x:v>
      </x:c>
      <x:c r="S297" s="278" t="n">
        <x:f>IF(COUNTIF($B$6:$B$605,B297)&gt;1,1,0)</x:f>
        <x:v>0</x:v>
      </x:c>
    </x:row>
    <x:row r="298" ht="15" hidden="0">
      <x:c r="A298" s="83" t="s">
        <x:v>202</x:v>
      </x:c>
      <x:c r="B298" s="83" t="s">
        <x:v>840</x:v>
      </x:c>
      <x:c r="C298" s="83" t="s">
        <x:v>451</x:v>
      </x:c>
      <x:c r="D298" s="83" t="s">
        <x:v>442</x:v>
      </x:c>
      <x:c r="E298" s="83" t="s">
        <x:v>452</x:v>
      </x:c>
      <x:c r="F298" s="83" t="s">
        <x:v>550</x:v>
      </x:c>
      <x:c r="G298" s="85" t="n">
        <x:v>46308</x:v>
      </x:c>
      <x:c r="H298" s="85" t="n">
        <x:v>46318</x:v>
      </x:c>
      <x:c r="I298" s="87" t="n">
        <x:v>23</x:v>
      </x:c>
      <x:c r="J298" s="83" t="s">
        <x:v>543</x:v>
      </x:c>
      <x:c r="K298" s="83"/>
      <x:c r="L298" s="83" t="s">
        <x:v>395</x:v>
      </x:c>
      <x:c r="M298" s="83" t="n">
        <x:v>89</x:v>
      </x:c>
      <x:c r="N298" s="83" t="n">
        <x:v>81</x:v>
      </x:c>
      <x:c r="O298" s="85" t="n">
        <x:v>46274</x:v>
      </x:c>
      <x:c r="P298" s="89" t="str">
        <x:f aca="0">A298&amp;TEXT(COUNTIF($A$6:A298,A298),"00")</x:f>
        <x:v>P04905</x:v>
      </x:c>
      <x:c r="Q298" s="89" t="str">
        <x:f aca="0">IF(I298&lt;100,A298&amp;"O"&amp;COUNTIFS($A$6:A298,A298,$I$6:I298,"&lt;100"),"")</x:f>
        <x:v>P049O5</x:v>
      </x:c>
      <x:c r="R298" s="89" t="str">
        <x:f aca="0">IF(I298&lt;100,D298&amp;"O"&amp;COUNTIFS($D$6:D298,D298,$I$6:I298,"&lt;100"),"")</x:f>
        <x:v>RituO24</x:v>
      </x:c>
      <x:c r="S298" s="278" t="n">
        <x:f>IF(COUNTIF($B$6:$B$605,B298)&gt;1,1,0)</x:f>
        <x:v>0</x:v>
      </x:c>
    </x:row>
    <x:row r="299" ht="15" hidden="0">
      <x:c r="A299" s="83" t="s">
        <x:v>202</x:v>
      </x:c>
      <x:c r="B299" s="83" t="s">
        <x:v>841</x:v>
      </x:c>
      <x:c r="C299" s="83" t="s">
        <x:v>454</x:v>
      </x:c>
      <x:c r="D299" s="83" t="s">
        <x:v>446</x:v>
      </x:c>
      <x:c r="E299" s="83" t="s">
        <x:v>455</x:v>
      </x:c>
      <x:c r="F299" s="83" t="s">
        <x:v>546</x:v>
      </x:c>
      <x:c r="G299" s="85" t="n">
        <x:v>46322</x:v>
      </x:c>
      <x:c r="H299" s="85" t="n">
        <x:v>46331</x:v>
      </x:c>
      <x:c r="I299" s="87" t="n">
        <x:v>49</x:v>
      </x:c>
      <x:c r="J299" s="83" t="s">
        <x:v>543</x:v>
      </x:c>
      <x:c r="K299" s="83" t="s">
        <x:v>396</x:v>
      </x:c>
      <x:c r="L299" s="83" t="s">
        <x:v>395</x:v>
      </x:c>
      <x:c r="M299" s="83" t="n">
        <x:v>27</x:v>
      </x:c>
      <x:c r="N299" s="83" t="n">
        <x:v>39</x:v>
      </x:c>
      <x:c r="O299" s="85" t="n">
        <x:v>46274</x:v>
      </x:c>
      <x:c r="P299" s="89" t="str">
        <x:f aca="0">A299&amp;TEXT(COUNTIF($A$6:A299,A299),"00")</x:f>
        <x:v>P04906</x:v>
      </x:c>
      <x:c r="Q299" s="89" t="str">
        <x:f aca="0">IF(I299&lt;100,A299&amp;"O"&amp;COUNTIFS($A$6:A299,A299,$I$6:I299,"&lt;100"),"")</x:f>
        <x:v>P049O6</x:v>
      </x:c>
      <x:c r="R299" s="89" t="str">
        <x:f aca="0">IF(I299&lt;100,D299&amp;"O"&amp;COUNTIFS($D$6:D299,D299,$I$6:I299,"&lt;100"),"")</x:f>
        <x:v>SanjayO25</x:v>
      </x:c>
      <x:c r="S299" s="278" t="n">
        <x:f>IF(COUNTIF($B$6:$B$605,B299)&gt;1,1,0)</x:f>
        <x:v>0</x:v>
      </x:c>
    </x:row>
    <x:row r="300" ht="15" hidden="0">
      <x:c r="A300" s="83" t="s">
        <x:v>181</x:v>
      </x:c>
      <x:c r="B300" s="83" t="s">
        <x:v>842</x:v>
      </x:c>
      <x:c r="C300" s="83" t="s">
        <x:v>433</x:v>
      </x:c>
      <x:c r="D300" s="83" t="s">
        <x:v>441</x:v>
      </x:c>
      <x:c r="E300" s="83" t="s">
        <x:v>442</x:v>
      </x:c>
      <x:c r="F300" s="83" t="s">
        <x:v>557</x:v>
      </x:c>
      <x:c r="G300" s="85" t="n">
        <x:v>46253</x:v>
      </x:c>
      <x:c r="H300" s="85" t="n">
        <x:v>46271</x:v>
      </x:c>
      <x:c r="I300" s="87" t="n">
        <x:v>61</x:v>
      </x:c>
      <x:c r="J300" s="83" t="s">
        <x:v>543</x:v>
      </x:c>
      <x:c r="K300" s="83"/>
      <x:c r="L300" s="83" t="s">
        <x:v>395</x:v>
      </x:c>
      <x:c r="M300" s="83" t="n">
        <x:v>31</x:v>
      </x:c>
      <x:c r="N300" s="83" t="n">
        <x:v>88</x:v>
      </x:c>
      <x:c r="O300" s="85" t="n">
        <x:v>46274</x:v>
      </x:c>
      <x:c r="P300" s="89" t="str">
        <x:f aca="0">A300&amp;TEXT(COUNTIF($A$6:A300,A300),"00")</x:f>
        <x:v>P05001</x:v>
      </x:c>
      <x:c r="Q300" s="89" t="str">
        <x:f aca="0">IF(I300&lt;100,A300&amp;"O"&amp;COUNTIFS($A$6:A300,A300,$I$6:I300,"&lt;100"),"")</x:f>
        <x:v>P050O1</x:v>
      </x:c>
      <x:c r="R300" s="89" t="str">
        <x:f aca="0">IF(I300&lt;100,D300&amp;"O"&amp;COUNTIFS($D$6:D300,D300,$I$6:I300,"&lt;100"),"")</x:f>
        <x:v>KaranO26</x:v>
      </x:c>
      <x:c r="S300" s="278" t="n">
        <x:f>IF(COUNTIF($B$6:$B$605,B300)&gt;1,1,0)</x:f>
        <x:v>0</x:v>
      </x:c>
    </x:row>
    <x:row r="301" ht="15" hidden="0">
      <x:c r="A301" s="83" t="s">
        <x:v>181</x:v>
      </x:c>
      <x:c r="B301" s="83" t="s">
        <x:v>843</x:v>
      </x:c>
      <x:c r="C301" s="83" t="s">
        <x:v>440</x:v>
      </x:c>
      <x:c r="D301" s="83" t="s">
        <x:v>445</x:v>
      </x:c>
      <x:c r="E301" s="83" t="s">
        <x:v>446</x:v>
      </x:c>
      <x:c r="F301" s="83" t="s">
        <x:v>546</x:v>
      </x:c>
      <x:c r="G301" s="85" t="n">
        <x:v>46267</x:v>
      </x:c>
      <x:c r="H301" s="85" t="n">
        <x:v>46287</x:v>
      </x:c>
      <x:c r="I301" s="87" t="n">
        <x:v>36</x:v>
      </x:c>
      <x:c r="J301" s="83" t="s">
        <x:v>543</x:v>
      </x:c>
      <x:c r="K301" s="83"/>
      <x:c r="L301" s="83" t="s">
        <x:v>395</x:v>
      </x:c>
      <x:c r="M301" s="83" t="n">
        <x:v>91</x:v>
      </x:c>
      <x:c r="N301" s="83" t="n">
        <x:v>90</x:v>
      </x:c>
      <x:c r="O301" s="85" t="n">
        <x:v>46274</x:v>
      </x:c>
      <x:c r="P301" s="89" t="str">
        <x:f aca="0">A301&amp;TEXT(COUNTIF($A$6:A301,A301),"00")</x:f>
        <x:v>P05002</x:v>
      </x:c>
      <x:c r="Q301" s="89" t="str">
        <x:f aca="0">IF(I301&lt;100,A301&amp;"O"&amp;COUNTIFS($A$6:A301,A301,$I$6:I301,"&lt;100"),"")</x:f>
        <x:v>P050O2</x:v>
      </x:c>
      <x:c r="R301" s="89" t="str">
        <x:f aca="0">IF(I301&lt;100,D301&amp;"O"&amp;COUNTIFS($D$6:D301,D301,$I$6:I301,"&lt;100"),"")</x:f>
        <x:v>MeeraO26</x:v>
      </x:c>
      <x:c r="S301" s="278" t="n">
        <x:f>IF(COUNTIF($B$6:$B$605,B301)&gt;1,1,0)</x:f>
        <x:v>0</x:v>
      </x:c>
    </x:row>
    <x:row r="302" ht="15" hidden="0">
      <x:c r="A302" s="83" t="s">
        <x:v>181</x:v>
      </x:c>
      <x:c r="B302" s="83" t="s">
        <x:v>844</x:v>
      </x:c>
      <x:c r="C302" s="83" t="s">
        <x:v>444</x:v>
      </x:c>
      <x:c r="D302" s="83" t="s">
        <x:v>435</x:v>
      </x:c>
      <x:c r="E302" s="83" t="s">
        <x:v>449</x:v>
      </x:c>
      <x:c r="F302" s="83" t="s">
        <x:v>550</x:v>
      </x:c>
      <x:c r="G302" s="85" t="n">
        <x:v>46281</x:v>
      </x:c>
      <x:c r="H302" s="85" t="n">
        <x:v>46298</x:v>
      </x:c>
      <x:c r="I302" s="87" t="n">
        <x:v>51</x:v>
      </x:c>
      <x:c r="J302" s="83" t="s">
        <x:v>543</x:v>
      </x:c>
      <x:c r="K302" s="83"/>
      <x:c r="L302" s="83" t="s">
        <x:v>395</x:v>
      </x:c>
      <x:c r="M302" s="83" t="n">
        <x:v>56</x:v>
      </x:c>
      <x:c r="N302" s="83" t="n">
        <x:v>72</x:v>
      </x:c>
      <x:c r="O302" s="85" t="n">
        <x:v>46274</x:v>
      </x:c>
      <x:c r="P302" s="89" t="str">
        <x:f aca="0">A302&amp;TEXT(COUNTIF($A$6:A302,A302),"00")</x:f>
        <x:v>P05003</x:v>
      </x:c>
      <x:c r="Q302" s="89" t="str">
        <x:f aca="0">IF(I302&lt;100,A302&amp;"O"&amp;COUNTIFS($A$6:A302,A302,$I$6:I302,"&lt;100"),"")</x:f>
        <x:v>P050O3</x:v>
      </x:c>
      <x:c r="R302" s="89" t="str">
        <x:f aca="0">IF(I302&lt;100,D302&amp;"O"&amp;COUNTIFS($D$6:D302,D302,$I$6:I302,"&lt;100"),"")</x:f>
        <x:v>VivekO26</x:v>
      </x:c>
      <x:c r="S302" s="278" t="n">
        <x:f>IF(COUNTIF($B$6:$B$605,B302)&gt;1,1,0)</x:f>
        <x:v>0</x:v>
      </x:c>
    </x:row>
    <x:row r="303" ht="15" hidden="0">
      <x:c r="A303" s="83" t="s">
        <x:v>181</x:v>
      </x:c>
      <x:c r="B303" s="83" t="s">
        <x:v>845</x:v>
      </x:c>
      <x:c r="C303" s="83" t="s">
        <x:v>448</x:v>
      </x:c>
      <x:c r="D303" s="83" t="s">
        <x:v>442</x:v>
      </x:c>
      <x:c r="E303" s="83" t="s">
        <x:v>452</x:v>
      </x:c>
      <x:c r="F303" s="83" t="s">
        <x:v>557</x:v>
      </x:c>
      <x:c r="G303" s="85" t="n">
        <x:v>46295</x:v>
      </x:c>
      <x:c r="H303" s="85" t="n">
        <x:v>46313</x:v>
      </x:c>
      <x:c r="I303" s="87" t="n">
        <x:v>64</x:v>
      </x:c>
      <x:c r="J303" s="83" t="s">
        <x:v>543</x:v>
      </x:c>
      <x:c r="K303" s="83" t="s">
        <x:v>396</x:v>
      </x:c>
      <x:c r="L303" s="83" t="s">
        <x:v>395</x:v>
      </x:c>
      <x:c r="M303" s="83" t="n">
        <x:v>44</x:v>
      </x:c>
      <x:c r="N303" s="83" t="n">
        <x:v>100</x:v>
      </x:c>
      <x:c r="O303" s="85" t="n">
        <x:v>46274</x:v>
      </x:c>
      <x:c r="P303" s="89" t="str">
        <x:f aca="0">A303&amp;TEXT(COUNTIF($A$6:A303,A303),"00")</x:f>
        <x:v>P05004</x:v>
      </x:c>
      <x:c r="Q303" s="89" t="str">
        <x:f aca="0">IF(I303&lt;100,A303&amp;"O"&amp;COUNTIFS($A$6:A303,A303,$I$6:I303,"&lt;100"),"")</x:f>
        <x:v>P050O4</x:v>
      </x:c>
      <x:c r="R303" s="89" t="str">
        <x:f aca="0">IF(I303&lt;100,D303&amp;"O"&amp;COUNTIFS($D$6:D303,D303,$I$6:I303,"&lt;100"),"")</x:f>
        <x:v>RituO25</x:v>
      </x:c>
      <x:c r="S303" s="278" t="n">
        <x:f>IF(COUNTIF($B$6:$B$605,B303)&gt;1,1,0)</x:f>
        <x:v>0</x:v>
      </x:c>
    </x:row>
    <x:row r="304" ht="15" hidden="0">
      <x:c r="A304" s="83" t="s">
        <x:v>181</x:v>
      </x:c>
      <x:c r="B304" s="83" t="s">
        <x:v>846</x:v>
      </x:c>
      <x:c r="C304" s="83" t="s">
        <x:v>451</x:v>
      </x:c>
      <x:c r="D304" s="83" t="s">
        <x:v>446</x:v>
      </x:c>
      <x:c r="E304" s="83" t="s">
        <x:v>455</x:v>
      </x:c>
      <x:c r="F304" s="83" t="s">
        <x:v>493</x:v>
      </x:c>
      <x:c r="G304" s="85" t="n">
        <x:v>46309</x:v>
      </x:c>
      <x:c r="H304" s="85" t="n">
        <x:v>46327</x:v>
      </x:c>
      <x:c r="I304" s="87" t="n">
        <x:v>60</x:v>
      </x:c>
      <x:c r="J304" s="83" t="s">
        <x:v>543</x:v>
      </x:c>
      <x:c r="K304" s="83"/>
      <x:c r="L304" s="83" t="s">
        <x:v>395</x:v>
      </x:c>
      <x:c r="M304" s="83" t="n">
        <x:v>27</x:v>
      </x:c>
      <x:c r="N304" s="83" t="n">
        <x:v>95</x:v>
      </x:c>
      <x:c r="O304" s="85" t="n">
        <x:v>46274</x:v>
      </x:c>
      <x:c r="P304" s="89" t="str">
        <x:f aca="0">A304&amp;TEXT(COUNTIF($A$6:A304,A304),"00")</x:f>
        <x:v>P05005</x:v>
      </x:c>
      <x:c r="Q304" s="89" t="str">
        <x:f aca="0">IF(I304&lt;100,A304&amp;"O"&amp;COUNTIFS($A$6:A304,A304,$I$6:I304,"&lt;100"),"")</x:f>
        <x:v>P050O5</x:v>
      </x:c>
      <x:c r="R304" s="89" t="str">
        <x:f aca="0">IF(I304&lt;100,D304&amp;"O"&amp;COUNTIFS($D$6:D304,D304,$I$6:I304,"&lt;100"),"")</x:f>
        <x:v>SanjayO26</x:v>
      </x:c>
      <x:c r="S304" s="278" t="n">
        <x:f>IF(COUNTIF($B$6:$B$605,B304)&gt;1,1,0)</x:f>
        <x:v>0</x:v>
      </x:c>
    </x:row>
    <x:row r="305" ht="15" hidden="0">
      <x:c r="A305" s="83" t="s">
        <x:v>181</x:v>
      </x:c>
      <x:c r="B305" s="83" t="s">
        <x:v>847</x:v>
      </x:c>
      <x:c r="C305" s="83" t="s">
        <x:v>454</x:v>
      </x:c>
      <x:c r="D305" s="83" t="s">
        <x:v>449</x:v>
      </x:c>
      <x:c r="E305" s="83" t="s">
        <x:v>462</x:v>
      </x:c>
      <x:c r="F305" s="83" t="s">
        <x:v>493</x:v>
      </x:c>
      <x:c r="G305" s="85" t="n">
        <x:v>46323</x:v>
      </x:c>
      <x:c r="H305" s="85" t="n">
        <x:v>46339</x:v>
      </x:c>
      <x:c r="I305" s="87" t="n">
        <x:v>42</x:v>
      </x:c>
      <x:c r="J305" s="83" t="s">
        <x:v>543</x:v>
      </x:c>
      <x:c r="K305" s="83" t="s">
        <x:v>396</x:v>
      </x:c>
      <x:c r="L305" s="83" t="s">
        <x:v>395</x:v>
      </x:c>
      <x:c r="M305" s="83" t="n">
        <x:v>44</x:v>
      </x:c>
      <x:c r="N305" s="83" t="n">
        <x:v>76</x:v>
      </x:c>
      <x:c r="O305" s="85" t="n">
        <x:v>46274</x:v>
      </x:c>
      <x:c r="P305" s="89" t="str">
        <x:f aca="0">A305&amp;TEXT(COUNTIF($A$6:A305,A305),"00")</x:f>
        <x:v>P05006</x:v>
      </x:c>
      <x:c r="Q305" s="89" t="str">
        <x:f aca="0">IF(I305&lt;100,A305&amp;"O"&amp;COUNTIFS($A$6:A305,A305,$I$6:I305,"&lt;100"),"")</x:f>
        <x:v>P050O6</x:v>
      </x:c>
      <x:c r="R305" s="89" t="str">
        <x:f aca="0">IF(I305&lt;100,D305&amp;"O"&amp;COUNTIFS($D$6:D305,D305,$I$6:I305,"&lt;100"),"")</x:f>
        <x:v>AnilO24</x:v>
      </x:c>
      <x:c r="S305" s="278" t="n">
        <x:f>IF(COUNTIF($B$6:$B$605,B305)&gt;1,1,0)</x:f>
        <x:v>0</x:v>
      </x:c>
    </x:row>
    <x:row r="306" ht="15" hidden="0">
      <x:c r="A306" s="83" t="s">
        <x:v>228</x:v>
      </x:c>
      <x:c r="B306" s="83" t="s">
        <x:v>848</x:v>
      </x:c>
      <x:c r="C306" s="83" t="s">
        <x:v>433</x:v>
      </x:c>
      <x:c r="D306" s="83" t="s">
        <x:v>445</x:v>
      </x:c>
      <x:c r="E306" s="83" t="s">
        <x:v>446</x:v>
      </x:c>
      <x:c r="F306" s="83" t="s">
        <x:v>546</x:v>
      </x:c>
      <x:c r="G306" s="85" t="n">
        <x:v>46254</x:v>
      </x:c>
      <x:c r="H306" s="85" t="n">
        <x:v>46276</x:v>
      </x:c>
      <x:c r="I306" s="87" t="n">
        <x:v>10</x:v>
      </x:c>
      <x:c r="J306" s="83" t="s">
        <x:v>543</x:v>
      </x:c>
      <x:c r="K306" s="83" t="s">
        <x:v>396</x:v>
      </x:c>
      <x:c r="L306" s="83" t="s">
        <x:v>395</x:v>
      </x:c>
      <x:c r="M306" s="83" t="n">
        <x:v>35</x:v>
      </x:c>
      <x:c r="N306" s="83" t="n">
        <x:v>88</x:v>
      </x:c>
      <x:c r="O306" s="85" t="n">
        <x:v>46274</x:v>
      </x:c>
      <x:c r="P306" s="89" t="str">
        <x:f aca="0">A306&amp;TEXT(COUNTIF($A$6:A306,A306),"00")</x:f>
        <x:v>P05101</x:v>
      </x:c>
      <x:c r="Q306" s="89" t="str">
        <x:f aca="0">IF(I306&lt;100,A306&amp;"O"&amp;COUNTIFS($A$6:A306,A306,$I$6:I306,"&lt;100"),"")</x:f>
        <x:v>P051O1</x:v>
      </x:c>
      <x:c r="R306" s="89" t="str">
        <x:f aca="0">IF(I306&lt;100,D306&amp;"O"&amp;COUNTIFS($D$6:D306,D306,$I$6:I306,"&lt;100"),"")</x:f>
        <x:v>MeeraO27</x:v>
      </x:c>
      <x:c r="S306" s="278" t="n">
        <x:f>IF(COUNTIF($B$6:$B$605,B306)&gt;1,1,0)</x:f>
        <x:v>0</x:v>
      </x:c>
    </x:row>
    <x:row r="307" ht="15" hidden="0">
      <x:c r="A307" s="83" t="s">
        <x:v>228</x:v>
      </x:c>
      <x:c r="B307" s="83" t="s">
        <x:v>849</x:v>
      </x:c>
      <x:c r="C307" s="83" t="s">
        <x:v>440</x:v>
      </x:c>
      <x:c r="D307" s="83" t="s">
        <x:v>435</x:v>
      </x:c>
      <x:c r="E307" s="83" t="s">
        <x:v>449</x:v>
      </x:c>
      <x:c r="F307" s="83" t="s">
        <x:v>493</x:v>
      </x:c>
      <x:c r="G307" s="85" t="n">
        <x:v>46268</x:v>
      </x:c>
      <x:c r="H307" s="85" t="n">
        <x:v>46281</x:v>
      </x:c>
      <x:c r="I307" s="87" t="n">
        <x:v>17</x:v>
      </x:c>
      <x:c r="J307" s="83" t="s">
        <x:v>543</x:v>
      </x:c>
      <x:c r="K307" s="83"/>
      <x:c r="L307" s="83" t="s">
        <x:v>395</x:v>
      </x:c>
      <x:c r="M307" s="83" t="n">
        <x:v>63</x:v>
      </x:c>
      <x:c r="N307" s="83" t="n">
        <x:v>99</x:v>
      </x:c>
      <x:c r="O307" s="85" t="n">
        <x:v>46274</x:v>
      </x:c>
      <x:c r="P307" s="89" t="str">
        <x:f aca="0">A307&amp;TEXT(COUNTIF($A$6:A307,A307),"00")</x:f>
        <x:v>P05102</x:v>
      </x:c>
      <x:c r="Q307" s="89" t="str">
        <x:f aca="0">IF(I307&lt;100,A307&amp;"O"&amp;COUNTIFS($A$6:A307,A307,$I$6:I307,"&lt;100"),"")</x:f>
        <x:v>P051O2</x:v>
      </x:c>
      <x:c r="R307" s="89" t="str">
        <x:f aca="0">IF(I307&lt;100,D307&amp;"O"&amp;COUNTIFS($D$6:D307,D307,$I$6:I307,"&lt;100"),"")</x:f>
        <x:v>VivekO27</x:v>
      </x:c>
      <x:c r="S307" s="278" t="n">
        <x:f>IF(COUNTIF($B$6:$B$605,B307)&gt;1,1,0)</x:f>
        <x:v>0</x:v>
      </x:c>
    </x:row>
    <x:row r="308" ht="15" hidden="0">
      <x:c r="A308" s="83" t="s">
        <x:v>228</x:v>
      </x:c>
      <x:c r="B308" s="83" t="s">
        <x:v>850</x:v>
      </x:c>
      <x:c r="C308" s="83" t="s">
        <x:v>444</x:v>
      </x:c>
      <x:c r="D308" s="83" t="s">
        <x:v>442</x:v>
      </x:c>
      <x:c r="E308" s="83" t="s">
        <x:v>452</x:v>
      </x:c>
      <x:c r="F308" s="83" t="s">
        <x:v>546</x:v>
      </x:c>
      <x:c r="G308" s="85" t="n">
        <x:v>46282</x:v>
      </x:c>
      <x:c r="H308" s="85" t="n">
        <x:v>46305</x:v>
      </x:c>
      <x:c r="I308" s="87" t="n">
        <x:v>12</x:v>
      </x:c>
      <x:c r="J308" s="83" t="s">
        <x:v>543</x:v>
      </x:c>
      <x:c r="K308" s="83"/>
      <x:c r="L308" s="83" t="s">
        <x:v>395</x:v>
      </x:c>
      <x:c r="M308" s="83" t="n">
        <x:v>33</x:v>
      </x:c>
      <x:c r="N308" s="83" t="n">
        <x:v>92</x:v>
      </x:c>
      <x:c r="O308" s="85" t="n">
        <x:v>46274</x:v>
      </x:c>
      <x:c r="P308" s="89" t="str">
        <x:f aca="0">A308&amp;TEXT(COUNTIF($A$6:A308,A308),"00")</x:f>
        <x:v>P05103</x:v>
      </x:c>
      <x:c r="Q308" s="89" t="str">
        <x:f aca="0">IF(I308&lt;100,A308&amp;"O"&amp;COUNTIFS($A$6:A308,A308,$I$6:I308,"&lt;100"),"")</x:f>
        <x:v>P051O3</x:v>
      </x:c>
      <x:c r="R308" s="89" t="str">
        <x:f aca="0">IF(I308&lt;100,D308&amp;"O"&amp;COUNTIFS($D$6:D308,D308,$I$6:I308,"&lt;100"),"")</x:f>
        <x:v>RituO26</x:v>
      </x:c>
      <x:c r="S308" s="278" t="n">
        <x:f>IF(COUNTIF($B$6:$B$605,B308)&gt;1,1,0)</x:f>
        <x:v>0</x:v>
      </x:c>
    </x:row>
    <x:row r="309" ht="15" hidden="0">
      <x:c r="A309" s="83" t="s">
        <x:v>228</x:v>
      </x:c>
      <x:c r="B309" s="83" t="s">
        <x:v>851</x:v>
      </x:c>
      <x:c r="C309" s="83" t="s">
        <x:v>448</x:v>
      </x:c>
      <x:c r="D309" s="83" t="s">
        <x:v>446</x:v>
      </x:c>
      <x:c r="E309" s="83" t="s">
        <x:v>455</x:v>
      </x:c>
      <x:c r="F309" s="83" t="s">
        <x:v>493</x:v>
      </x:c>
      <x:c r="G309" s="85" t="n">
        <x:v>46296</x:v>
      </x:c>
      <x:c r="H309" s="85" t="n">
        <x:v>46308</x:v>
      </x:c>
      <x:c r="I309" s="87" t="n">
        <x:v>42</x:v>
      </x:c>
      <x:c r="J309" s="83" t="s">
        <x:v>543</x:v>
      </x:c>
      <x:c r="K309" s="83"/>
      <x:c r="L309" s="83" t="s">
        <x:v>395</x:v>
      </x:c>
      <x:c r="M309" s="83" t="n">
        <x:v>98</x:v>
      </x:c>
      <x:c r="N309" s="83" t="n">
        <x:v>104</x:v>
      </x:c>
      <x:c r="O309" s="85" t="n">
        <x:v>46274</x:v>
      </x:c>
      <x:c r="P309" s="89" t="str">
        <x:f aca="0">A309&amp;TEXT(COUNTIF($A$6:A309,A309),"00")</x:f>
        <x:v>P05104</x:v>
      </x:c>
      <x:c r="Q309" s="89" t="str">
        <x:f aca="0">IF(I309&lt;100,A309&amp;"O"&amp;COUNTIFS($A$6:A309,A309,$I$6:I309,"&lt;100"),"")</x:f>
        <x:v>P051O4</x:v>
      </x:c>
      <x:c r="R309" s="89" t="str">
        <x:f aca="0">IF(I309&lt;100,D309&amp;"O"&amp;COUNTIFS($D$6:D309,D309,$I$6:I309,"&lt;100"),"")</x:f>
        <x:v>SanjayO27</x:v>
      </x:c>
      <x:c r="S309" s="278" t="n">
        <x:f>IF(COUNTIF($B$6:$B$605,B309)&gt;1,1,0)</x:f>
        <x:v>0</x:v>
      </x:c>
    </x:row>
    <x:row r="310" ht="15" hidden="0">
      <x:c r="A310" s="83" t="s">
        <x:v>228</x:v>
      </x:c>
      <x:c r="B310" s="83" t="s">
        <x:v>852</x:v>
      </x:c>
      <x:c r="C310" s="83" t="s">
        <x:v>451</x:v>
      </x:c>
      <x:c r="D310" s="83" t="s">
        <x:v>449</x:v>
      </x:c>
      <x:c r="E310" s="83" t="s">
        <x:v>462</x:v>
      </x:c>
      <x:c r="F310" s="83" t="s">
        <x:v>493</x:v>
      </x:c>
      <x:c r="G310" s="85" t="n">
        <x:v>46310</x:v>
      </x:c>
      <x:c r="H310" s="85" t="n">
        <x:v>46320</x:v>
      </x:c>
      <x:c r="I310" s="87" t="n">
        <x:v>23</x:v>
      </x:c>
      <x:c r="J310" s="83" t="s">
        <x:v>543</x:v>
      </x:c>
      <x:c r="K310" s="83"/>
      <x:c r="L310" s="83" t="s">
        <x:v>395</x:v>
      </x:c>
      <x:c r="M310" s="83" t="n">
        <x:v>35</x:v>
      </x:c>
      <x:c r="N310" s="83" t="n">
        <x:v>24</x:v>
      </x:c>
      <x:c r="O310" s="85" t="n">
        <x:v>46274</x:v>
      </x:c>
      <x:c r="P310" s="89" t="str">
        <x:f aca="0">A310&amp;TEXT(COUNTIF($A$6:A310,A310),"00")</x:f>
        <x:v>P05105</x:v>
      </x:c>
      <x:c r="Q310" s="89" t="str">
        <x:f aca="0">IF(I310&lt;100,A310&amp;"O"&amp;COUNTIFS($A$6:A310,A310,$I$6:I310,"&lt;100"),"")</x:f>
        <x:v>P051O5</x:v>
      </x:c>
      <x:c r="R310" s="89" t="str">
        <x:f aca="0">IF(I310&lt;100,D310&amp;"O"&amp;COUNTIFS($D$6:D310,D310,$I$6:I310,"&lt;100"),"")</x:f>
        <x:v>AnilO25</x:v>
      </x:c>
      <x:c r="S310" s="278" t="n">
        <x:f>IF(COUNTIF($B$6:$B$605,B310)&gt;1,1,0)</x:f>
        <x:v>0</x:v>
      </x:c>
    </x:row>
    <x:row r="311" ht="15" hidden="0">
      <x:c r="A311" s="83" t="s">
        <x:v>228</x:v>
      </x:c>
      <x:c r="B311" s="83" t="s">
        <x:v>853</x:v>
      </x:c>
      <x:c r="C311" s="83" t="s">
        <x:v>454</x:v>
      </x:c>
      <x:c r="D311" s="83" t="s">
        <x:v>452</x:v>
      </x:c>
      <x:c r="E311" s="83" t="s">
        <x:v>360</x:v>
      </x:c>
      <x:c r="F311" s="83" t="s">
        <x:v>557</x:v>
      </x:c>
      <x:c r="G311" s="85" t="n">
        <x:v>46324</x:v>
      </x:c>
      <x:c r="H311" s="85" t="n">
        <x:v>46344</x:v>
      </x:c>
      <x:c r="I311" s="87" t="n">
        <x:v>43</x:v>
      </x:c>
      <x:c r="J311" s="83" t="s">
        <x:v>543</x:v>
      </x:c>
      <x:c r="K311" s="83"/>
      <x:c r="L311" s="83" t="s">
        <x:v>395</x:v>
      </x:c>
      <x:c r="M311" s="83" t="n">
        <x:v>77</x:v>
      </x:c>
      <x:c r="N311" s="83" t="n">
        <x:v>19</x:v>
      </x:c>
      <x:c r="O311" s="85" t="n">
        <x:v>46274</x:v>
      </x:c>
      <x:c r="P311" s="89" t="str">
        <x:f aca="0">A311&amp;TEXT(COUNTIF($A$6:A311,A311),"00")</x:f>
        <x:v>P05106</x:v>
      </x:c>
      <x:c r="Q311" s="89" t="str">
        <x:f aca="0">IF(I311&lt;100,A311&amp;"O"&amp;COUNTIFS($A$6:A311,A311,$I$6:I311,"&lt;100"),"")</x:f>
        <x:v>P051O6</x:v>
      </x:c>
      <x:c r="R311" s="89" t="str">
        <x:f aca="0">IF(I311&lt;100,D311&amp;"O"&amp;COUNTIFS($D$6:D311,D311,$I$6:I311,"&lt;100"),"")</x:f>
        <x:v>KavyaO25</x:v>
      </x:c>
      <x:c r="S311" s="278" t="n">
        <x:f>IF(COUNTIF($B$6:$B$605,B311)&gt;1,1,0)</x:f>
        <x:v>0</x:v>
      </x:c>
    </x:row>
    <x:row r="312" ht="15" hidden="0">
      <x:c r="A312" s="83" t="s">
        <x:v>242</x:v>
      </x:c>
      <x:c r="B312" s="83" t="s">
        <x:v>854</x:v>
      </x:c>
      <x:c r="C312" s="83" t="s">
        <x:v>433</x:v>
      </x:c>
      <x:c r="D312" s="83" t="s">
        <x:v>435</x:v>
      </x:c>
      <x:c r="E312" s="83" t="s">
        <x:v>449</x:v>
      </x:c>
      <x:c r="F312" s="83" t="s">
        <x:v>546</x:v>
      </x:c>
      <x:c r="G312" s="85" t="n">
        <x:v>46255</x:v>
      </x:c>
      <x:c r="H312" s="85" t="n">
        <x:v>46276</x:v>
      </x:c>
      <x:c r="I312" s="87" t="n">
        <x:v>85</x:v>
      </x:c>
      <x:c r="J312" s="83" t="s">
        <x:v>543</x:v>
      </x:c>
      <x:c r="K312" s="83"/>
      <x:c r="L312" s="83" t="s">
        <x:v>395</x:v>
      </x:c>
      <x:c r="M312" s="83" t="n">
        <x:v>63</x:v>
      </x:c>
      <x:c r="N312" s="83" t="n">
        <x:v>100</x:v>
      </x:c>
      <x:c r="O312" s="85" t="n">
        <x:v>46274</x:v>
      </x:c>
      <x:c r="P312" s="89" t="str">
        <x:f aca="0">A312&amp;TEXT(COUNTIF($A$6:A312,A312),"00")</x:f>
        <x:v>P05201</x:v>
      </x:c>
      <x:c r="Q312" s="89" t="str">
        <x:f aca="0">IF(I312&lt;100,A312&amp;"O"&amp;COUNTIFS($A$6:A312,A312,$I$6:I312,"&lt;100"),"")</x:f>
        <x:v>P052O1</x:v>
      </x:c>
      <x:c r="R312" s="89" t="str">
        <x:f aca="0">IF(I312&lt;100,D312&amp;"O"&amp;COUNTIFS($D$6:D312,D312,$I$6:I312,"&lt;100"),"")</x:f>
        <x:v>VivekO28</x:v>
      </x:c>
      <x:c r="S312" s="278" t="n">
        <x:f>IF(COUNTIF($B$6:$B$605,B312)&gt;1,1,0)</x:f>
        <x:v>0</x:v>
      </x:c>
    </x:row>
    <x:row r="313" ht="15" hidden="0">
      <x:c r="A313" s="83" t="s">
        <x:v>242</x:v>
      </x:c>
      <x:c r="B313" s="83" t="s">
        <x:v>855</x:v>
      </x:c>
      <x:c r="C313" s="83" t="s">
        <x:v>440</x:v>
      </x:c>
      <x:c r="D313" s="83" t="s">
        <x:v>442</x:v>
      </x:c>
      <x:c r="E313" s="83" t="s">
        <x:v>452</x:v>
      </x:c>
      <x:c r="F313" s="83" t="s">
        <x:v>493</x:v>
      </x:c>
      <x:c r="G313" s="85" t="n">
        <x:v>46269</x:v>
      </x:c>
      <x:c r="H313" s="85" t="n">
        <x:v>46278</x:v>
      </x:c>
      <x:c r="I313" s="87" t="n">
        <x:v>99</x:v>
      </x:c>
      <x:c r="J313" s="83" t="s">
        <x:v>543</x:v>
      </x:c>
      <x:c r="K313" s="83" t="s">
        <x:v>396</x:v>
      </x:c>
      <x:c r="L313" s="83" t="s">
        <x:v>395</x:v>
      </x:c>
      <x:c r="M313" s="83" t="n">
        <x:v>64</x:v>
      </x:c>
      <x:c r="N313" s="83" t="n">
        <x:v>69</x:v>
      </x:c>
      <x:c r="O313" s="85" t="n">
        <x:v>46274</x:v>
      </x:c>
      <x:c r="P313" s="89" t="str">
        <x:f aca="0">A313&amp;TEXT(COUNTIF($A$6:A313,A313),"00")</x:f>
        <x:v>P05202</x:v>
      </x:c>
      <x:c r="Q313" s="89" t="str">
        <x:f aca="0">IF(I313&lt;100,A313&amp;"O"&amp;COUNTIFS($A$6:A313,A313,$I$6:I313,"&lt;100"),"")</x:f>
        <x:v>P052O2</x:v>
      </x:c>
      <x:c r="R313" s="89" t="str">
        <x:f aca="0">IF(I313&lt;100,D313&amp;"O"&amp;COUNTIFS($D$6:D313,D313,$I$6:I313,"&lt;100"),"")</x:f>
        <x:v>RituO27</x:v>
      </x:c>
      <x:c r="S313" s="278" t="n">
        <x:f>IF(COUNTIF($B$6:$B$605,B313)&gt;1,1,0)</x:f>
        <x:v>0</x:v>
      </x:c>
    </x:row>
    <x:row r="314" ht="15" hidden="0">
      <x:c r="A314" s="83" t="s">
        <x:v>242</x:v>
      </x:c>
      <x:c r="B314" s="83" t="s">
        <x:v>856</x:v>
      </x:c>
      <x:c r="C314" s="83" t="s">
        <x:v>444</x:v>
      </x:c>
      <x:c r="D314" s="83" t="s">
        <x:v>446</x:v>
      </x:c>
      <x:c r="E314" s="83" t="s">
        <x:v>455</x:v>
      </x:c>
      <x:c r="F314" s="83" t="s">
        <x:v>546</x:v>
      </x:c>
      <x:c r="G314" s="85" t="n">
        <x:v>46283</x:v>
      </x:c>
      <x:c r="H314" s="85" t="n">
        <x:v>46298</x:v>
      </x:c>
      <x:c r="I314" s="87" t="n">
        <x:v>81</x:v>
      </x:c>
      <x:c r="J314" s="83" t="s">
        <x:v>543</x:v>
      </x:c>
      <x:c r="K314" s="83" t="s">
        <x:v>396</x:v>
      </x:c>
      <x:c r="L314" s="83" t="s">
        <x:v>395</x:v>
      </x:c>
      <x:c r="M314" s="83" t="n">
        <x:v>47</x:v>
      </x:c>
      <x:c r="N314" s="83" t="n">
        <x:v>91</x:v>
      </x:c>
      <x:c r="O314" s="85" t="n">
        <x:v>46274</x:v>
      </x:c>
      <x:c r="P314" s="89" t="str">
        <x:f aca="0">A314&amp;TEXT(COUNTIF($A$6:A314,A314),"00")</x:f>
        <x:v>P05203</x:v>
      </x:c>
      <x:c r="Q314" s="89" t="str">
        <x:f aca="0">IF(I314&lt;100,A314&amp;"O"&amp;COUNTIFS($A$6:A314,A314,$I$6:I314,"&lt;100"),"")</x:f>
        <x:v>P052O3</x:v>
      </x:c>
      <x:c r="R314" s="89" t="str">
        <x:f aca="0">IF(I314&lt;100,D314&amp;"O"&amp;COUNTIFS($D$6:D314,D314,$I$6:I314,"&lt;100"),"")</x:f>
        <x:v>SanjayO28</x:v>
      </x:c>
      <x:c r="S314" s="278" t="n">
        <x:f>IF(COUNTIF($B$6:$B$605,B314)&gt;1,1,0)</x:f>
        <x:v>0</x:v>
      </x:c>
    </x:row>
    <x:row r="315" ht="15" hidden="0">
      <x:c r="A315" s="83" t="s">
        <x:v>242</x:v>
      </x:c>
      <x:c r="B315" s="83" t="s">
        <x:v>857</x:v>
      </x:c>
      <x:c r="C315" s="83" t="s">
        <x:v>448</x:v>
      </x:c>
      <x:c r="D315" s="83" t="s">
        <x:v>449</x:v>
      </x:c>
      <x:c r="E315" s="83" t="s">
        <x:v>462</x:v>
      </x:c>
      <x:c r="F315" s="83" t="s">
        <x:v>550</x:v>
      </x:c>
      <x:c r="G315" s="85" t="n">
        <x:v>46297</x:v>
      </x:c>
      <x:c r="H315" s="85" t="n">
        <x:v>46307</x:v>
      </x:c>
      <x:c r="I315" s="87" t="n">
        <x:v>97</x:v>
      </x:c>
      <x:c r="J315" s="83" t="s">
        <x:v>543</x:v>
      </x:c>
      <x:c r="K315" s="83" t="s">
        <x:v>396</x:v>
      </x:c>
      <x:c r="L315" s="83" t="s">
        <x:v>395</x:v>
      </x:c>
      <x:c r="M315" s="83" t="n">
        <x:v>72</x:v>
      </x:c>
      <x:c r="N315" s="83" t="n">
        <x:v>45</x:v>
      </x:c>
      <x:c r="O315" s="85" t="n">
        <x:v>46274</x:v>
      </x:c>
      <x:c r="P315" s="89" t="str">
        <x:f aca="0">A315&amp;TEXT(COUNTIF($A$6:A315,A315),"00")</x:f>
        <x:v>P05204</x:v>
      </x:c>
      <x:c r="Q315" s="89" t="str">
        <x:f aca="0">IF(I315&lt;100,A315&amp;"O"&amp;COUNTIFS($A$6:A315,A315,$I$6:I315,"&lt;100"),"")</x:f>
        <x:v>P052O4</x:v>
      </x:c>
      <x:c r="R315" s="89" t="str">
        <x:f aca="0">IF(I315&lt;100,D315&amp;"O"&amp;COUNTIFS($D$6:D315,D315,$I$6:I315,"&lt;100"),"")</x:f>
        <x:v>AnilO26</x:v>
      </x:c>
      <x:c r="S315" s="278" t="n">
        <x:f>IF(COUNTIF($B$6:$B$605,B315)&gt;1,1,0)</x:f>
        <x:v>0</x:v>
      </x:c>
    </x:row>
    <x:row r="316" ht="15" hidden="0">
      <x:c r="A316" s="83" t="s">
        <x:v>242</x:v>
      </x:c>
      <x:c r="B316" s="83" t="s">
        <x:v>858</x:v>
      </x:c>
      <x:c r="C316" s="83" t="s">
        <x:v>451</x:v>
      </x:c>
      <x:c r="D316" s="83" t="s">
        <x:v>452</x:v>
      </x:c>
      <x:c r="E316" s="83" t="s">
        <x:v>360</x:v>
      </x:c>
      <x:c r="F316" s="83" t="s">
        <x:v>550</x:v>
      </x:c>
      <x:c r="G316" s="85" t="n">
        <x:v>46311</x:v>
      </x:c>
      <x:c r="H316" s="85" t="n">
        <x:v>46321</x:v>
      </x:c>
      <x:c r="I316" s="87" t="n">
        <x:v>100</x:v>
      </x:c>
      <x:c r="J316" s="83" t="s">
        <x:v>595</x:v>
      </x:c>
      <x:c r="K316" s="83" t="s">
        <x:v>396</x:v>
      </x:c>
      <x:c r="L316" s="83" t="s">
        <x:v>395</x:v>
      </x:c>
      <x:c r="M316" s="83" t="n">
        <x:v>96</x:v>
      </x:c>
      <x:c r="N316" s="83" t="n">
        <x:v>75</x:v>
      </x:c>
      <x:c r="O316" s="85" t="n">
        <x:v>46274</x:v>
      </x:c>
      <x:c r="P316" s="89" t="str">
        <x:f aca="0">A316&amp;TEXT(COUNTIF($A$6:A316,A316),"00")</x:f>
        <x:v>P05205</x:v>
      </x:c>
      <x:c r="Q316" s="89" t="str">
        <x:f aca="0">IF(I316&lt;100,A316&amp;"O"&amp;COUNTIFS($A$6:A316,A316,$I$6:I316,"&lt;100"),"")</x:f>
      </x:c>
      <x:c r="R316" s="89" t="str">
        <x:f aca="0">IF(I316&lt;100,D316&amp;"O"&amp;COUNTIFS($D$6:D316,D316,$I$6:I316,"&lt;100"),"")</x:f>
      </x:c>
      <x:c r="S316" s="278" t="n">
        <x:f>IF(COUNTIF($B$6:$B$605,B316)&gt;1,1,0)</x:f>
        <x:v>0</x:v>
      </x:c>
    </x:row>
    <x:row r="317" ht="15" hidden="0">
      <x:c r="A317" s="83" t="s">
        <x:v>242</x:v>
      </x:c>
      <x:c r="B317" s="83" t="s">
        <x:v>859</x:v>
      </x:c>
      <x:c r="C317" s="83" t="s">
        <x:v>454</x:v>
      </x:c>
      <x:c r="D317" s="83" t="s">
        <x:v>455</x:v>
      </x:c>
      <x:c r="E317" s="83" t="s">
        <x:v>475</x:v>
      </x:c>
      <x:c r="F317" s="83" t="s">
        <x:v>550</x:v>
      </x:c>
      <x:c r="G317" s="85" t="n">
        <x:v>46325</x:v>
      </x:c>
      <x:c r="H317" s="85" t="n">
        <x:v>46346</x:v>
      </x:c>
      <x:c r="I317" s="87" t="n">
        <x:v>81</x:v>
      </x:c>
      <x:c r="J317" s="83" t="s">
        <x:v>543</x:v>
      </x:c>
      <x:c r="K317" s="83" t="s">
        <x:v>396</x:v>
      </x:c>
      <x:c r="L317" s="83" t="s">
        <x:v>395</x:v>
      </x:c>
      <x:c r="M317" s="83" t="n">
        <x:v>23</x:v>
      </x:c>
      <x:c r="N317" s="83" t="n">
        <x:v>42</x:v>
      </x:c>
      <x:c r="O317" s="85" t="n">
        <x:v>46274</x:v>
      </x:c>
      <x:c r="P317" s="89" t="str">
        <x:f aca="0">A317&amp;TEXT(COUNTIF($A$6:A317,A317),"00")</x:f>
        <x:v>P05206</x:v>
      </x:c>
      <x:c r="Q317" s="89" t="str">
        <x:f aca="0">IF(I317&lt;100,A317&amp;"O"&amp;COUNTIFS($A$6:A317,A317,$I$6:I317,"&lt;100"),"")</x:f>
        <x:v>P052O5</x:v>
      </x:c>
      <x:c r="R317" s="89" t="str">
        <x:f aca="0">IF(I317&lt;100,D317&amp;"O"&amp;COUNTIFS($D$6:D317,D317,$I$6:I317,"&lt;100"),"")</x:f>
        <x:v>RohanO24</x:v>
      </x:c>
      <x:c r="S317" s="278" t="n">
        <x:f>IF(COUNTIF($B$6:$B$605,B317)&gt;1,1,0)</x:f>
        <x:v>0</x:v>
      </x:c>
    </x:row>
    <x:row r="318" ht="15" hidden="0">
      <x:c r="A318" s="83" t="s">
        <x:v>112</x:v>
      </x:c>
      <x:c r="B318" s="83" t="s">
        <x:v>860</x:v>
      </x:c>
      <x:c r="C318" s="83" t="s">
        <x:v>433</x:v>
      </x:c>
      <x:c r="D318" s="83" t="s">
        <x:v>442</x:v>
      </x:c>
      <x:c r="E318" s="83" t="s">
        <x:v>452</x:v>
      </x:c>
      <x:c r="F318" s="83" t="s">
        <x:v>493</x:v>
      </x:c>
      <x:c r="G318" s="85" t="n">
        <x:v>46256</x:v>
      </x:c>
      <x:c r="H318" s="85" t="n">
        <x:v>46270</x:v>
      </x:c>
      <x:c r="I318" s="87" t="n">
        <x:v>74</x:v>
      </x:c>
      <x:c r="J318" s="83" t="s">
        <x:v>543</x:v>
      </x:c>
      <x:c r="K318" s="83" t="s">
        <x:v>396</x:v>
      </x:c>
      <x:c r="L318" s="83" t="s">
        <x:v>395</x:v>
      </x:c>
      <x:c r="M318" s="83" t="n">
        <x:v>76</x:v>
      </x:c>
      <x:c r="N318" s="83" t="n">
        <x:v>32</x:v>
      </x:c>
      <x:c r="O318" s="85" t="n">
        <x:v>46274</x:v>
      </x:c>
      <x:c r="P318" s="89" t="str">
        <x:f aca="0">A318&amp;TEXT(COUNTIF($A$6:A318,A318),"00")</x:f>
        <x:v>P05301</x:v>
      </x:c>
      <x:c r="Q318" s="89" t="str">
        <x:f aca="0">IF(I318&lt;100,A318&amp;"O"&amp;COUNTIFS($A$6:A318,A318,$I$6:I318,"&lt;100"),"")</x:f>
        <x:v>P053O1</x:v>
      </x:c>
      <x:c r="R318" s="89" t="str">
        <x:f aca="0">IF(I318&lt;100,D318&amp;"O"&amp;COUNTIFS($D$6:D318,D318,$I$6:I318,"&lt;100"),"")</x:f>
        <x:v>RituO28</x:v>
      </x:c>
      <x:c r="S318" s="278" t="n">
        <x:f>IF(COUNTIF($B$6:$B$605,B318)&gt;1,1,0)</x:f>
        <x:v>0</x:v>
      </x:c>
    </x:row>
    <x:row r="319" ht="15" hidden="0">
      <x:c r="A319" s="83" t="s">
        <x:v>112</x:v>
      </x:c>
      <x:c r="B319" s="83" t="s">
        <x:v>861</x:v>
      </x:c>
      <x:c r="C319" s="83" t="s">
        <x:v>440</x:v>
      </x:c>
      <x:c r="D319" s="83" t="s">
        <x:v>446</x:v>
      </x:c>
      <x:c r="E319" s="83" t="s">
        <x:v>455</x:v>
      </x:c>
      <x:c r="F319" s="83" t="s">
        <x:v>546</x:v>
      </x:c>
      <x:c r="G319" s="85" t="n">
        <x:v>46270</x:v>
      </x:c>
      <x:c r="H319" s="85" t="n">
        <x:v>46290</x:v>
      </x:c>
      <x:c r="I319" s="87" t="n">
        <x:v>54</x:v>
      </x:c>
      <x:c r="J319" s="83" t="s">
        <x:v>543</x:v>
      </x:c>
      <x:c r="K319" s="83"/>
      <x:c r="L319" s="83" t="s">
        <x:v>395</x:v>
      </x:c>
      <x:c r="M319" s="83" t="n">
        <x:v>22</x:v>
      </x:c>
      <x:c r="N319" s="83" t="n">
        <x:v>82</x:v>
      </x:c>
      <x:c r="O319" s="85" t="n">
        <x:v>46274</x:v>
      </x:c>
      <x:c r="P319" s="89" t="str">
        <x:f aca="0">A319&amp;TEXT(COUNTIF($A$6:A319,A319),"00")</x:f>
        <x:v>P05302</x:v>
      </x:c>
      <x:c r="Q319" s="89" t="str">
        <x:f aca="0">IF(I319&lt;100,A319&amp;"O"&amp;COUNTIFS($A$6:A319,A319,$I$6:I319,"&lt;100"),"")</x:f>
        <x:v>P053O2</x:v>
      </x:c>
      <x:c r="R319" s="89" t="str">
        <x:f aca="0">IF(I319&lt;100,D319&amp;"O"&amp;COUNTIFS($D$6:D319,D319,$I$6:I319,"&lt;100"),"")</x:f>
        <x:v>SanjayO29</x:v>
      </x:c>
      <x:c r="S319" s="278" t="n">
        <x:f>IF(COUNTIF($B$6:$B$605,B319)&gt;1,1,0)</x:f>
        <x:v>0</x:v>
      </x:c>
    </x:row>
    <x:row r="320" ht="15" hidden="0">
      <x:c r="A320" s="83" t="s">
        <x:v>112</x:v>
      </x:c>
      <x:c r="B320" s="83" t="s">
        <x:v>862</x:v>
      </x:c>
      <x:c r="C320" s="83" t="s">
        <x:v>444</x:v>
      </x:c>
      <x:c r="D320" s="83" t="s">
        <x:v>449</x:v>
      </x:c>
      <x:c r="E320" s="83" t="s">
        <x:v>462</x:v>
      </x:c>
      <x:c r="F320" s="83" t="s">
        <x:v>493</x:v>
      </x:c>
      <x:c r="G320" s="85" t="n">
        <x:v>46284</x:v>
      </x:c>
      <x:c r="H320" s="85" t="n">
        <x:v>46307</x:v>
      </x:c>
      <x:c r="I320" s="87" t="n">
        <x:v>77</x:v>
      </x:c>
      <x:c r="J320" s="83" t="s">
        <x:v>543</x:v>
      </x:c>
      <x:c r="K320" s="83"/>
      <x:c r="L320" s="83" t="s">
        <x:v>395</x:v>
      </x:c>
      <x:c r="M320" s="83" t="n">
        <x:v>72</x:v>
      </x:c>
      <x:c r="N320" s="83" t="n">
        <x:v>105</x:v>
      </x:c>
      <x:c r="O320" s="85" t="n">
        <x:v>46274</x:v>
      </x:c>
      <x:c r="P320" s="89" t="str">
        <x:f aca="0">A320&amp;TEXT(COUNTIF($A$6:A320,A320),"00")</x:f>
        <x:v>P05303</x:v>
      </x:c>
      <x:c r="Q320" s="89" t="str">
        <x:f aca="0">IF(I320&lt;100,A320&amp;"O"&amp;COUNTIFS($A$6:A320,A320,$I$6:I320,"&lt;100"),"")</x:f>
        <x:v>P053O3</x:v>
      </x:c>
      <x:c r="R320" s="89" t="str">
        <x:f aca="0">IF(I320&lt;100,D320&amp;"O"&amp;COUNTIFS($D$6:D320,D320,$I$6:I320,"&lt;100"),"")</x:f>
        <x:v>AnilO27</x:v>
      </x:c>
      <x:c r="S320" s="278" t="n">
        <x:f>IF(COUNTIF($B$6:$B$605,B320)&gt;1,1,0)</x:f>
        <x:v>0</x:v>
      </x:c>
    </x:row>
    <x:row r="321" ht="15" hidden="0">
      <x:c r="A321" s="83" t="s">
        <x:v>112</x:v>
      </x:c>
      <x:c r="B321" s="83" t="s">
        <x:v>863</x:v>
      </x:c>
      <x:c r="C321" s="83" t="s">
        <x:v>448</x:v>
      </x:c>
      <x:c r="D321" s="83" t="s">
        <x:v>452</x:v>
      </x:c>
      <x:c r="E321" s="83" t="s">
        <x:v>360</x:v>
      </x:c>
      <x:c r="F321" s="83" t="s">
        <x:v>493</x:v>
      </x:c>
      <x:c r="G321" s="85" t="n">
        <x:v>46298</x:v>
      </x:c>
      <x:c r="H321" s="85" t="n">
        <x:v>46321</x:v>
      </x:c>
      <x:c r="I321" s="87" t="n">
        <x:v>51</x:v>
      </x:c>
      <x:c r="J321" s="83" t="s">
        <x:v>543</x:v>
      </x:c>
      <x:c r="K321" s="83"/>
      <x:c r="L321" s="83" t="s">
        <x:v>412</x:v>
      </x:c>
      <x:c r="M321" s="83" t="n">
        <x:v>36</x:v>
      </x:c>
      <x:c r="N321" s="83" t="n">
        <x:v>79</x:v>
      </x:c>
      <x:c r="O321" s="85" t="n">
        <x:v>46274</x:v>
      </x:c>
      <x:c r="P321" s="89" t="str">
        <x:f aca="0">A321&amp;TEXT(COUNTIF($A$6:A321,A321),"00")</x:f>
        <x:v>P05304</x:v>
      </x:c>
      <x:c r="Q321" s="89" t="str">
        <x:f aca="0">IF(I321&lt;100,A321&amp;"O"&amp;COUNTIFS($A$6:A321,A321,$I$6:I321,"&lt;100"),"")</x:f>
        <x:v>P053O4</x:v>
      </x:c>
      <x:c r="R321" s="89" t="str">
        <x:f aca="0">IF(I321&lt;100,D321&amp;"O"&amp;COUNTIFS($D$6:D321,D321,$I$6:I321,"&lt;100"),"")</x:f>
        <x:v>KavyaO26</x:v>
      </x:c>
      <x:c r="S321" s="278" t="n">
        <x:f>IF(COUNTIF($B$6:$B$605,B321)&gt;1,1,0)</x:f>
        <x:v>0</x:v>
      </x:c>
    </x:row>
    <x:row r="322" ht="15" hidden="0">
      <x:c r="A322" s="83" t="s">
        <x:v>112</x:v>
      </x:c>
      <x:c r="B322" s="83" t="s">
        <x:v>864</x:v>
      </x:c>
      <x:c r="C322" s="83" t="s">
        <x:v>451</x:v>
      </x:c>
      <x:c r="D322" s="83" t="s">
        <x:v>455</x:v>
      </x:c>
      <x:c r="E322" s="83" t="s">
        <x:v>475</x:v>
      </x:c>
      <x:c r="F322" s="83" t="s">
        <x:v>557</x:v>
      </x:c>
      <x:c r="G322" s="85" t="n">
        <x:v>46312</x:v>
      </x:c>
      <x:c r="H322" s="85" t="n">
        <x:v>46323</x:v>
      </x:c>
      <x:c r="I322" s="87" t="n">
        <x:v>75</x:v>
      </x:c>
      <x:c r="J322" s="83" t="s">
        <x:v>543</x:v>
      </x:c>
      <x:c r="K322" s="83" t="s">
        <x:v>396</x:v>
      </x:c>
      <x:c r="L322" s="83" t="s">
        <x:v>412</x:v>
      </x:c>
      <x:c r="M322" s="83" t="n">
        <x:v>40</x:v>
      </x:c>
      <x:c r="N322" s="83" t="n">
        <x:v>19</x:v>
      </x:c>
      <x:c r="O322" s="85" t="n">
        <x:v>46274</x:v>
      </x:c>
      <x:c r="P322" s="89" t="str">
        <x:f aca="0">A322&amp;TEXT(COUNTIF($A$6:A322,A322),"00")</x:f>
        <x:v>P05305</x:v>
      </x:c>
      <x:c r="Q322" s="89" t="str">
        <x:f aca="0">IF(I322&lt;100,A322&amp;"O"&amp;COUNTIFS($A$6:A322,A322,$I$6:I322,"&lt;100"),"")</x:f>
        <x:v>P053O5</x:v>
      </x:c>
      <x:c r="R322" s="89" t="str">
        <x:f aca="0">IF(I322&lt;100,D322&amp;"O"&amp;COUNTIFS($D$6:D322,D322,$I$6:I322,"&lt;100"),"")</x:f>
        <x:v>RohanO25</x:v>
      </x:c>
      <x:c r="S322" s="278" t="n">
        <x:f>IF(COUNTIF($B$6:$B$605,B322)&gt;1,1,0)</x:f>
        <x:v>0</x:v>
      </x:c>
    </x:row>
    <x:row r="323" ht="15" hidden="0">
      <x:c r="A323" s="83" t="s">
        <x:v>112</x:v>
      </x:c>
      <x:c r="B323" s="83" t="s">
        <x:v>865</x:v>
      </x:c>
      <x:c r="C323" s="83" t="s">
        <x:v>454</x:v>
      </x:c>
      <x:c r="D323" s="83" t="s">
        <x:v>462</x:v>
      </x:c>
      <x:c r="E323" s="83" t="s">
        <x:v>434</x:v>
      </x:c>
      <x:c r="F323" s="83" t="s">
        <x:v>493</x:v>
      </x:c>
      <x:c r="G323" s="85" t="n">
        <x:v>46326</x:v>
      </x:c>
      <x:c r="H323" s="85" t="n">
        <x:v>46347</x:v>
      </x:c>
      <x:c r="I323" s="87" t="n">
        <x:v>52</x:v>
      </x:c>
      <x:c r="J323" s="83" t="s">
        <x:v>543</x:v>
      </x:c>
      <x:c r="K323" s="83" t="s">
        <x:v>396</x:v>
      </x:c>
      <x:c r="L323" s="83" t="s">
        <x:v>412</x:v>
      </x:c>
      <x:c r="M323" s="83" t="n">
        <x:v>84</x:v>
      </x:c>
      <x:c r="N323" s="83" t="n">
        <x:v>65</x:v>
      </x:c>
      <x:c r="O323" s="85" t="n">
        <x:v>46274</x:v>
      </x:c>
      <x:c r="P323" s="89" t="str">
        <x:f aca="0">A323&amp;TEXT(COUNTIF($A$6:A323,A323),"00")</x:f>
        <x:v>P05306</x:v>
      </x:c>
      <x:c r="Q323" s="89" t="str">
        <x:f aca="0">IF(I323&lt;100,A323&amp;"O"&amp;COUNTIFS($A$6:A323,A323,$I$6:I323,"&lt;100"),"")</x:f>
        <x:v>P053O6</x:v>
      </x:c>
      <x:c r="R323" s="89" t="str">
        <x:f aca="0">IF(I323&lt;100,D323&amp;"O"&amp;COUNTIFS($D$6:D323,D323,$I$6:I323,"&lt;100"),"")</x:f>
        <x:v>DeepaO25</x:v>
      </x:c>
      <x:c r="S323" s="278" t="n">
        <x:f>IF(COUNTIF($B$6:$B$605,B323)&gt;1,1,0)</x:f>
        <x:v>0</x:v>
      </x:c>
    </x:row>
    <x:row r="324" ht="15" hidden="0">
      <x:c r="A324" s="83" t="s">
        <x:v>127</x:v>
      </x:c>
      <x:c r="B324" s="83" t="s">
        <x:v>866</x:v>
      </x:c>
      <x:c r="C324" s="83" t="s">
        <x:v>433</x:v>
      </x:c>
      <x:c r="D324" s="83" t="s">
        <x:v>446</x:v>
      </x:c>
      <x:c r="E324" s="83" t="s">
        <x:v>455</x:v>
      </x:c>
      <x:c r="F324" s="83" t="s">
        <x:v>550</x:v>
      </x:c>
      <x:c r="G324" s="85" t="n">
        <x:v>46257</x:v>
      </x:c>
      <x:c r="H324" s="85" t="n">
        <x:v>46272</x:v>
      </x:c>
      <x:c r="I324" s="87" t="n">
        <x:v>75</x:v>
      </x:c>
      <x:c r="J324" s="83" t="s">
        <x:v>543</x:v>
      </x:c>
      <x:c r="K324" s="83"/>
      <x:c r="L324" s="83" t="s">
        <x:v>395</x:v>
      </x:c>
      <x:c r="M324" s="83" t="n">
        <x:v>76</x:v>
      </x:c>
      <x:c r="N324" s="83" t="n">
        <x:v>24</x:v>
      </x:c>
      <x:c r="O324" s="85" t="n">
        <x:v>46274</x:v>
      </x:c>
      <x:c r="P324" s="89" t="str">
        <x:f aca="0">A324&amp;TEXT(COUNTIF($A$6:A324,A324),"00")</x:f>
        <x:v>P05401</x:v>
      </x:c>
      <x:c r="Q324" s="89" t="str">
        <x:f aca="0">IF(I324&lt;100,A324&amp;"O"&amp;COUNTIFS($A$6:A324,A324,$I$6:I324,"&lt;100"),"")</x:f>
        <x:v>P054O1</x:v>
      </x:c>
      <x:c r="R324" s="89" t="str">
        <x:f aca="0">IF(I324&lt;100,D324&amp;"O"&amp;COUNTIFS($D$6:D324,D324,$I$6:I324,"&lt;100"),"")</x:f>
        <x:v>SanjayO30</x:v>
      </x:c>
      <x:c r="S324" s="278" t="n">
        <x:f>IF(COUNTIF($B$6:$B$605,B324)&gt;1,1,0)</x:f>
        <x:v>0</x:v>
      </x:c>
    </x:row>
    <x:row r="325" ht="15" hidden="0">
      <x:c r="A325" s="83" t="s">
        <x:v>127</x:v>
      </x:c>
      <x:c r="B325" s="83" t="s">
        <x:v>867</x:v>
      </x:c>
      <x:c r="C325" s="83" t="s">
        <x:v>440</x:v>
      </x:c>
      <x:c r="D325" s="83" t="s">
        <x:v>449</x:v>
      </x:c>
      <x:c r="E325" s="83" t="s">
        <x:v>462</x:v>
      </x:c>
      <x:c r="F325" s="83" t="s">
        <x:v>493</x:v>
      </x:c>
      <x:c r="G325" s="85" t="n">
        <x:v>46271</x:v>
      </x:c>
      <x:c r="H325" s="85" t="n">
        <x:v>46285</x:v>
      </x:c>
      <x:c r="I325" s="87" t="n">
        <x:v>86</x:v>
      </x:c>
      <x:c r="J325" s="83" t="s">
        <x:v>543</x:v>
      </x:c>
      <x:c r="K325" s="83"/>
      <x:c r="L325" s="83" t="s">
        <x:v>395</x:v>
      </x:c>
      <x:c r="M325" s="83" t="n">
        <x:v>64</x:v>
      </x:c>
      <x:c r="N325" s="83" t="n">
        <x:v>36</x:v>
      </x:c>
      <x:c r="O325" s="85" t="n">
        <x:v>46274</x:v>
      </x:c>
      <x:c r="P325" s="89" t="str">
        <x:f aca="0">A325&amp;TEXT(COUNTIF($A$6:A325,A325),"00")</x:f>
        <x:v>P05402</x:v>
      </x:c>
      <x:c r="Q325" s="89" t="str">
        <x:f aca="0">IF(I325&lt;100,A325&amp;"O"&amp;COUNTIFS($A$6:A325,A325,$I$6:I325,"&lt;100"),"")</x:f>
        <x:v>P054O2</x:v>
      </x:c>
      <x:c r="R325" s="89" t="str">
        <x:f aca="0">IF(I325&lt;100,D325&amp;"O"&amp;COUNTIFS($D$6:D325,D325,$I$6:I325,"&lt;100"),"")</x:f>
        <x:v>AnilO28</x:v>
      </x:c>
      <x:c r="S325" s="278" t="n">
        <x:f>IF(COUNTIF($B$6:$B$605,B325)&gt;1,1,0)</x:f>
        <x:v>0</x:v>
      </x:c>
    </x:row>
    <x:row r="326" ht="15" hidden="0">
      <x:c r="A326" s="83" t="s">
        <x:v>127</x:v>
      </x:c>
      <x:c r="B326" s="83" t="s">
        <x:v>868</x:v>
      </x:c>
      <x:c r="C326" s="83" t="s">
        <x:v>444</x:v>
      </x:c>
      <x:c r="D326" s="83" t="s">
        <x:v>452</x:v>
      </x:c>
      <x:c r="E326" s="83" t="s">
        <x:v>360</x:v>
      </x:c>
      <x:c r="F326" s="83" t="s">
        <x:v>550</x:v>
      </x:c>
      <x:c r="G326" s="85" t="n">
        <x:v>46285</x:v>
      </x:c>
      <x:c r="H326" s="85" t="n">
        <x:v>46309</x:v>
      </x:c>
      <x:c r="I326" s="87" t="n">
        <x:v>96</x:v>
      </x:c>
      <x:c r="J326" s="83" t="s">
        <x:v>543</x:v>
      </x:c>
      <x:c r="K326" s="83"/>
      <x:c r="L326" s="83" t="s">
        <x:v>395</x:v>
      </x:c>
      <x:c r="M326" s="83" t="n">
        <x:v>44</x:v>
      </x:c>
      <x:c r="N326" s="83" t="n">
        <x:v>56</x:v>
      </x:c>
      <x:c r="O326" s="85" t="n">
        <x:v>46274</x:v>
      </x:c>
      <x:c r="P326" s="89" t="str">
        <x:f aca="0">A326&amp;TEXT(COUNTIF($A$6:A326,A326),"00")</x:f>
        <x:v>P05403</x:v>
      </x:c>
      <x:c r="Q326" s="89" t="str">
        <x:f aca="0">IF(I326&lt;100,A326&amp;"O"&amp;COUNTIFS($A$6:A326,A326,$I$6:I326,"&lt;100"),"")</x:f>
        <x:v>P054O3</x:v>
      </x:c>
      <x:c r="R326" s="89" t="str">
        <x:f aca="0">IF(I326&lt;100,D326&amp;"O"&amp;COUNTIFS($D$6:D326,D326,$I$6:I326,"&lt;100"),"")</x:f>
        <x:v>KavyaO27</x:v>
      </x:c>
      <x:c r="S326" s="278" t="n">
        <x:f>IF(COUNTIF($B$6:$B$605,B326)&gt;1,1,0)</x:f>
        <x:v>0</x:v>
      </x:c>
    </x:row>
    <x:row r="327" ht="15" hidden="0">
      <x:c r="A327" s="83" t="s">
        <x:v>127</x:v>
      </x:c>
      <x:c r="B327" s="83" t="s">
        <x:v>869</x:v>
      </x:c>
      <x:c r="C327" s="83" t="s">
        <x:v>448</x:v>
      </x:c>
      <x:c r="D327" s="83" t="s">
        <x:v>455</x:v>
      </x:c>
      <x:c r="E327" s="83" t="s">
        <x:v>475</x:v>
      </x:c>
      <x:c r="F327" s="83" t="s">
        <x:v>493</x:v>
      </x:c>
      <x:c r="G327" s="85" t="n">
        <x:v>46299</x:v>
      </x:c>
      <x:c r="H327" s="85" t="n">
        <x:v>46315</x:v>
      </x:c>
      <x:c r="I327" s="87" t="n">
        <x:v>73</x:v>
      </x:c>
      <x:c r="J327" s="83" t="s">
        <x:v>543</x:v>
      </x:c>
      <x:c r="K327" s="83"/>
      <x:c r="L327" s="83" t="s">
        <x:v>412</x:v>
      </x:c>
      <x:c r="M327" s="83" t="n">
        <x:v>57</x:v>
      </x:c>
      <x:c r="N327" s="83" t="n">
        <x:v>78</x:v>
      </x:c>
      <x:c r="O327" s="85" t="n">
        <x:v>46274</x:v>
      </x:c>
      <x:c r="P327" s="89" t="str">
        <x:f aca="0">A327&amp;TEXT(COUNTIF($A$6:A327,A327),"00")</x:f>
        <x:v>P05404</x:v>
      </x:c>
      <x:c r="Q327" s="89" t="str">
        <x:f aca="0">IF(I327&lt;100,A327&amp;"O"&amp;COUNTIFS($A$6:A327,A327,$I$6:I327,"&lt;100"),"")</x:f>
        <x:v>P054O4</x:v>
      </x:c>
      <x:c r="R327" s="89" t="str">
        <x:f aca="0">IF(I327&lt;100,D327&amp;"O"&amp;COUNTIFS($D$6:D327,D327,$I$6:I327,"&lt;100"),"")</x:f>
        <x:v>RohanO26</x:v>
      </x:c>
      <x:c r="S327" s="278" t="n">
        <x:f>IF(COUNTIF($B$6:$B$605,B327)&gt;1,1,0)</x:f>
        <x:v>0</x:v>
      </x:c>
    </x:row>
    <x:row r="328" ht="15" hidden="0">
      <x:c r="A328" s="83" t="s">
        <x:v>127</x:v>
      </x:c>
      <x:c r="B328" s="83" t="s">
        <x:v>870</x:v>
      </x:c>
      <x:c r="C328" s="83" t="s">
        <x:v>451</x:v>
      </x:c>
      <x:c r="D328" s="83" t="s">
        <x:v>462</x:v>
      </x:c>
      <x:c r="E328" s="83" t="s">
        <x:v>434</x:v>
      </x:c>
      <x:c r="F328" s="83" t="s">
        <x:v>493</x:v>
      </x:c>
      <x:c r="G328" s="85" t="n">
        <x:v>46313</x:v>
      </x:c>
      <x:c r="H328" s="85" t="n">
        <x:v>46331</x:v>
      </x:c>
      <x:c r="I328" s="87" t="n">
        <x:v>91</x:v>
      </x:c>
      <x:c r="J328" s="83" t="s">
        <x:v>543</x:v>
      </x:c>
      <x:c r="K328" s="83"/>
      <x:c r="L328" s="83" t="s">
        <x:v>412</x:v>
      </x:c>
      <x:c r="M328" s="83" t="n">
        <x:v>46</x:v>
      </x:c>
      <x:c r="N328" s="83" t="n">
        <x:v>80</x:v>
      </x:c>
      <x:c r="O328" s="85" t="n">
        <x:v>46274</x:v>
      </x:c>
      <x:c r="P328" s="89" t="str">
        <x:f aca="0">A328&amp;TEXT(COUNTIF($A$6:A328,A328),"00")</x:f>
        <x:v>P05405</x:v>
      </x:c>
      <x:c r="Q328" s="89" t="str">
        <x:f aca="0">IF(I328&lt;100,A328&amp;"O"&amp;COUNTIFS($A$6:A328,A328,$I$6:I328,"&lt;100"),"")</x:f>
        <x:v>P054O5</x:v>
      </x:c>
      <x:c r="R328" s="89" t="str">
        <x:f aca="0">IF(I328&lt;100,D328&amp;"O"&amp;COUNTIFS($D$6:D328,D328,$I$6:I328,"&lt;100"),"")</x:f>
        <x:v>DeepaO26</x:v>
      </x:c>
      <x:c r="S328" s="278" t="n">
        <x:f>IF(COUNTIF($B$6:$B$605,B328)&gt;1,1,0)</x:f>
        <x:v>0</x:v>
      </x:c>
    </x:row>
    <x:row r="329" ht="15" hidden="0">
      <x:c r="A329" s="83" t="s">
        <x:v>127</x:v>
      </x:c>
      <x:c r="B329" s="83" t="s">
        <x:v>871</x:v>
      </x:c>
      <x:c r="C329" s="83" t="s">
        <x:v>454</x:v>
      </x:c>
      <x:c r="D329" s="83" t="s">
        <x:v>360</x:v>
      </x:c>
      <x:c r="E329" s="83" t="s">
        <x:v>441</x:v>
      </x:c>
      <x:c r="F329" s="83" t="s">
        <x:v>493</x:v>
      </x:c>
      <x:c r="G329" s="85" t="n">
        <x:v>46327</x:v>
      </x:c>
      <x:c r="H329" s="85" t="n">
        <x:v>46349</x:v>
      </x:c>
      <x:c r="I329" s="87" t="n">
        <x:v>89</x:v>
      </x:c>
      <x:c r="J329" s="83" t="s">
        <x:v>543</x:v>
      </x:c>
      <x:c r="K329" s="83"/>
      <x:c r="L329" s="83" t="s">
        <x:v>412</x:v>
      </x:c>
      <x:c r="M329" s="83" t="n">
        <x:v>32</x:v>
      </x:c>
      <x:c r="N329" s="83" t="n">
        <x:v>22</x:v>
      </x:c>
      <x:c r="O329" s="85" t="n">
        <x:v>46274</x:v>
      </x:c>
      <x:c r="P329" s="89" t="str">
        <x:f aca="0">A329&amp;TEXT(COUNTIF($A$6:A329,A329),"00")</x:f>
        <x:v>P05406</x:v>
      </x:c>
      <x:c r="Q329" s="89" t="str">
        <x:f aca="0">IF(I329&lt;100,A329&amp;"O"&amp;COUNTIFS($A$6:A329,A329,$I$6:I329,"&lt;100"),"")</x:f>
        <x:v>P054O6</x:v>
      </x:c>
      <x:c r="R329" s="89" t="str">
        <x:f aca="0">IF(I329&lt;100,D329&amp;"O"&amp;COUNTIFS($D$6:D329,D329,$I$6:I329,"&lt;100"),"")</x:f>
        <x:v>AmitO25</x:v>
      </x:c>
      <x:c r="S329" s="278" t="n">
        <x:f>IF(COUNTIF($B$6:$B$605,B329)&gt;1,1,0)</x:f>
        <x:v>0</x:v>
      </x:c>
    </x:row>
    <x:row r="330" ht="15" hidden="0">
      <x:c r="A330" s="83" t="s">
        <x:v>214</x:v>
      </x:c>
      <x:c r="B330" s="83" t="s">
        <x:v>872</x:v>
      </x:c>
      <x:c r="C330" s="83" t="s">
        <x:v>433</x:v>
      </x:c>
      <x:c r="D330" s="83" t="s">
        <x:v>449</x:v>
      </x:c>
      <x:c r="E330" s="83" t="s">
        <x:v>462</x:v>
      </x:c>
      <x:c r="F330" s="83" t="s">
        <x:v>557</x:v>
      </x:c>
      <x:c r="G330" s="85" t="n">
        <x:v>46258</x:v>
      </x:c>
      <x:c r="H330" s="85" t="n">
        <x:v>46275</x:v>
      </x:c>
      <x:c r="I330" s="87" t="n">
        <x:v>49</x:v>
      </x:c>
      <x:c r="J330" s="83" t="s">
        <x:v>543</x:v>
      </x:c>
      <x:c r="K330" s="83"/>
      <x:c r="L330" s="83" t="s">
        <x:v>395</x:v>
      </x:c>
      <x:c r="M330" s="83" t="n">
        <x:v>40</x:v>
      </x:c>
      <x:c r="N330" s="83" t="n">
        <x:v>91</x:v>
      </x:c>
      <x:c r="O330" s="85" t="n">
        <x:v>46274</x:v>
      </x:c>
      <x:c r="P330" s="89" t="str">
        <x:f aca="0">A330&amp;TEXT(COUNTIF($A$6:A330,A330),"00")</x:f>
        <x:v>P05501</x:v>
      </x:c>
      <x:c r="Q330" s="89" t="str">
        <x:f aca="0">IF(I330&lt;100,A330&amp;"O"&amp;COUNTIFS($A$6:A330,A330,$I$6:I330,"&lt;100"),"")</x:f>
        <x:v>P055O1</x:v>
      </x:c>
      <x:c r="R330" s="89" t="str">
        <x:f aca="0">IF(I330&lt;100,D330&amp;"O"&amp;COUNTIFS($D$6:D330,D330,$I$6:I330,"&lt;100"),"")</x:f>
        <x:v>AnilO29</x:v>
      </x:c>
      <x:c r="S330" s="278" t="n">
        <x:f>IF(COUNTIF($B$6:$B$605,B330)&gt;1,1,0)</x:f>
        <x:v>0</x:v>
      </x:c>
    </x:row>
    <x:row r="331" ht="15" hidden="0">
      <x:c r="A331" s="83" t="s">
        <x:v>214</x:v>
      </x:c>
      <x:c r="B331" s="83" t="s">
        <x:v>873</x:v>
      </x:c>
      <x:c r="C331" s="83" t="s">
        <x:v>440</x:v>
      </x:c>
      <x:c r="D331" s="83" t="s">
        <x:v>452</x:v>
      </x:c>
      <x:c r="E331" s="83" t="s">
        <x:v>360</x:v>
      </x:c>
      <x:c r="F331" s="83" t="s">
        <x:v>493</x:v>
      </x:c>
      <x:c r="G331" s="85" t="n">
        <x:v>46272</x:v>
      </x:c>
      <x:c r="H331" s="85" t="n">
        <x:v>46292</x:v>
      </x:c>
      <x:c r="I331" s="87" t="n">
        <x:v>55</x:v>
      </x:c>
      <x:c r="J331" s="83" t="s">
        <x:v>543</x:v>
      </x:c>
      <x:c r="K331" s="83"/>
      <x:c r="L331" s="83" t="s">
        <x:v>395</x:v>
      </x:c>
      <x:c r="M331" s="83" t="n">
        <x:v>31</x:v>
      </x:c>
      <x:c r="N331" s="83" t="n">
        <x:v>86</x:v>
      </x:c>
      <x:c r="O331" s="85" t="n">
        <x:v>46274</x:v>
      </x:c>
      <x:c r="P331" s="89" t="str">
        <x:f aca="0">A331&amp;TEXT(COUNTIF($A$6:A331,A331),"00")</x:f>
        <x:v>P05502</x:v>
      </x:c>
      <x:c r="Q331" s="89" t="str">
        <x:f aca="0">IF(I331&lt;100,A331&amp;"O"&amp;COUNTIFS($A$6:A331,A331,$I$6:I331,"&lt;100"),"")</x:f>
        <x:v>P055O2</x:v>
      </x:c>
      <x:c r="R331" s="89" t="str">
        <x:f aca="0">IF(I331&lt;100,D331&amp;"O"&amp;COUNTIFS($D$6:D331,D331,$I$6:I331,"&lt;100"),"")</x:f>
        <x:v>KavyaO28</x:v>
      </x:c>
      <x:c r="S331" s="278" t="n">
        <x:f>IF(COUNTIF($B$6:$B$605,B331)&gt;1,1,0)</x:f>
        <x:v>0</x:v>
      </x:c>
    </x:row>
    <x:row r="332" ht="15" hidden="0">
      <x:c r="A332" s="83" t="s">
        <x:v>214</x:v>
      </x:c>
      <x:c r="B332" s="83" t="s">
        <x:v>874</x:v>
      </x:c>
      <x:c r="C332" s="83" t="s">
        <x:v>444</x:v>
      </x:c>
      <x:c r="D332" s="83" t="s">
        <x:v>455</x:v>
      </x:c>
      <x:c r="E332" s="83" t="s">
        <x:v>475</x:v>
      </x:c>
      <x:c r="F332" s="83" t="s">
        <x:v>546</x:v>
      </x:c>
      <x:c r="G332" s="85" t="n">
        <x:v>46286</x:v>
      </x:c>
      <x:c r="H332" s="85" t="n">
        <x:v>46306</x:v>
      </x:c>
      <x:c r="I332" s="87" t="n">
        <x:v>40</x:v>
      </x:c>
      <x:c r="J332" s="83" t="s">
        <x:v>543</x:v>
      </x:c>
      <x:c r="K332" s="83"/>
      <x:c r="L332" s="83" t="s">
        <x:v>395</x:v>
      </x:c>
      <x:c r="M332" s="83" t="n">
        <x:v>29</x:v>
      </x:c>
      <x:c r="N332" s="83" t="n">
        <x:v>29</x:v>
      </x:c>
      <x:c r="O332" s="85" t="n">
        <x:v>46274</x:v>
      </x:c>
      <x:c r="P332" s="89" t="str">
        <x:f aca="0">A332&amp;TEXT(COUNTIF($A$6:A332,A332),"00")</x:f>
        <x:v>P05503</x:v>
      </x:c>
      <x:c r="Q332" s="89" t="str">
        <x:f aca="0">IF(I332&lt;100,A332&amp;"O"&amp;COUNTIFS($A$6:A332,A332,$I$6:I332,"&lt;100"),"")</x:f>
        <x:v>P055O3</x:v>
      </x:c>
      <x:c r="R332" s="89" t="str">
        <x:f aca="0">IF(I332&lt;100,D332&amp;"O"&amp;COUNTIFS($D$6:D332,D332,$I$6:I332,"&lt;100"),"")</x:f>
        <x:v>RohanO27</x:v>
      </x:c>
      <x:c r="S332" s="278" t="n">
        <x:f>IF(COUNTIF($B$6:$B$605,B332)&gt;1,1,0)</x:f>
        <x:v>0</x:v>
      </x:c>
    </x:row>
    <x:row r="333" ht="15" hidden="0">
      <x:c r="A333" s="83" t="s">
        <x:v>214</x:v>
      </x:c>
      <x:c r="B333" s="83" t="s">
        <x:v>875</x:v>
      </x:c>
      <x:c r="C333" s="83" t="s">
        <x:v>448</x:v>
      </x:c>
      <x:c r="D333" s="83" t="s">
        <x:v>462</x:v>
      </x:c>
      <x:c r="E333" s="83" t="s">
        <x:v>434</x:v>
      </x:c>
      <x:c r="F333" s="83" t="s">
        <x:v>493</x:v>
      </x:c>
      <x:c r="G333" s="85" t="n">
        <x:v>46300</x:v>
      </x:c>
      <x:c r="H333" s="85" t="n">
        <x:v>46316</x:v>
      </x:c>
      <x:c r="I333" s="87" t="n">
        <x:v>48</x:v>
      </x:c>
      <x:c r="J333" s="83" t="s">
        <x:v>543</x:v>
      </x:c>
      <x:c r="K333" s="83"/>
      <x:c r="L333" s="83" t="s">
        <x:v>395</x:v>
      </x:c>
      <x:c r="M333" s="83" t="n">
        <x:v>81</x:v>
      </x:c>
      <x:c r="N333" s="83" t="n">
        <x:v>33</x:v>
      </x:c>
      <x:c r="O333" s="85" t="n">
        <x:v>46274</x:v>
      </x:c>
      <x:c r="P333" s="89" t="str">
        <x:f aca="0">A333&amp;TEXT(COUNTIF($A$6:A333,A333),"00")</x:f>
        <x:v>P05504</x:v>
      </x:c>
      <x:c r="Q333" s="89" t="str">
        <x:f aca="0">IF(I333&lt;100,A333&amp;"O"&amp;COUNTIFS($A$6:A333,A333,$I$6:I333,"&lt;100"),"")</x:f>
        <x:v>P055O4</x:v>
      </x:c>
      <x:c r="R333" s="89" t="str">
        <x:f aca="0">IF(I333&lt;100,D333&amp;"O"&amp;COUNTIFS($D$6:D333,D333,$I$6:I333,"&lt;100"),"")</x:f>
        <x:v>DeepaO27</x:v>
      </x:c>
      <x:c r="S333" s="278" t="n">
        <x:f>IF(COUNTIF($B$6:$B$605,B333)&gt;1,1,0)</x:f>
        <x:v>0</x:v>
      </x:c>
    </x:row>
    <x:row r="334" ht="15" hidden="0">
      <x:c r="A334" s="83" t="s">
        <x:v>214</x:v>
      </x:c>
      <x:c r="B334" s="83" t="s">
        <x:v>876</x:v>
      </x:c>
      <x:c r="C334" s="83" t="s">
        <x:v>451</x:v>
      </x:c>
      <x:c r="D334" s="83" t="s">
        <x:v>360</x:v>
      </x:c>
      <x:c r="E334" s="83" t="s">
        <x:v>441</x:v>
      </x:c>
      <x:c r="F334" s="83" t="s">
        <x:v>557</x:v>
      </x:c>
      <x:c r="G334" s="85" t="n">
        <x:v>46314</x:v>
      </x:c>
      <x:c r="H334" s="85" t="n">
        <x:v>46338</x:v>
      </x:c>
      <x:c r="I334" s="87" t="n">
        <x:v>64</x:v>
      </x:c>
      <x:c r="J334" s="83" t="s">
        <x:v>543</x:v>
      </x:c>
      <x:c r="K334" s="83" t="s">
        <x:v>396</x:v>
      </x:c>
      <x:c r="L334" s="83" t="s">
        <x:v>395</x:v>
      </x:c>
      <x:c r="M334" s="83" t="n">
        <x:v>49</x:v>
      </x:c>
      <x:c r="N334" s="83" t="n">
        <x:v>88</x:v>
      </x:c>
      <x:c r="O334" s="85" t="n">
        <x:v>46274</x:v>
      </x:c>
      <x:c r="P334" s="89" t="str">
        <x:f aca="0">A334&amp;TEXT(COUNTIF($A$6:A334,A334),"00")</x:f>
        <x:v>P05505</x:v>
      </x:c>
      <x:c r="Q334" s="89" t="str">
        <x:f aca="0">IF(I334&lt;100,A334&amp;"O"&amp;COUNTIFS($A$6:A334,A334,$I$6:I334,"&lt;100"),"")</x:f>
        <x:v>P055O5</x:v>
      </x:c>
      <x:c r="R334" s="89" t="str">
        <x:f aca="0">IF(I334&lt;100,D334&amp;"O"&amp;COUNTIFS($D$6:D334,D334,$I$6:I334,"&lt;100"),"")</x:f>
        <x:v>AmitO26</x:v>
      </x:c>
      <x:c r="S334" s="278" t="n">
        <x:f>IF(COUNTIF($B$6:$B$605,B334)&gt;1,1,0)</x:f>
        <x:v>0</x:v>
      </x:c>
    </x:row>
    <x:row r="335" ht="15" hidden="0">
      <x:c r="A335" s="83" t="s">
        <x:v>214</x:v>
      </x:c>
      <x:c r="B335" s="83" t="s">
        <x:v>877</x:v>
      </x:c>
      <x:c r="C335" s="83" t="s">
        <x:v>454</x:v>
      </x:c>
      <x:c r="D335" s="83" t="s">
        <x:v>475</x:v>
      </x:c>
      <x:c r="E335" s="83" t="s">
        <x:v>445</x:v>
      </x:c>
      <x:c r="F335" s="83" t="s">
        <x:v>550</x:v>
      </x:c>
      <x:c r="G335" s="85" t="n">
        <x:v>46328</x:v>
      </x:c>
      <x:c r="H335" s="85" t="n">
        <x:v>46352</x:v>
      </x:c>
      <x:c r="I335" s="87" t="n">
        <x:v>48</x:v>
      </x:c>
      <x:c r="J335" s="83" t="s">
        <x:v>543</x:v>
      </x:c>
      <x:c r="K335" s="83"/>
      <x:c r="L335" s="83" t="s">
        <x:v>395</x:v>
      </x:c>
      <x:c r="M335" s="83" t="n">
        <x:v>38</x:v>
      </x:c>
      <x:c r="N335" s="83" t="n">
        <x:v>49</x:v>
      </x:c>
      <x:c r="O335" s="85" t="n">
        <x:v>46274</x:v>
      </x:c>
      <x:c r="P335" s="89" t="str">
        <x:f aca="0">A335&amp;TEXT(COUNTIF($A$6:A335,A335),"00")</x:f>
        <x:v>P05506</x:v>
      </x:c>
      <x:c r="Q335" s="89" t="str">
        <x:f aca="0">IF(I335&lt;100,A335&amp;"O"&amp;COUNTIFS($A$6:A335,A335,$I$6:I335,"&lt;100"),"")</x:f>
        <x:v>P055O6</x:v>
      </x:c>
      <x:c r="R335" s="89" t="str">
        <x:f aca="0">IF(I335&lt;100,D335&amp;"O"&amp;COUNTIFS($D$6:D335,D335,$I$6:I335,"&lt;100"),"")</x:f>
        <x:v>PriyaO25</x:v>
      </x:c>
      <x:c r="S335" s="278" t="n">
        <x:f>IF(COUNTIF($B$6:$B$605,B335)&gt;1,1,0)</x:f>
        <x:v>0</x:v>
      </x:c>
    </x:row>
    <x:row r="336" ht="15" hidden="0">
      <x:c r="A336" s="83" t="s">
        <x:v>240</x:v>
      </x:c>
      <x:c r="B336" s="83" t="s">
        <x:v>878</x:v>
      </x:c>
      <x:c r="C336" s="83" t="s">
        <x:v>433</x:v>
      </x:c>
      <x:c r="D336" s="83" t="s">
        <x:v>452</x:v>
      </x:c>
      <x:c r="E336" s="83" t="s">
        <x:v>360</x:v>
      </x:c>
      <x:c r="F336" s="83" t="s">
        <x:v>557</x:v>
      </x:c>
      <x:c r="G336" s="85" t="n">
        <x:v>46259</x:v>
      </x:c>
      <x:c r="H336" s="85" t="n">
        <x:v>46268</x:v>
      </x:c>
      <x:c r="I336" s="87" t="n">
        <x:v>45</x:v>
      </x:c>
      <x:c r="J336" s="83" t="s">
        <x:v>543</x:v>
      </x:c>
      <x:c r="K336" s="83"/>
      <x:c r="L336" s="83" t="s">
        <x:v>395</x:v>
      </x:c>
      <x:c r="M336" s="83" t="n">
        <x:v>48</x:v>
      </x:c>
      <x:c r="N336" s="83" t="n">
        <x:v>37</x:v>
      </x:c>
      <x:c r="O336" s="85" t="n">
        <x:v>46274</x:v>
      </x:c>
      <x:c r="P336" s="89" t="str">
        <x:f aca="0">A336&amp;TEXT(COUNTIF($A$6:A336,A336),"00")</x:f>
        <x:v>P05601</x:v>
      </x:c>
      <x:c r="Q336" s="89" t="str">
        <x:f aca="0">IF(I336&lt;100,A336&amp;"O"&amp;COUNTIFS($A$6:A336,A336,$I$6:I336,"&lt;100"),"")</x:f>
        <x:v>P056O1</x:v>
      </x:c>
      <x:c r="R336" s="89" t="str">
        <x:f aca="0">IF(I336&lt;100,D336&amp;"O"&amp;COUNTIFS($D$6:D336,D336,$I$6:I336,"&lt;100"),"")</x:f>
        <x:v>KavyaO29</x:v>
      </x:c>
      <x:c r="S336" s="278" t="n">
        <x:f>IF(COUNTIF($B$6:$B$605,B336)&gt;1,1,0)</x:f>
        <x:v>0</x:v>
      </x:c>
    </x:row>
    <x:row r="337" ht="15" hidden="0">
      <x:c r="A337" s="83" t="s">
        <x:v>240</x:v>
      </x:c>
      <x:c r="B337" s="83" t="s">
        <x:v>879</x:v>
      </x:c>
      <x:c r="C337" s="83" t="s">
        <x:v>440</x:v>
      </x:c>
      <x:c r="D337" s="83" t="s">
        <x:v>455</x:v>
      </x:c>
      <x:c r="E337" s="83" t="s">
        <x:v>475</x:v>
      </x:c>
      <x:c r="F337" s="83" t="s">
        <x:v>550</x:v>
      </x:c>
      <x:c r="G337" s="85" t="n">
        <x:v>46273</x:v>
      </x:c>
      <x:c r="H337" s="85" t="n">
        <x:v>46297</x:v>
      </x:c>
      <x:c r="I337" s="87" t="n">
        <x:v>60</x:v>
      </x:c>
      <x:c r="J337" s="83" t="s">
        <x:v>543</x:v>
      </x:c>
      <x:c r="K337" s="83"/>
      <x:c r="L337" s="83" t="s">
        <x:v>395</x:v>
      </x:c>
      <x:c r="M337" s="83" t="n">
        <x:v>82</x:v>
      </x:c>
      <x:c r="N337" s="83" t="n">
        <x:v>38</x:v>
      </x:c>
      <x:c r="O337" s="85" t="n">
        <x:v>46274</x:v>
      </x:c>
      <x:c r="P337" s="89" t="str">
        <x:f aca="0">A337&amp;TEXT(COUNTIF($A$6:A337,A337),"00")</x:f>
        <x:v>P05602</x:v>
      </x:c>
      <x:c r="Q337" s="89" t="str">
        <x:f aca="0">IF(I337&lt;100,A337&amp;"O"&amp;COUNTIFS($A$6:A337,A337,$I$6:I337,"&lt;100"),"")</x:f>
        <x:v>P056O2</x:v>
      </x:c>
      <x:c r="R337" s="89" t="str">
        <x:f aca="0">IF(I337&lt;100,D337&amp;"O"&amp;COUNTIFS($D$6:D337,D337,$I$6:I337,"&lt;100"),"")</x:f>
        <x:v>RohanO28</x:v>
      </x:c>
      <x:c r="S337" s="278" t="n">
        <x:f>IF(COUNTIF($B$6:$B$605,B337)&gt;1,1,0)</x:f>
        <x:v>0</x:v>
      </x:c>
    </x:row>
    <x:row r="338" ht="15" hidden="0">
      <x:c r="A338" s="83" t="s">
        <x:v>240</x:v>
      </x:c>
      <x:c r="B338" s="83" t="s">
        <x:v>880</x:v>
      </x:c>
      <x:c r="C338" s="83" t="s">
        <x:v>444</x:v>
      </x:c>
      <x:c r="D338" s="83" t="s">
        <x:v>462</x:v>
      </x:c>
      <x:c r="E338" s="83" t="s">
        <x:v>434</x:v>
      </x:c>
      <x:c r="F338" s="83" t="s">
        <x:v>493</x:v>
      </x:c>
      <x:c r="G338" s="85" t="n">
        <x:v>46287</x:v>
      </x:c>
      <x:c r="H338" s="85" t="n">
        <x:v>46298</x:v>
      </x:c>
      <x:c r="I338" s="87" t="n">
        <x:v>61</x:v>
      </x:c>
      <x:c r="J338" s="83" t="s">
        <x:v>543</x:v>
      </x:c>
      <x:c r="K338" s="83" t="s">
        <x:v>396</x:v>
      </x:c>
      <x:c r="L338" s="83" t="s">
        <x:v>395</x:v>
      </x:c>
      <x:c r="M338" s="83" t="n">
        <x:v>94</x:v>
      </x:c>
      <x:c r="N338" s="83" t="n">
        <x:v>104</x:v>
      </x:c>
      <x:c r="O338" s="85" t="n">
        <x:v>46274</x:v>
      </x:c>
      <x:c r="P338" s="89" t="str">
        <x:f aca="0">A338&amp;TEXT(COUNTIF($A$6:A338,A338),"00")</x:f>
        <x:v>P05603</x:v>
      </x:c>
      <x:c r="Q338" s="89" t="str">
        <x:f aca="0">IF(I338&lt;100,A338&amp;"O"&amp;COUNTIFS($A$6:A338,A338,$I$6:I338,"&lt;100"),"")</x:f>
        <x:v>P056O3</x:v>
      </x:c>
      <x:c r="R338" s="89" t="str">
        <x:f aca="0">IF(I338&lt;100,D338&amp;"O"&amp;COUNTIFS($D$6:D338,D338,$I$6:I338,"&lt;100"),"")</x:f>
        <x:v>DeepaO28</x:v>
      </x:c>
      <x:c r="S338" s="278" t="n">
        <x:f>IF(COUNTIF($B$6:$B$605,B338)&gt;1,1,0)</x:f>
        <x:v>0</x:v>
      </x:c>
    </x:row>
    <x:row r="339" ht="15" hidden="0">
      <x:c r="A339" s="83" t="s">
        <x:v>240</x:v>
      </x:c>
      <x:c r="B339" s="83" t="s">
        <x:v>881</x:v>
      </x:c>
      <x:c r="C339" s="83" t="s">
        <x:v>448</x:v>
      </x:c>
      <x:c r="D339" s="83" t="s">
        <x:v>360</x:v>
      </x:c>
      <x:c r="E339" s="83" t="s">
        <x:v>441</x:v>
      </x:c>
      <x:c r="F339" s="83" t="s">
        <x:v>550</x:v>
      </x:c>
      <x:c r="G339" s="85" t="n">
        <x:v>46301</x:v>
      </x:c>
      <x:c r="H339" s="85" t="n">
        <x:v>46314</x:v>
      </x:c>
      <x:c r="I339" s="87" t="n">
        <x:v>56</x:v>
      </x:c>
      <x:c r="J339" s="83" t="s">
        <x:v>543</x:v>
      </x:c>
      <x:c r="K339" s="83"/>
      <x:c r="L339" s="83" t="s">
        <x:v>395</x:v>
      </x:c>
      <x:c r="M339" s="83" t="n">
        <x:v>77</x:v>
      </x:c>
      <x:c r="N339" s="83" t="n">
        <x:v>103</x:v>
      </x:c>
      <x:c r="O339" s="85" t="n">
        <x:v>46274</x:v>
      </x:c>
      <x:c r="P339" s="89" t="str">
        <x:f aca="0">A339&amp;TEXT(COUNTIF($A$6:A339,A339),"00")</x:f>
        <x:v>P05604</x:v>
      </x:c>
      <x:c r="Q339" s="89" t="str">
        <x:f aca="0">IF(I339&lt;100,A339&amp;"O"&amp;COUNTIFS($A$6:A339,A339,$I$6:I339,"&lt;100"),"")</x:f>
        <x:v>P056O4</x:v>
      </x:c>
      <x:c r="R339" s="89" t="str">
        <x:f aca="0">IF(I339&lt;100,D339&amp;"O"&amp;COUNTIFS($D$6:D339,D339,$I$6:I339,"&lt;100"),"")</x:f>
        <x:v>AmitO27</x:v>
      </x:c>
      <x:c r="S339" s="278" t="n">
        <x:f>IF(COUNTIF($B$6:$B$605,B339)&gt;1,1,0)</x:f>
        <x:v>0</x:v>
      </x:c>
    </x:row>
    <x:row r="340" ht="15" hidden="0">
      <x:c r="A340" s="83" t="s">
        <x:v>240</x:v>
      </x:c>
      <x:c r="B340" s="83" t="s">
        <x:v>882</x:v>
      </x:c>
      <x:c r="C340" s="83" t="s">
        <x:v>451</x:v>
      </x:c>
      <x:c r="D340" s="83" t="s">
        <x:v>475</x:v>
      </x:c>
      <x:c r="E340" s="83" t="s">
        <x:v>445</x:v>
      </x:c>
      <x:c r="F340" s="83" t="s">
        <x:v>557</x:v>
      </x:c>
      <x:c r="G340" s="85" t="n">
        <x:v>46315</x:v>
      </x:c>
      <x:c r="H340" s="85" t="n">
        <x:v>46330</x:v>
      </x:c>
      <x:c r="I340" s="87" t="n">
        <x:v>41</x:v>
      </x:c>
      <x:c r="J340" s="83" t="s">
        <x:v>543</x:v>
      </x:c>
      <x:c r="K340" s="83"/>
      <x:c r="L340" s="83" t="s">
        <x:v>395</x:v>
      </x:c>
      <x:c r="M340" s="83" t="n">
        <x:v>55</x:v>
      </x:c>
      <x:c r="N340" s="83" t="n">
        <x:v>103</x:v>
      </x:c>
      <x:c r="O340" s="85" t="n">
        <x:v>46274</x:v>
      </x:c>
      <x:c r="P340" s="89" t="str">
        <x:f aca="0">A340&amp;TEXT(COUNTIF($A$6:A340,A340),"00")</x:f>
        <x:v>P05605</x:v>
      </x:c>
      <x:c r="Q340" s="89" t="str">
        <x:f aca="0">IF(I340&lt;100,A340&amp;"O"&amp;COUNTIFS($A$6:A340,A340,$I$6:I340,"&lt;100"),"")</x:f>
        <x:v>P056O5</x:v>
      </x:c>
      <x:c r="R340" s="89" t="str">
        <x:f aca="0">IF(I340&lt;100,D340&amp;"O"&amp;COUNTIFS($D$6:D340,D340,$I$6:I340,"&lt;100"),"")</x:f>
        <x:v>PriyaO26</x:v>
      </x:c>
      <x:c r="S340" s="278" t="n">
        <x:f>IF(COUNTIF($B$6:$B$605,B340)&gt;1,1,0)</x:f>
        <x:v>0</x:v>
      </x:c>
    </x:row>
    <x:row r="341" ht="15" hidden="0">
      <x:c r="A341" s="83" t="s">
        <x:v>240</x:v>
      </x:c>
      <x:c r="B341" s="83" t="s">
        <x:v>883</x:v>
      </x:c>
      <x:c r="C341" s="83" t="s">
        <x:v>454</x:v>
      </x:c>
      <x:c r="D341" s="83" t="s">
        <x:v>434</x:v>
      </x:c>
      <x:c r="E341" s="83" t="s">
        <x:v>435</x:v>
      </x:c>
      <x:c r="F341" s="83" t="s">
        <x:v>550</x:v>
      </x:c>
      <x:c r="G341" s="85" t="n">
        <x:v>46329</x:v>
      </x:c>
      <x:c r="H341" s="85" t="n">
        <x:v>46352</x:v>
      </x:c>
      <x:c r="I341" s="87" t="n">
        <x:v>73</x:v>
      </x:c>
      <x:c r="J341" s="83" t="s">
        <x:v>543</x:v>
      </x:c>
      <x:c r="K341" s="83"/>
      <x:c r="L341" s="83" t="s">
        <x:v>395</x:v>
      </x:c>
      <x:c r="M341" s="83" t="n">
        <x:v>78</x:v>
      </x:c>
      <x:c r="N341" s="83" t="n">
        <x:v>56</x:v>
      </x:c>
      <x:c r="O341" s="85" t="n">
        <x:v>46274</x:v>
      </x:c>
      <x:c r="P341" s="89" t="str">
        <x:f aca="0">A341&amp;TEXT(COUNTIF($A$6:A341,A341),"00")</x:f>
        <x:v>P05606</x:v>
      </x:c>
      <x:c r="Q341" s="89" t="str">
        <x:f aca="0">IF(I341&lt;100,A341&amp;"O"&amp;COUNTIFS($A$6:A341,A341,$I$6:I341,"&lt;100"),"")</x:f>
        <x:v>P056O6</x:v>
      </x:c>
      <x:c r="R341" s="89" t="str">
        <x:f aca="0">IF(I341&lt;100,D341&amp;"O"&amp;COUNTIFS($D$6:D341,D341,$I$6:I341,"&lt;100"),"")</x:f>
        <x:v>RahulO25</x:v>
      </x:c>
      <x:c r="S341" s="278" t="n">
        <x:f>IF(COUNTIF($B$6:$B$605,B341)&gt;1,1,0)</x:f>
        <x:v>0</x:v>
      </x:c>
    </x:row>
    <x:row r="342" ht="15" hidden="0">
      <x:c r="A342" s="83" t="s">
        <x:v>165</x:v>
      </x:c>
      <x:c r="B342" s="83" t="s">
        <x:v>884</x:v>
      </x:c>
      <x:c r="C342" s="83" t="s">
        <x:v>433</x:v>
      </x:c>
      <x:c r="D342" s="83" t="s">
        <x:v>455</x:v>
      </x:c>
      <x:c r="E342" s="83" t="s">
        <x:v>475</x:v>
      </x:c>
      <x:c r="F342" s="83" t="s">
        <x:v>546</x:v>
      </x:c>
      <x:c r="G342" s="85" t="n">
        <x:v>46260</x:v>
      </x:c>
      <x:c r="H342" s="85" t="n">
        <x:v>46275</x:v>
      </x:c>
      <x:c r="I342" s="87" t="n">
        <x:v>63</x:v>
      </x:c>
      <x:c r="J342" s="83" t="s">
        <x:v>543</x:v>
      </x:c>
      <x:c r="K342" s="83"/>
      <x:c r="L342" s="83" t="s">
        <x:v>395</x:v>
      </x:c>
      <x:c r="M342" s="83" t="n">
        <x:v>52</x:v>
      </x:c>
      <x:c r="N342" s="83" t="n">
        <x:v>65</x:v>
      </x:c>
      <x:c r="O342" s="85" t="n">
        <x:v>46274</x:v>
      </x:c>
      <x:c r="P342" s="89" t="str">
        <x:f aca="0">A342&amp;TEXT(COUNTIF($A$6:A342,A342),"00")</x:f>
        <x:v>P05701</x:v>
      </x:c>
      <x:c r="Q342" s="89" t="str">
        <x:f aca="0">IF(I342&lt;100,A342&amp;"O"&amp;COUNTIFS($A$6:A342,A342,$I$6:I342,"&lt;100"),"")</x:f>
        <x:v>P057O1</x:v>
      </x:c>
      <x:c r="R342" s="89" t="str">
        <x:f aca="0">IF(I342&lt;100,D342&amp;"O"&amp;COUNTIFS($D$6:D342,D342,$I$6:I342,"&lt;100"),"")</x:f>
        <x:v>RohanO29</x:v>
      </x:c>
      <x:c r="S342" s="278" t="n">
        <x:f>IF(COUNTIF($B$6:$B$605,B342)&gt;1,1,0)</x:f>
        <x:v>0</x:v>
      </x:c>
    </x:row>
    <x:row r="343" ht="15" hidden="0">
      <x:c r="A343" s="83" t="s">
        <x:v>165</x:v>
      </x:c>
      <x:c r="B343" s="83" t="s">
        <x:v>885</x:v>
      </x:c>
      <x:c r="C343" s="83" t="s">
        <x:v>440</x:v>
      </x:c>
      <x:c r="D343" s="83" t="s">
        <x:v>462</x:v>
      </x:c>
      <x:c r="E343" s="83" t="s">
        <x:v>434</x:v>
      </x:c>
      <x:c r="F343" s="83" t="s">
        <x:v>546</x:v>
      </x:c>
      <x:c r="G343" s="85" t="n">
        <x:v>46274</x:v>
      </x:c>
      <x:c r="H343" s="85" t="n">
        <x:v>46287</x:v>
      </x:c>
      <x:c r="I343" s="87" t="n">
        <x:v>62</x:v>
      </x:c>
      <x:c r="J343" s="83" t="s">
        <x:v>543</x:v>
      </x:c>
      <x:c r="K343" s="83"/>
      <x:c r="L343" s="83" t="s">
        <x:v>395</x:v>
      </x:c>
      <x:c r="M343" s="83" t="n">
        <x:v>79</x:v>
      </x:c>
      <x:c r="N343" s="83" t="n">
        <x:v>48</x:v>
      </x:c>
      <x:c r="O343" s="85" t="n">
        <x:v>46274</x:v>
      </x:c>
      <x:c r="P343" s="89" t="str">
        <x:f aca="0">A343&amp;TEXT(COUNTIF($A$6:A343,A343),"00")</x:f>
        <x:v>P05702</x:v>
      </x:c>
      <x:c r="Q343" s="89" t="str">
        <x:f aca="0">IF(I343&lt;100,A343&amp;"O"&amp;COUNTIFS($A$6:A343,A343,$I$6:I343,"&lt;100"),"")</x:f>
        <x:v>P057O2</x:v>
      </x:c>
      <x:c r="R343" s="89" t="str">
        <x:f aca="0">IF(I343&lt;100,D343&amp;"O"&amp;COUNTIFS($D$6:D343,D343,$I$6:I343,"&lt;100"),"")</x:f>
        <x:v>DeepaO29</x:v>
      </x:c>
      <x:c r="S343" s="278" t="n">
        <x:f>IF(COUNTIF($B$6:$B$605,B343)&gt;1,1,0)</x:f>
        <x:v>0</x:v>
      </x:c>
    </x:row>
    <x:row r="344" ht="15" hidden="0">
      <x:c r="A344" s="83" t="s">
        <x:v>165</x:v>
      </x:c>
      <x:c r="B344" s="83" t="s">
        <x:v>886</x:v>
      </x:c>
      <x:c r="C344" s="83" t="s">
        <x:v>444</x:v>
      </x:c>
      <x:c r="D344" s="83" t="s">
        <x:v>360</x:v>
      </x:c>
      <x:c r="E344" s="83" t="s">
        <x:v>441</x:v>
      </x:c>
      <x:c r="F344" s="83" t="s">
        <x:v>550</x:v>
      </x:c>
      <x:c r="G344" s="85" t="n">
        <x:v>46288</x:v>
      </x:c>
      <x:c r="H344" s="85" t="n">
        <x:v>46306</x:v>
      </x:c>
      <x:c r="I344" s="87" t="n">
        <x:v>60</x:v>
      </x:c>
      <x:c r="J344" s="83" t="s">
        <x:v>543</x:v>
      </x:c>
      <x:c r="K344" s="83"/>
      <x:c r="L344" s="83" t="s">
        <x:v>395</x:v>
      </x:c>
      <x:c r="M344" s="83" t="n">
        <x:v>53</x:v>
      </x:c>
      <x:c r="N344" s="83" t="n">
        <x:v>54</x:v>
      </x:c>
      <x:c r="O344" s="85" t="n">
        <x:v>46274</x:v>
      </x:c>
      <x:c r="P344" s="89" t="str">
        <x:f aca="0">A344&amp;TEXT(COUNTIF($A$6:A344,A344),"00")</x:f>
        <x:v>P05703</x:v>
      </x:c>
      <x:c r="Q344" s="89" t="str">
        <x:f aca="0">IF(I344&lt;100,A344&amp;"O"&amp;COUNTIFS($A$6:A344,A344,$I$6:I344,"&lt;100"),"")</x:f>
        <x:v>P057O3</x:v>
      </x:c>
      <x:c r="R344" s="89" t="str">
        <x:f aca="0">IF(I344&lt;100,D344&amp;"O"&amp;COUNTIFS($D$6:D344,D344,$I$6:I344,"&lt;100"),"")</x:f>
        <x:v>AmitO28</x:v>
      </x:c>
      <x:c r="S344" s="278" t="n">
        <x:f>IF(COUNTIF($B$6:$B$605,B344)&gt;1,1,0)</x:f>
        <x:v>0</x:v>
      </x:c>
    </x:row>
    <x:row r="345" ht="15" hidden="0">
      <x:c r="A345" s="83" t="s">
        <x:v>165</x:v>
      </x:c>
      <x:c r="B345" s="83" t="s">
        <x:v>887</x:v>
      </x:c>
      <x:c r="C345" s="83" t="s">
        <x:v>448</x:v>
      </x:c>
      <x:c r="D345" s="83" t="s">
        <x:v>475</x:v>
      </x:c>
      <x:c r="E345" s="83" t="s">
        <x:v>445</x:v>
      </x:c>
      <x:c r="F345" s="83" t="s">
        <x:v>550</x:v>
      </x:c>
      <x:c r="G345" s="85" t="n">
        <x:v>46302</x:v>
      </x:c>
      <x:c r="H345" s="85" t="n">
        <x:v>46320</x:v>
      </x:c>
      <x:c r="I345" s="87" t="n">
        <x:v>60</x:v>
      </x:c>
      <x:c r="J345" s="83" t="s">
        <x:v>543</x:v>
      </x:c>
      <x:c r="K345" s="83"/>
      <x:c r="L345" s="83" t="s">
        <x:v>395</x:v>
      </x:c>
      <x:c r="M345" s="83" t="n">
        <x:v>41</x:v>
      </x:c>
      <x:c r="N345" s="83" t="n">
        <x:v>29</x:v>
      </x:c>
      <x:c r="O345" s="85" t="n">
        <x:v>46274</x:v>
      </x:c>
      <x:c r="P345" s="89" t="str">
        <x:f aca="0">A345&amp;TEXT(COUNTIF($A$6:A345,A345),"00")</x:f>
        <x:v>P05704</x:v>
      </x:c>
      <x:c r="Q345" s="89" t="str">
        <x:f aca="0">IF(I345&lt;100,A345&amp;"O"&amp;COUNTIFS($A$6:A345,A345,$I$6:I345,"&lt;100"),"")</x:f>
        <x:v>P057O4</x:v>
      </x:c>
      <x:c r="R345" s="89" t="str">
        <x:f aca="0">IF(I345&lt;100,D345&amp;"O"&amp;COUNTIFS($D$6:D345,D345,$I$6:I345,"&lt;100"),"")</x:f>
        <x:v>PriyaO27</x:v>
      </x:c>
      <x:c r="S345" s="278" t="n">
        <x:f>IF(COUNTIF($B$6:$B$605,B345)&gt;1,1,0)</x:f>
        <x:v>0</x:v>
      </x:c>
    </x:row>
    <x:row r="346" ht="15" hidden="0">
      <x:c r="A346" s="83" t="s">
        <x:v>165</x:v>
      </x:c>
      <x:c r="B346" s="83" t="s">
        <x:v>888</x:v>
      </x:c>
      <x:c r="C346" s="83" t="s">
        <x:v>451</x:v>
      </x:c>
      <x:c r="D346" s="83" t="s">
        <x:v>434</x:v>
      </x:c>
      <x:c r="E346" s="83" t="s">
        <x:v>435</x:v>
      </x:c>
      <x:c r="F346" s="83" t="s">
        <x:v>557</x:v>
      </x:c>
      <x:c r="G346" s="85" t="n">
        <x:v>46316</x:v>
      </x:c>
      <x:c r="H346" s="85" t="n">
        <x:v>46340</x:v>
      </x:c>
      <x:c r="I346" s="87" t="n">
        <x:v>55</x:v>
      </x:c>
      <x:c r="J346" s="83" t="s">
        <x:v>543</x:v>
      </x:c>
      <x:c r="K346" s="83" t="s">
        <x:v>396</x:v>
      </x:c>
      <x:c r="L346" s="83" t="s">
        <x:v>395</x:v>
      </x:c>
      <x:c r="M346" s="83" t="n">
        <x:v>68</x:v>
      </x:c>
      <x:c r="N346" s="83" t="n">
        <x:v>58</x:v>
      </x:c>
      <x:c r="O346" s="85" t="n">
        <x:v>46274</x:v>
      </x:c>
      <x:c r="P346" s="89" t="str">
        <x:f aca="0">A346&amp;TEXT(COUNTIF($A$6:A346,A346),"00")</x:f>
        <x:v>P05705</x:v>
      </x:c>
      <x:c r="Q346" s="89" t="str">
        <x:f aca="0">IF(I346&lt;100,A346&amp;"O"&amp;COUNTIFS($A$6:A346,A346,$I$6:I346,"&lt;100"),"")</x:f>
        <x:v>P057O5</x:v>
      </x:c>
      <x:c r="R346" s="89" t="str">
        <x:f aca="0">IF(I346&lt;100,D346&amp;"O"&amp;COUNTIFS($D$6:D346,D346,$I$6:I346,"&lt;100"),"")</x:f>
        <x:v>RahulO26</x:v>
      </x:c>
      <x:c r="S346" s="278" t="n">
        <x:f>IF(COUNTIF($B$6:$B$605,B346)&gt;1,1,0)</x:f>
        <x:v>0</x:v>
      </x:c>
    </x:row>
    <x:row r="347" ht="15" hidden="0">
      <x:c r="A347" s="83" t="s">
        <x:v>165</x:v>
      </x:c>
      <x:c r="B347" s="83" t="s">
        <x:v>889</x:v>
      </x:c>
      <x:c r="C347" s="83" t="s">
        <x:v>454</x:v>
      </x:c>
      <x:c r="D347" s="83" t="s">
        <x:v>441</x:v>
      </x:c>
      <x:c r="E347" s="83" t="s">
        <x:v>442</x:v>
      </x:c>
      <x:c r="F347" s="83" t="s">
        <x:v>546</x:v>
      </x:c>
      <x:c r="G347" s="85" t="n">
        <x:v>46330</x:v>
      </x:c>
      <x:c r="H347" s="85" t="n">
        <x:v>46343</x:v>
      </x:c>
      <x:c r="I347" s="87" t="n">
        <x:v>49</x:v>
      </x:c>
      <x:c r="J347" s="83" t="s">
        <x:v>543</x:v>
      </x:c>
      <x:c r="K347" s="83" t="s">
        <x:v>396</x:v>
      </x:c>
      <x:c r="L347" s="83" t="s">
        <x:v>395</x:v>
      </x:c>
      <x:c r="M347" s="83" t="n">
        <x:v>84</x:v>
      </x:c>
      <x:c r="N347" s="83" t="n">
        <x:v>48</x:v>
      </x:c>
      <x:c r="O347" s="85" t="n">
        <x:v>46274</x:v>
      </x:c>
      <x:c r="P347" s="89" t="str">
        <x:f aca="0">A347&amp;TEXT(COUNTIF($A$6:A347,A347),"00")</x:f>
        <x:v>P05706</x:v>
      </x:c>
      <x:c r="Q347" s="89" t="str">
        <x:f aca="0">IF(I347&lt;100,A347&amp;"O"&amp;COUNTIFS($A$6:A347,A347,$I$6:I347,"&lt;100"),"")</x:f>
        <x:v>P057O6</x:v>
      </x:c>
      <x:c r="R347" s="89" t="str">
        <x:f aca="0">IF(I347&lt;100,D347&amp;"O"&amp;COUNTIFS($D$6:D347,D347,$I$6:I347,"&lt;100"),"")</x:f>
        <x:v>KaranO27</x:v>
      </x:c>
      <x:c r="S347" s="278" t="n">
        <x:f>IF(COUNTIF($B$6:$B$605,B347)&gt;1,1,0)</x:f>
        <x:v>0</x:v>
      </x:c>
    </x:row>
    <x:row r="348" ht="15" hidden="0">
      <x:c r="A348" s="83" t="s">
        <x:v>204</x:v>
      </x:c>
      <x:c r="B348" s="83" t="s">
        <x:v>890</x:v>
      </x:c>
      <x:c r="C348" s="83" t="s">
        <x:v>433</x:v>
      </x:c>
      <x:c r="D348" s="83" t="s">
        <x:v>462</x:v>
      </x:c>
      <x:c r="E348" s="83" t="s">
        <x:v>434</x:v>
      </x:c>
      <x:c r="F348" s="83" t="s">
        <x:v>493</x:v>
      </x:c>
      <x:c r="G348" s="85" t="n">
        <x:v>46261</x:v>
      </x:c>
      <x:c r="H348" s="85" t="n">
        <x:v>46271</x:v>
      </x:c>
      <x:c r="I348" s="87" t="n">
        <x:v>77</x:v>
      </x:c>
      <x:c r="J348" s="83" t="s">
        <x:v>543</x:v>
      </x:c>
      <x:c r="K348" s="83"/>
      <x:c r="L348" s="83" t="s">
        <x:v>395</x:v>
      </x:c>
      <x:c r="M348" s="83" t="n">
        <x:v>22</x:v>
      </x:c>
      <x:c r="N348" s="83" t="n">
        <x:v>45</x:v>
      </x:c>
      <x:c r="O348" s="85" t="n">
        <x:v>46274</x:v>
      </x:c>
      <x:c r="P348" s="89" t="str">
        <x:f aca="0">A348&amp;TEXT(COUNTIF($A$6:A348,A348),"00")</x:f>
        <x:v>P05801</x:v>
      </x:c>
      <x:c r="Q348" s="89" t="str">
        <x:f aca="0">IF(I348&lt;100,A348&amp;"O"&amp;COUNTIFS($A$6:A348,A348,$I$6:I348,"&lt;100"),"")</x:f>
        <x:v>P058O1</x:v>
      </x:c>
      <x:c r="R348" s="89" t="str">
        <x:f aca="0">IF(I348&lt;100,D348&amp;"O"&amp;COUNTIFS($D$6:D348,D348,$I$6:I348,"&lt;100"),"")</x:f>
        <x:v>DeepaO30</x:v>
      </x:c>
      <x:c r="S348" s="278" t="n">
        <x:f>IF(COUNTIF($B$6:$B$605,B348)&gt;1,1,0)</x:f>
        <x:v>0</x:v>
      </x:c>
    </x:row>
    <x:row r="349" ht="15" hidden="0">
      <x:c r="A349" s="83" t="s">
        <x:v>204</x:v>
      </x:c>
      <x:c r="B349" s="83" t="s">
        <x:v>891</x:v>
      </x:c>
      <x:c r="C349" s="83" t="s">
        <x:v>440</x:v>
      </x:c>
      <x:c r="D349" s="83" t="s">
        <x:v>360</x:v>
      </x:c>
      <x:c r="E349" s="83" t="s">
        <x:v>441</x:v>
      </x:c>
      <x:c r="F349" s="83" t="s">
        <x:v>493</x:v>
      </x:c>
      <x:c r="G349" s="85" t="n">
        <x:v>46275</x:v>
      </x:c>
      <x:c r="H349" s="85" t="n">
        <x:v>46287</x:v>
      </x:c>
      <x:c r="I349" s="87" t="n">
        <x:v>66</x:v>
      </x:c>
      <x:c r="J349" s="83" t="s">
        <x:v>543</x:v>
      </x:c>
      <x:c r="K349" s="83" t="s">
        <x:v>396</x:v>
      </x:c>
      <x:c r="L349" s="83" t="s">
        <x:v>395</x:v>
      </x:c>
      <x:c r="M349" s="83" t="n">
        <x:v>57</x:v>
      </x:c>
      <x:c r="N349" s="83" t="n">
        <x:v>53</x:v>
      </x:c>
      <x:c r="O349" s="85" t="n">
        <x:v>46274</x:v>
      </x:c>
      <x:c r="P349" s="89" t="str">
        <x:f aca="0">A349&amp;TEXT(COUNTIF($A$6:A349,A349),"00")</x:f>
        <x:v>P05802</x:v>
      </x:c>
      <x:c r="Q349" s="89" t="str">
        <x:f aca="0">IF(I349&lt;100,A349&amp;"O"&amp;COUNTIFS($A$6:A349,A349,$I$6:I349,"&lt;100"),"")</x:f>
        <x:v>P058O2</x:v>
      </x:c>
      <x:c r="R349" s="89" t="str">
        <x:f aca="0">IF(I349&lt;100,D349&amp;"O"&amp;COUNTIFS($D$6:D349,D349,$I$6:I349,"&lt;100"),"")</x:f>
        <x:v>AmitO29</x:v>
      </x:c>
      <x:c r="S349" s="278" t="n">
        <x:f>IF(COUNTIF($B$6:$B$605,B349)&gt;1,1,0)</x:f>
        <x:v>0</x:v>
      </x:c>
    </x:row>
    <x:row r="350" ht="15" hidden="0">
      <x:c r="A350" s="83" t="s">
        <x:v>204</x:v>
      </x:c>
      <x:c r="B350" s="83" t="s">
        <x:v>892</x:v>
      </x:c>
      <x:c r="C350" s="83" t="s">
        <x:v>444</x:v>
      </x:c>
      <x:c r="D350" s="83" t="s">
        <x:v>475</x:v>
      </x:c>
      <x:c r="E350" s="83" t="s">
        <x:v>445</x:v>
      </x:c>
      <x:c r="F350" s="83" t="s">
        <x:v>493</x:v>
      </x:c>
      <x:c r="G350" s="85" t="n">
        <x:v>46289</x:v>
      </x:c>
      <x:c r="H350" s="85" t="n">
        <x:v>46299</x:v>
      </x:c>
      <x:c r="I350" s="87" t="n">
        <x:v>62</x:v>
      </x:c>
      <x:c r="J350" s="83" t="s">
        <x:v>543</x:v>
      </x:c>
      <x:c r="K350" s="83"/>
      <x:c r="L350" s="83" t="s">
        <x:v>395</x:v>
      </x:c>
      <x:c r="M350" s="83" t="n">
        <x:v>49</x:v>
      </x:c>
      <x:c r="N350" s="83" t="n">
        <x:v>27</x:v>
      </x:c>
      <x:c r="O350" s="85" t="n">
        <x:v>46274</x:v>
      </x:c>
      <x:c r="P350" s="89" t="str">
        <x:f aca="0">A350&amp;TEXT(COUNTIF($A$6:A350,A350),"00")</x:f>
        <x:v>P05803</x:v>
      </x:c>
      <x:c r="Q350" s="89" t="str">
        <x:f aca="0">IF(I350&lt;100,A350&amp;"O"&amp;COUNTIFS($A$6:A350,A350,$I$6:I350,"&lt;100"),"")</x:f>
        <x:v>P058O3</x:v>
      </x:c>
      <x:c r="R350" s="89" t="str">
        <x:f aca="0">IF(I350&lt;100,D350&amp;"O"&amp;COUNTIFS($D$6:D350,D350,$I$6:I350,"&lt;100"),"")</x:f>
        <x:v>PriyaO28</x:v>
      </x:c>
      <x:c r="S350" s="278" t="n">
        <x:f>IF(COUNTIF($B$6:$B$605,B350)&gt;1,1,0)</x:f>
        <x:v>0</x:v>
      </x:c>
    </x:row>
    <x:row r="351" ht="15" hidden="0">
      <x:c r="A351" s="83" t="s">
        <x:v>204</x:v>
      </x:c>
      <x:c r="B351" s="83" t="s">
        <x:v>893</x:v>
      </x:c>
      <x:c r="C351" s="83" t="s">
        <x:v>448</x:v>
      </x:c>
      <x:c r="D351" s="83" t="s">
        <x:v>434</x:v>
      </x:c>
      <x:c r="E351" s="83" t="s">
        <x:v>435</x:v>
      </x:c>
      <x:c r="F351" s="83" t="s">
        <x:v>546</x:v>
      </x:c>
      <x:c r="G351" s="85" t="n">
        <x:v>46303</x:v>
      </x:c>
      <x:c r="H351" s="85" t="n">
        <x:v>46313</x:v>
      </x:c>
      <x:c r="I351" s="87" t="n">
        <x:v>63</x:v>
      </x:c>
      <x:c r="J351" s="83" t="s">
        <x:v>543</x:v>
      </x:c>
      <x:c r="K351" s="83" t="s">
        <x:v>396</x:v>
      </x:c>
      <x:c r="L351" s="83" t="s">
        <x:v>395</x:v>
      </x:c>
      <x:c r="M351" s="83" t="n">
        <x:v>80</x:v>
      </x:c>
      <x:c r="N351" s="83" t="n">
        <x:v>27</x:v>
      </x:c>
      <x:c r="O351" s="85" t="n">
        <x:v>46274</x:v>
      </x:c>
      <x:c r="P351" s="89" t="str">
        <x:f aca="0">A351&amp;TEXT(COUNTIF($A$6:A351,A351),"00")</x:f>
        <x:v>P05804</x:v>
      </x:c>
      <x:c r="Q351" s="89" t="str">
        <x:f aca="0">IF(I351&lt;100,A351&amp;"O"&amp;COUNTIFS($A$6:A351,A351,$I$6:I351,"&lt;100"),"")</x:f>
        <x:v>P058O4</x:v>
      </x:c>
      <x:c r="R351" s="89" t="str">
        <x:f aca="0">IF(I351&lt;100,D351&amp;"O"&amp;COUNTIFS($D$6:D351,D351,$I$6:I351,"&lt;100"),"")</x:f>
        <x:v>RahulO27</x:v>
      </x:c>
      <x:c r="S351" s="278" t="n">
        <x:f>IF(COUNTIF($B$6:$B$605,B351)&gt;1,1,0)</x:f>
        <x:v>0</x:v>
      </x:c>
    </x:row>
    <x:row r="352" ht="15" hidden="0">
      <x:c r="A352" s="83" t="s">
        <x:v>204</x:v>
      </x:c>
      <x:c r="B352" s="83" t="s">
        <x:v>894</x:v>
      </x:c>
      <x:c r="C352" s="83" t="s">
        <x:v>451</x:v>
      </x:c>
      <x:c r="D352" s="83" t="s">
        <x:v>441</x:v>
      </x:c>
      <x:c r="E352" s="83" t="s">
        <x:v>442</x:v>
      </x:c>
      <x:c r="F352" s="83" t="s">
        <x:v>546</x:v>
      </x:c>
      <x:c r="G352" s="85" t="n">
        <x:v>46317</x:v>
      </x:c>
      <x:c r="H352" s="85" t="n">
        <x:v>46336</x:v>
      </x:c>
      <x:c r="I352" s="87" t="n">
        <x:v>42</x:v>
      </x:c>
      <x:c r="J352" s="83" t="s">
        <x:v>543</x:v>
      </x:c>
      <x:c r="K352" s="83"/>
      <x:c r="L352" s="83" t="s">
        <x:v>395</x:v>
      </x:c>
      <x:c r="M352" s="83" t="n">
        <x:v>21</x:v>
      </x:c>
      <x:c r="N352" s="83" t="n">
        <x:v>102</x:v>
      </x:c>
      <x:c r="O352" s="85" t="n">
        <x:v>46274</x:v>
      </x:c>
      <x:c r="P352" s="89" t="str">
        <x:f aca="0">A352&amp;TEXT(COUNTIF($A$6:A352,A352),"00")</x:f>
        <x:v>P05805</x:v>
      </x:c>
      <x:c r="Q352" s="89" t="str">
        <x:f aca="0">IF(I352&lt;100,A352&amp;"O"&amp;COUNTIFS($A$6:A352,A352,$I$6:I352,"&lt;100"),"")</x:f>
        <x:v>P058O5</x:v>
      </x:c>
      <x:c r="R352" s="89" t="str">
        <x:f aca="0">IF(I352&lt;100,D352&amp;"O"&amp;COUNTIFS($D$6:D352,D352,$I$6:I352,"&lt;100"),"")</x:f>
        <x:v>KaranO28</x:v>
      </x:c>
      <x:c r="S352" s="278" t="n">
        <x:f>IF(COUNTIF($B$6:$B$605,B352)&gt;1,1,0)</x:f>
        <x:v>0</x:v>
      </x:c>
    </x:row>
    <x:row r="353" ht="15" hidden="0">
      <x:c r="A353" s="83" t="s">
        <x:v>204</x:v>
      </x:c>
      <x:c r="B353" s="83" t="s">
        <x:v>895</x:v>
      </x:c>
      <x:c r="C353" s="83" t="s">
        <x:v>454</x:v>
      </x:c>
      <x:c r="D353" s="83" t="s">
        <x:v>445</x:v>
      </x:c>
      <x:c r="E353" s="83" t="s">
        <x:v>446</x:v>
      </x:c>
      <x:c r="F353" s="83" t="s">
        <x:v>546</x:v>
      </x:c>
      <x:c r="G353" s="85" t="n">
        <x:v>46331</x:v>
      </x:c>
      <x:c r="H353" s="85" t="n">
        <x:v>46346</x:v>
      </x:c>
      <x:c r="I353" s="87" t="n">
        <x:v>49</x:v>
      </x:c>
      <x:c r="J353" s="83" t="s">
        <x:v>543</x:v>
      </x:c>
      <x:c r="K353" s="83" t="s">
        <x:v>396</x:v>
      </x:c>
      <x:c r="L353" s="83" t="s">
        <x:v>395</x:v>
      </x:c>
      <x:c r="M353" s="83" t="n">
        <x:v>22</x:v>
      </x:c>
      <x:c r="N353" s="83" t="n">
        <x:v>78</x:v>
      </x:c>
      <x:c r="O353" s="85" t="n">
        <x:v>46274</x:v>
      </x:c>
      <x:c r="P353" s="89" t="str">
        <x:f aca="0">A353&amp;TEXT(COUNTIF($A$6:A353,A353),"00")</x:f>
        <x:v>P05806</x:v>
      </x:c>
      <x:c r="Q353" s="89" t="str">
        <x:f aca="0">IF(I353&lt;100,A353&amp;"O"&amp;COUNTIFS($A$6:A353,A353,$I$6:I353,"&lt;100"),"")</x:f>
        <x:v>P058O6</x:v>
      </x:c>
      <x:c r="R353" s="89" t="str">
        <x:f aca="0">IF(I353&lt;100,D353&amp;"O"&amp;COUNTIFS($D$6:D353,D353,$I$6:I353,"&lt;100"),"")</x:f>
        <x:v>MeeraO28</x:v>
      </x:c>
      <x:c r="S353" s="278" t="n">
        <x:f>IF(COUNTIF($B$6:$B$605,B353)&gt;1,1,0)</x:f>
        <x:v>0</x:v>
      </x:c>
    </x:row>
    <x:row r="354" ht="15" hidden="0">
      <x:c r="A354" s="83" t="s">
        <x:v>115</x:v>
      </x:c>
      <x:c r="B354" s="83" t="s">
        <x:v>896</x:v>
      </x:c>
      <x:c r="C354" s="83" t="s">
        <x:v>433</x:v>
      </x:c>
      <x:c r="D354" s="83" t="s">
        <x:v>360</x:v>
      </x:c>
      <x:c r="E354" s="83" t="s">
        <x:v>441</x:v>
      </x:c>
      <x:c r="F354" s="83" t="s">
        <x:v>546</x:v>
      </x:c>
      <x:c r="G354" s="85" t="n">
        <x:v>46262</x:v>
      </x:c>
      <x:c r="H354" s="85" t="n">
        <x:v>46278</x:v>
      </x:c>
      <x:c r="I354" s="87" t="n">
        <x:v>56</x:v>
      </x:c>
      <x:c r="J354" s="83" t="s">
        <x:v>543</x:v>
      </x:c>
      <x:c r="K354" s="83"/>
      <x:c r="L354" s="83" t="s">
        <x:v>395</x:v>
      </x:c>
      <x:c r="M354" s="83" t="n">
        <x:v>48</x:v>
      </x:c>
      <x:c r="N354" s="83" t="n">
        <x:v>100</x:v>
      </x:c>
      <x:c r="O354" s="85" t="n">
        <x:v>46274</x:v>
      </x:c>
      <x:c r="P354" s="89" t="str">
        <x:f aca="0">A354&amp;TEXT(COUNTIF($A$6:A354,A354),"00")</x:f>
        <x:v>P05901</x:v>
      </x:c>
      <x:c r="Q354" s="89" t="str">
        <x:f aca="0">IF(I354&lt;100,A354&amp;"O"&amp;COUNTIFS($A$6:A354,A354,$I$6:I354,"&lt;100"),"")</x:f>
        <x:v>P059O1</x:v>
      </x:c>
      <x:c r="R354" s="89" t="str">
        <x:f aca="0">IF(I354&lt;100,D354&amp;"O"&amp;COUNTIFS($D$6:D354,D354,$I$6:I354,"&lt;100"),"")</x:f>
        <x:v>AmitO30</x:v>
      </x:c>
      <x:c r="S354" s="278" t="n">
        <x:f>IF(COUNTIF($B$6:$B$605,B354)&gt;1,1,0)</x:f>
        <x:v>0</x:v>
      </x:c>
    </x:row>
    <x:row r="355" ht="15" hidden="0">
      <x:c r="A355" s="83" t="s">
        <x:v>115</x:v>
      </x:c>
      <x:c r="B355" s="83" t="s">
        <x:v>897</x:v>
      </x:c>
      <x:c r="C355" s="83" t="s">
        <x:v>440</x:v>
      </x:c>
      <x:c r="D355" s="83" t="s">
        <x:v>475</x:v>
      </x:c>
      <x:c r="E355" s="83" t="s">
        <x:v>445</x:v>
      </x:c>
      <x:c r="F355" s="83" t="s">
        <x:v>493</x:v>
      </x:c>
      <x:c r="G355" s="85" t="n">
        <x:v>46276</x:v>
      </x:c>
      <x:c r="H355" s="85" t="n">
        <x:v>46294</x:v>
      </x:c>
      <x:c r="I355" s="87" t="n">
        <x:v>27</x:v>
      </x:c>
      <x:c r="J355" s="83" t="s">
        <x:v>543</x:v>
      </x:c>
      <x:c r="K355" s="83"/>
      <x:c r="L355" s="83" t="s">
        <x:v>395</x:v>
      </x:c>
      <x:c r="M355" s="83" t="n">
        <x:v>43</x:v>
      </x:c>
      <x:c r="N355" s="83" t="n">
        <x:v>35</x:v>
      </x:c>
      <x:c r="O355" s="85" t="n">
        <x:v>46274</x:v>
      </x:c>
      <x:c r="P355" s="89" t="str">
        <x:f aca="0">A355&amp;TEXT(COUNTIF($A$6:A355,A355),"00")</x:f>
        <x:v>P05902</x:v>
      </x:c>
      <x:c r="Q355" s="89" t="str">
        <x:f aca="0">IF(I355&lt;100,A355&amp;"O"&amp;COUNTIFS($A$6:A355,A355,$I$6:I355,"&lt;100"),"")</x:f>
        <x:v>P059O2</x:v>
      </x:c>
      <x:c r="R355" s="89" t="str">
        <x:f aca="0">IF(I355&lt;100,D355&amp;"O"&amp;COUNTIFS($D$6:D355,D355,$I$6:I355,"&lt;100"),"")</x:f>
        <x:v>PriyaO29</x:v>
      </x:c>
      <x:c r="S355" s="278" t="n">
        <x:f>IF(COUNTIF($B$6:$B$605,B355)&gt;1,1,0)</x:f>
        <x:v>0</x:v>
      </x:c>
    </x:row>
    <x:row r="356" ht="15" hidden="0">
      <x:c r="A356" s="83" t="s">
        <x:v>115</x:v>
      </x:c>
      <x:c r="B356" s="83" t="s">
        <x:v>898</x:v>
      </x:c>
      <x:c r="C356" s="83" t="s">
        <x:v>444</x:v>
      </x:c>
      <x:c r="D356" s="83" t="s">
        <x:v>434</x:v>
      </x:c>
      <x:c r="E356" s="83" t="s">
        <x:v>435</x:v>
      </x:c>
      <x:c r="F356" s="83" t="s">
        <x:v>546</x:v>
      </x:c>
      <x:c r="G356" s="85" t="n">
        <x:v>46290</x:v>
      </x:c>
      <x:c r="H356" s="85" t="n">
        <x:v>46303</x:v>
      </x:c>
      <x:c r="I356" s="87" t="n">
        <x:v>54</x:v>
      </x:c>
      <x:c r="J356" s="83" t="s">
        <x:v>543</x:v>
      </x:c>
      <x:c r="K356" s="83"/>
      <x:c r="L356" s="83" t="s">
        <x:v>395</x:v>
      </x:c>
      <x:c r="M356" s="83" t="n">
        <x:v>28</x:v>
      </x:c>
      <x:c r="N356" s="83" t="n">
        <x:v>96</x:v>
      </x:c>
      <x:c r="O356" s="85" t="n">
        <x:v>46274</x:v>
      </x:c>
      <x:c r="P356" s="89" t="str">
        <x:f aca="0">A356&amp;TEXT(COUNTIF($A$6:A356,A356),"00")</x:f>
        <x:v>P05903</x:v>
      </x:c>
      <x:c r="Q356" s="89" t="str">
        <x:f aca="0">IF(I356&lt;100,A356&amp;"O"&amp;COUNTIFS($A$6:A356,A356,$I$6:I356,"&lt;100"),"")</x:f>
        <x:v>P059O3</x:v>
      </x:c>
      <x:c r="R356" s="89" t="str">
        <x:f aca="0">IF(I356&lt;100,D356&amp;"O"&amp;COUNTIFS($D$6:D356,D356,$I$6:I356,"&lt;100"),"")</x:f>
        <x:v>RahulO28</x:v>
      </x:c>
      <x:c r="S356" s="278" t="n">
        <x:f>IF(COUNTIF($B$6:$B$605,B356)&gt;1,1,0)</x:f>
        <x:v>0</x:v>
      </x:c>
    </x:row>
    <x:row r="357" ht="15" hidden="0">
      <x:c r="A357" s="83" t="s">
        <x:v>115</x:v>
      </x:c>
      <x:c r="B357" s="83" t="s">
        <x:v>899</x:v>
      </x:c>
      <x:c r="C357" s="83" t="s">
        <x:v>448</x:v>
      </x:c>
      <x:c r="D357" s="83" t="s">
        <x:v>441</x:v>
      </x:c>
      <x:c r="E357" s="83" t="s">
        <x:v>442</x:v>
      </x:c>
      <x:c r="F357" s="83" t="s">
        <x:v>557</x:v>
      </x:c>
      <x:c r="G357" s="85" t="n">
        <x:v>46304</x:v>
      </x:c>
      <x:c r="H357" s="85" t="n">
        <x:v>46327</x:v>
      </x:c>
      <x:c r="I357" s="87" t="n">
        <x:v>41</x:v>
      </x:c>
      <x:c r="J357" s="83" t="s">
        <x:v>586</x:v>
      </x:c>
      <x:c r="K357" s="83" t="s">
        <x:v>413</x:v>
      </x:c>
      <x:c r="L357" s="83" t="s">
        <x:v>412</x:v>
      </x:c>
      <x:c r="M357" s="83" t="n">
        <x:v>30</x:v>
      </x:c>
      <x:c r="N357" s="83" t="n">
        <x:v>69</x:v>
      </x:c>
      <x:c r="O357" s="85" t="n">
        <x:v>46274</x:v>
      </x:c>
      <x:c r="P357" s="89" t="str">
        <x:f aca="0">A357&amp;TEXT(COUNTIF($A$6:A357,A357),"00")</x:f>
        <x:v>P05904</x:v>
      </x:c>
      <x:c r="Q357" s="89" t="str">
        <x:f aca="0">IF(I357&lt;100,A357&amp;"O"&amp;COUNTIFS($A$6:A357,A357,$I$6:I357,"&lt;100"),"")</x:f>
        <x:v>P059O4</x:v>
      </x:c>
      <x:c r="R357" s="89" t="str">
        <x:f aca="0">IF(I357&lt;100,D357&amp;"O"&amp;COUNTIFS($D$6:D357,D357,$I$6:I357,"&lt;100"),"")</x:f>
        <x:v>KaranO29</x:v>
      </x:c>
      <x:c r="S357" s="278" t="n">
        <x:f>IF(COUNTIF($B$6:$B$605,B357)&gt;1,1,0)</x:f>
        <x:v>0</x:v>
      </x:c>
    </x:row>
    <x:row r="358" ht="15" hidden="0">
      <x:c r="A358" s="83" t="s">
        <x:v>115</x:v>
      </x:c>
      <x:c r="B358" s="83" t="s">
        <x:v>900</x:v>
      </x:c>
      <x:c r="C358" s="83" t="s">
        <x:v>451</x:v>
      </x:c>
      <x:c r="D358" s="83" t="s">
        <x:v>445</x:v>
      </x:c>
      <x:c r="E358" s="83" t="s">
        <x:v>446</x:v>
      </x:c>
      <x:c r="F358" s="83" t="s">
        <x:v>550</x:v>
      </x:c>
      <x:c r="G358" s="85" t="n">
        <x:v>46318</x:v>
      </x:c>
      <x:c r="H358" s="85" t="n">
        <x:v>46329</x:v>
      </x:c>
      <x:c r="I358" s="87" t="n">
        <x:v>35</x:v>
      </x:c>
      <x:c r="J358" s="83" t="s">
        <x:v>586</x:v>
      </x:c>
      <x:c r="K358" s="83" t="s">
        <x:v>413</x:v>
      </x:c>
      <x:c r="L358" s="83" t="s">
        <x:v>412</x:v>
      </x:c>
      <x:c r="M358" s="83" t="n">
        <x:v>58</x:v>
      </x:c>
      <x:c r="N358" s="83" t="n">
        <x:v>89</x:v>
      </x:c>
      <x:c r="O358" s="85" t="n">
        <x:v>46274</x:v>
      </x:c>
      <x:c r="P358" s="89" t="str">
        <x:f aca="0">A358&amp;TEXT(COUNTIF($A$6:A358,A358),"00")</x:f>
        <x:v>P05905</x:v>
      </x:c>
      <x:c r="Q358" s="89" t="str">
        <x:f aca="0">IF(I358&lt;100,A358&amp;"O"&amp;COUNTIFS($A$6:A358,A358,$I$6:I358,"&lt;100"),"")</x:f>
        <x:v>P059O5</x:v>
      </x:c>
      <x:c r="R358" s="89" t="str">
        <x:f aca="0">IF(I358&lt;100,D358&amp;"O"&amp;COUNTIFS($D$6:D358,D358,$I$6:I358,"&lt;100"),"")</x:f>
        <x:v>MeeraO29</x:v>
      </x:c>
      <x:c r="S358" s="278" t="n">
        <x:f>IF(COUNTIF($B$6:$B$605,B358)&gt;1,1,0)</x:f>
        <x:v>0</x:v>
      </x:c>
    </x:row>
    <x:row r="359" ht="15" hidden="0">
      <x:c r="A359" s="83" t="s">
        <x:v>115</x:v>
      </x:c>
      <x:c r="B359" s="83" t="s">
        <x:v>901</x:v>
      </x:c>
      <x:c r="C359" s="83" t="s">
        <x:v>454</x:v>
      </x:c>
      <x:c r="D359" s="83" t="s">
        <x:v>435</x:v>
      </x:c>
      <x:c r="E359" s="83" t="s">
        <x:v>449</x:v>
      </x:c>
      <x:c r="F359" s="83" t="s">
        <x:v>546</x:v>
      </x:c>
      <x:c r="G359" s="85" t="n">
        <x:v>46332</x:v>
      </x:c>
      <x:c r="H359" s="85" t="n">
        <x:v>46347</x:v>
      </x:c>
      <x:c r="I359" s="87" t="n">
        <x:v>44</x:v>
      </x:c>
      <x:c r="J359" s="83" t="s">
        <x:v>586</x:v>
      </x:c>
      <x:c r="K359" s="83" t="s">
        <x:v>413</x:v>
      </x:c>
      <x:c r="L359" s="83" t="s">
        <x:v>412</x:v>
      </x:c>
      <x:c r="M359" s="83" t="n">
        <x:v>26</x:v>
      </x:c>
      <x:c r="N359" s="83" t="n">
        <x:v>16</x:v>
      </x:c>
      <x:c r="O359" s="85" t="n">
        <x:v>46274</x:v>
      </x:c>
      <x:c r="P359" s="89" t="str">
        <x:f aca="0">A359&amp;TEXT(COUNTIF($A$6:A359,A359),"00")</x:f>
        <x:v>P05906</x:v>
      </x:c>
      <x:c r="Q359" s="89" t="str">
        <x:f aca="0">IF(I359&lt;100,A359&amp;"O"&amp;COUNTIFS($A$6:A359,A359,$I$6:I359,"&lt;100"),"")</x:f>
        <x:v>P059O6</x:v>
      </x:c>
      <x:c r="R359" s="89" t="str">
        <x:f aca="0">IF(I359&lt;100,D359&amp;"O"&amp;COUNTIFS($D$6:D359,D359,$I$6:I359,"&lt;100"),"")</x:f>
        <x:v>VivekO29</x:v>
      </x:c>
      <x:c r="S359" s="278" t="n">
        <x:f>IF(COUNTIF($B$6:$B$605,B359)&gt;1,1,0)</x:f>
        <x:v>0</x:v>
      </x:c>
    </x:row>
    <x:row r="360" ht="15" hidden="0">
      <x:c r="A360" s="83" t="s">
        <x:v>212</x:v>
      </x:c>
      <x:c r="B360" s="83" t="s">
        <x:v>902</x:v>
      </x:c>
      <x:c r="C360" s="83" t="s">
        <x:v>433</x:v>
      </x:c>
      <x:c r="D360" s="83" t="s">
        <x:v>475</x:v>
      </x:c>
      <x:c r="E360" s="83" t="s">
        <x:v>445</x:v>
      </x:c>
      <x:c r="F360" s="83" t="s">
        <x:v>493</x:v>
      </x:c>
      <x:c r="G360" s="85" t="n">
        <x:v>46263</x:v>
      </x:c>
      <x:c r="H360" s="85" t="n">
        <x:v>46286</x:v>
      </x:c>
      <x:c r="I360" s="87" t="n">
        <x:v>15</x:v>
      </x:c>
      <x:c r="J360" s="83" t="s">
        <x:v>543</x:v>
      </x:c>
      <x:c r="K360" s="83"/>
      <x:c r="L360" s="83" t="s">
        <x:v>395</x:v>
      </x:c>
      <x:c r="M360" s="83" t="n">
        <x:v>48</x:v>
      </x:c>
      <x:c r="N360" s="83" t="n">
        <x:v>41</x:v>
      </x:c>
      <x:c r="O360" s="85" t="n">
        <x:v>46274</x:v>
      </x:c>
      <x:c r="P360" s="89" t="str">
        <x:f aca="0">A360&amp;TEXT(COUNTIF($A$6:A360,A360),"00")</x:f>
        <x:v>P06001</x:v>
      </x:c>
      <x:c r="Q360" s="89" t="str">
        <x:f aca="0">IF(I360&lt;100,A360&amp;"O"&amp;COUNTIFS($A$6:A360,A360,$I$6:I360,"&lt;100"),"")</x:f>
        <x:v>P060O1</x:v>
      </x:c>
      <x:c r="R360" s="89" t="str">
        <x:f aca="0">IF(I360&lt;100,D360&amp;"O"&amp;COUNTIFS($D$6:D360,D360,$I$6:I360,"&lt;100"),"")</x:f>
        <x:v>PriyaO30</x:v>
      </x:c>
      <x:c r="S360" s="278" t="n">
        <x:f>IF(COUNTIF($B$6:$B$605,B360)&gt;1,1,0)</x:f>
        <x:v>0</x:v>
      </x:c>
    </x:row>
    <x:row r="361" ht="15" hidden="0">
      <x:c r="A361" s="83" t="s">
        <x:v>212</x:v>
      </x:c>
      <x:c r="B361" s="83" t="s">
        <x:v>903</x:v>
      </x:c>
      <x:c r="C361" s="83" t="s">
        <x:v>440</x:v>
      </x:c>
      <x:c r="D361" s="83" t="s">
        <x:v>434</x:v>
      </x:c>
      <x:c r="E361" s="83" t="s">
        <x:v>435</x:v>
      </x:c>
      <x:c r="F361" s="83" t="s">
        <x:v>557</x:v>
      </x:c>
      <x:c r="G361" s="85" t="n">
        <x:v>46277</x:v>
      </x:c>
      <x:c r="H361" s="85" t="n">
        <x:v>46288</x:v>
      </x:c>
      <x:c r="I361" s="87" t="n">
        <x:v>38</x:v>
      </x:c>
      <x:c r="J361" s="83" t="s">
        <x:v>543</x:v>
      </x:c>
      <x:c r="K361" s="83" t="s">
        <x:v>396</x:v>
      </x:c>
      <x:c r="L361" s="83" t="s">
        <x:v>395</x:v>
      </x:c>
      <x:c r="M361" s="83" t="n">
        <x:v>36</x:v>
      </x:c>
      <x:c r="N361" s="83" t="n">
        <x:v>17</x:v>
      </x:c>
      <x:c r="O361" s="85" t="n">
        <x:v>46274</x:v>
      </x:c>
      <x:c r="P361" s="89" t="str">
        <x:f aca="0">A361&amp;TEXT(COUNTIF($A$6:A361,A361),"00")</x:f>
        <x:v>P06002</x:v>
      </x:c>
      <x:c r="Q361" s="89" t="str">
        <x:f aca="0">IF(I361&lt;100,A361&amp;"O"&amp;COUNTIFS($A$6:A361,A361,$I$6:I361,"&lt;100"),"")</x:f>
        <x:v>P060O2</x:v>
      </x:c>
      <x:c r="R361" s="89" t="str">
        <x:f aca="0">IF(I361&lt;100,D361&amp;"O"&amp;COUNTIFS($D$6:D361,D361,$I$6:I361,"&lt;100"),"")</x:f>
        <x:v>RahulO29</x:v>
      </x:c>
      <x:c r="S361" s="278" t="n">
        <x:f>IF(COUNTIF($B$6:$B$605,B361)&gt;1,1,0)</x:f>
        <x:v>0</x:v>
      </x:c>
    </x:row>
    <x:row r="362" ht="15" hidden="0">
      <x:c r="A362" s="83" t="s">
        <x:v>212</x:v>
      </x:c>
      <x:c r="B362" s="83" t="s">
        <x:v>904</x:v>
      </x:c>
      <x:c r="C362" s="83" t="s">
        <x:v>444</x:v>
      </x:c>
      <x:c r="D362" s="83" t="s">
        <x:v>441</x:v>
      </x:c>
      <x:c r="E362" s="83" t="s">
        <x:v>442</x:v>
      </x:c>
      <x:c r="F362" s="83" t="s">
        <x:v>493</x:v>
      </x:c>
      <x:c r="G362" s="85" t="n">
        <x:v>46291</x:v>
      </x:c>
      <x:c r="H362" s="85" t="n">
        <x:v>46302</x:v>
      </x:c>
      <x:c r="I362" s="87" t="n">
        <x:v>15</x:v>
      </x:c>
      <x:c r="J362" s="83" t="s">
        <x:v>543</x:v>
      </x:c>
      <x:c r="K362" s="83"/>
      <x:c r="L362" s="83" t="s">
        <x:v>395</x:v>
      </x:c>
      <x:c r="M362" s="83" t="n">
        <x:v>91</x:v>
      </x:c>
      <x:c r="N362" s="83" t="n">
        <x:v>95</x:v>
      </x:c>
      <x:c r="O362" s="85" t="n">
        <x:v>46274</x:v>
      </x:c>
      <x:c r="P362" s="89" t="str">
        <x:f aca="0">A362&amp;TEXT(COUNTIF($A$6:A362,A362),"00")</x:f>
        <x:v>P06003</x:v>
      </x:c>
      <x:c r="Q362" s="89" t="str">
        <x:f aca="0">IF(I362&lt;100,A362&amp;"O"&amp;COUNTIFS($A$6:A362,A362,$I$6:I362,"&lt;100"),"")</x:f>
        <x:v>P060O3</x:v>
      </x:c>
      <x:c r="R362" s="89" t="str">
        <x:f aca="0">IF(I362&lt;100,D362&amp;"O"&amp;COUNTIFS($D$6:D362,D362,$I$6:I362,"&lt;100"),"")</x:f>
        <x:v>KaranO30</x:v>
      </x:c>
      <x:c r="S362" s="278" t="n">
        <x:f>IF(COUNTIF($B$6:$B$605,B362)&gt;1,1,0)</x:f>
        <x:v>0</x:v>
      </x:c>
    </x:row>
    <x:row r="363" ht="15" hidden="0">
      <x:c r="A363" s="83" t="s">
        <x:v>212</x:v>
      </x:c>
      <x:c r="B363" s="83" t="s">
        <x:v>905</x:v>
      </x:c>
      <x:c r="C363" s="83" t="s">
        <x:v>448</x:v>
      </x:c>
      <x:c r="D363" s="83" t="s">
        <x:v>445</x:v>
      </x:c>
      <x:c r="E363" s="83" t="s">
        <x:v>446</x:v>
      </x:c>
      <x:c r="F363" s="83" t="s">
        <x:v>546</x:v>
      </x:c>
      <x:c r="G363" s="85" t="n">
        <x:v>46305</x:v>
      </x:c>
      <x:c r="H363" s="85" t="n">
        <x:v>46325</x:v>
      </x:c>
      <x:c r="I363" s="87" t="n">
        <x:v>16</x:v>
      </x:c>
      <x:c r="J363" s="83" t="s">
        <x:v>543</x:v>
      </x:c>
      <x:c r="K363" s="83"/>
      <x:c r="L363" s="83" t="s">
        <x:v>395</x:v>
      </x:c>
      <x:c r="M363" s="83" t="n">
        <x:v>31</x:v>
      </x:c>
      <x:c r="N363" s="83" t="n">
        <x:v>104</x:v>
      </x:c>
      <x:c r="O363" s="85" t="n">
        <x:v>46274</x:v>
      </x:c>
      <x:c r="P363" s="89" t="str">
        <x:f aca="0">A363&amp;TEXT(COUNTIF($A$6:A363,A363),"00")</x:f>
        <x:v>P06004</x:v>
      </x:c>
      <x:c r="Q363" s="89" t="str">
        <x:f aca="0">IF(I363&lt;100,A363&amp;"O"&amp;COUNTIFS($A$6:A363,A363,$I$6:I363,"&lt;100"),"")</x:f>
        <x:v>P060O4</x:v>
      </x:c>
      <x:c r="R363" s="89" t="str">
        <x:f aca="0">IF(I363&lt;100,D363&amp;"O"&amp;COUNTIFS($D$6:D363,D363,$I$6:I363,"&lt;100"),"")</x:f>
        <x:v>MeeraO30</x:v>
      </x:c>
      <x:c r="S363" s="278" t="n">
        <x:f>IF(COUNTIF($B$6:$B$605,B363)&gt;1,1,0)</x:f>
        <x:v>0</x:v>
      </x:c>
    </x:row>
    <x:row r="364" ht="15" hidden="0">
      <x:c r="A364" s="83" t="s">
        <x:v>212</x:v>
      </x:c>
      <x:c r="B364" s="83" t="s">
        <x:v>906</x:v>
      </x:c>
      <x:c r="C364" s="83" t="s">
        <x:v>451</x:v>
      </x:c>
      <x:c r="D364" s="83" t="s">
        <x:v>435</x:v>
      </x:c>
      <x:c r="E364" s="83" t="s">
        <x:v>449</x:v>
      </x:c>
      <x:c r="F364" s="83" t="s">
        <x:v>550</x:v>
      </x:c>
      <x:c r="G364" s="85" t="n">
        <x:v>46319</x:v>
      </x:c>
      <x:c r="H364" s="85" t="n">
        <x:v>46338</x:v>
      </x:c>
      <x:c r="I364" s="87" t="n">
        <x:v>15</x:v>
      </x:c>
      <x:c r="J364" s="83" t="s">
        <x:v>543</x:v>
      </x:c>
      <x:c r="K364" s="83"/>
      <x:c r="L364" s="83" t="s">
        <x:v>395</x:v>
      </x:c>
      <x:c r="M364" s="83" t="n">
        <x:v>76</x:v>
      </x:c>
      <x:c r="N364" s="83" t="n">
        <x:v>43</x:v>
      </x:c>
      <x:c r="O364" s="85" t="n">
        <x:v>46274</x:v>
      </x:c>
      <x:c r="P364" s="89" t="str">
        <x:f aca="0">A364&amp;TEXT(COUNTIF($A$6:A364,A364),"00")</x:f>
        <x:v>P06005</x:v>
      </x:c>
      <x:c r="Q364" s="89" t="str">
        <x:f aca="0">IF(I364&lt;100,A364&amp;"O"&amp;COUNTIFS($A$6:A364,A364,$I$6:I364,"&lt;100"),"")</x:f>
        <x:v>P060O5</x:v>
      </x:c>
      <x:c r="R364" s="89" t="str">
        <x:f aca="0">IF(I364&lt;100,D364&amp;"O"&amp;COUNTIFS($D$6:D364,D364,$I$6:I364,"&lt;100"),"")</x:f>
        <x:v>VivekO30</x:v>
      </x:c>
      <x:c r="S364" s="278" t="n">
        <x:f>IF(COUNTIF($B$6:$B$605,B364)&gt;1,1,0)</x:f>
        <x:v>0</x:v>
      </x:c>
    </x:row>
    <x:row r="365" ht="15" hidden="0">
      <x:c r="A365" s="83" t="s">
        <x:v>212</x:v>
      </x:c>
      <x:c r="B365" s="83" t="s">
        <x:v>907</x:v>
      </x:c>
      <x:c r="C365" s="83" t="s">
        <x:v>454</x:v>
      </x:c>
      <x:c r="D365" s="83" t="s">
        <x:v>442</x:v>
      </x:c>
      <x:c r="E365" s="83" t="s">
        <x:v>452</x:v>
      </x:c>
      <x:c r="F365" s="83" t="s">
        <x:v>557</x:v>
      </x:c>
      <x:c r="G365" s="85" t="n">
        <x:v>46333</x:v>
      </x:c>
      <x:c r="H365" s="85" t="n">
        <x:v>46346</x:v>
      </x:c>
      <x:c r="I365" s="87" t="n">
        <x:v>27</x:v>
      </x:c>
      <x:c r="J365" s="83" t="s">
        <x:v>543</x:v>
      </x:c>
      <x:c r="K365" s="83"/>
      <x:c r="L365" s="83" t="s">
        <x:v>395</x:v>
      </x:c>
      <x:c r="M365" s="83" t="n">
        <x:v>58</x:v>
      </x:c>
      <x:c r="N365" s="83" t="n">
        <x:v>100</x:v>
      </x:c>
      <x:c r="O365" s="85" t="n">
        <x:v>46274</x:v>
      </x:c>
      <x:c r="P365" s="89" t="str">
        <x:f aca="0">A365&amp;TEXT(COUNTIF($A$6:A365,A365),"00")</x:f>
        <x:v>P06006</x:v>
      </x:c>
      <x:c r="Q365" s="89" t="str">
        <x:f aca="0">IF(I365&lt;100,A365&amp;"O"&amp;COUNTIFS($A$6:A365,A365,$I$6:I365,"&lt;100"),"")</x:f>
        <x:v>P060O6</x:v>
      </x:c>
      <x:c r="R365" s="89" t="str">
        <x:f aca="0">IF(I365&lt;100,D365&amp;"O"&amp;COUNTIFS($D$6:D365,D365,$I$6:I365,"&lt;100"),"")</x:f>
        <x:v>RituO29</x:v>
      </x:c>
      <x:c r="S365" s="278" t="n">
        <x:f>IF(COUNTIF($B$6:$B$605,B365)&gt;1,1,0)</x:f>
        <x:v>0</x:v>
      </x:c>
    </x:row>
    <x:row r="366" ht="15" hidden="0">
      <x:c r="A366" s="83" t="s">
        <x:v>189</x:v>
      </x:c>
      <x:c r="B366" s="83" t="s">
        <x:v>908</x:v>
      </x:c>
      <x:c r="C366" s="83" t="s">
        <x:v>433</x:v>
      </x:c>
      <x:c r="D366" s="83" t="s">
        <x:v>434</x:v>
      </x:c>
      <x:c r="E366" s="83" t="s">
        <x:v>435</x:v>
      </x:c>
      <x:c r="F366" s="83" t="s">
        <x:v>550</x:v>
      </x:c>
      <x:c r="G366" s="85" t="n">
        <x:v>46264</x:v>
      </x:c>
      <x:c r="H366" s="85" t="n">
        <x:v>46277</x:v>
      </x:c>
      <x:c r="I366" s="87" t="n">
        <x:v>28</x:v>
      </x:c>
      <x:c r="J366" s="83" t="s">
        <x:v>543</x:v>
      </x:c>
      <x:c r="K366" s="83"/>
      <x:c r="L366" s="83" t="s">
        <x:v>395</x:v>
      </x:c>
      <x:c r="M366" s="83" t="n">
        <x:v>22</x:v>
      </x:c>
      <x:c r="N366" s="83" t="n">
        <x:v>28</x:v>
      </x:c>
      <x:c r="O366" s="85" t="n">
        <x:v>46274</x:v>
      </x:c>
      <x:c r="P366" s="89" t="str">
        <x:f aca="0">A366&amp;TEXT(COUNTIF($A$6:A366,A366),"00")</x:f>
        <x:v>P06101</x:v>
      </x:c>
      <x:c r="Q366" s="89" t="str">
        <x:f aca="0">IF(I366&lt;100,A366&amp;"O"&amp;COUNTIFS($A$6:A366,A366,$I$6:I366,"&lt;100"),"")</x:f>
        <x:v>P061O1</x:v>
      </x:c>
      <x:c r="R366" s="89" t="str">
        <x:f aca="0">IF(I366&lt;100,D366&amp;"O"&amp;COUNTIFS($D$6:D366,D366,$I$6:I366,"&lt;100"),"")</x:f>
        <x:v>RahulO30</x:v>
      </x:c>
      <x:c r="S366" s="278" t="n">
        <x:f>IF(COUNTIF($B$6:$B$605,B366)&gt;1,1,0)</x:f>
        <x:v>0</x:v>
      </x:c>
    </x:row>
    <x:row r="367" ht="15" hidden="0">
      <x:c r="A367" s="83" t="s">
        <x:v>189</x:v>
      </x:c>
      <x:c r="B367" s="83" t="s">
        <x:v>909</x:v>
      </x:c>
      <x:c r="C367" s="83" t="s">
        <x:v>440</x:v>
      </x:c>
      <x:c r="D367" s="83" t="s">
        <x:v>441</x:v>
      </x:c>
      <x:c r="E367" s="83" t="s">
        <x:v>442</x:v>
      </x:c>
      <x:c r="F367" s="83" t="s">
        <x:v>550</x:v>
      </x:c>
      <x:c r="G367" s="85" t="n">
        <x:v>46278</x:v>
      </x:c>
      <x:c r="H367" s="85" t="n">
        <x:v>46299</x:v>
      </x:c>
      <x:c r="I367" s="87" t="n">
        <x:v>42</x:v>
      </x:c>
      <x:c r="J367" s="83" t="s">
        <x:v>543</x:v>
      </x:c>
      <x:c r="K367" s="83"/>
      <x:c r="L367" s="83" t="s">
        <x:v>395</x:v>
      </x:c>
      <x:c r="M367" s="83" t="n">
        <x:v>36</x:v>
      </x:c>
      <x:c r="N367" s="83" t="n">
        <x:v>77</x:v>
      </x:c>
      <x:c r="O367" s="85" t="n">
        <x:v>46274</x:v>
      </x:c>
      <x:c r="P367" s="89" t="str">
        <x:f aca="0">A367&amp;TEXT(COUNTIF($A$6:A367,A367),"00")</x:f>
        <x:v>P06102</x:v>
      </x:c>
      <x:c r="Q367" s="89" t="str">
        <x:f aca="0">IF(I367&lt;100,A367&amp;"O"&amp;COUNTIFS($A$6:A367,A367,$I$6:I367,"&lt;100"),"")</x:f>
        <x:v>P061O2</x:v>
      </x:c>
      <x:c r="R367" s="89" t="str">
        <x:f aca="0">IF(I367&lt;100,D367&amp;"O"&amp;COUNTIFS($D$6:D367,D367,$I$6:I367,"&lt;100"),"")</x:f>
        <x:v>KaranO31</x:v>
      </x:c>
      <x:c r="S367" s="278" t="n">
        <x:f>IF(COUNTIF($B$6:$B$605,B367)&gt;1,1,0)</x:f>
        <x:v>0</x:v>
      </x:c>
    </x:row>
    <x:row r="368" ht="15" hidden="0">
      <x:c r="A368" s="83" t="s">
        <x:v>189</x:v>
      </x:c>
      <x:c r="B368" s="83" t="s">
        <x:v>910</x:v>
      </x:c>
      <x:c r="C368" s="83" t="s">
        <x:v>444</x:v>
      </x:c>
      <x:c r="D368" s="83" t="s">
        <x:v>445</x:v>
      </x:c>
      <x:c r="E368" s="83" t="s">
        <x:v>446</x:v>
      </x:c>
      <x:c r="F368" s="83" t="s">
        <x:v>550</x:v>
      </x:c>
      <x:c r="G368" s="85" t="n">
        <x:v>46292</x:v>
      </x:c>
      <x:c r="H368" s="85" t="n">
        <x:v>46302</x:v>
      </x:c>
      <x:c r="I368" s="87" t="n">
        <x:v>24</x:v>
      </x:c>
      <x:c r="J368" s="83" t="s">
        <x:v>543</x:v>
      </x:c>
      <x:c r="K368" s="83"/>
      <x:c r="L368" s="83" t="s">
        <x:v>395</x:v>
      </x:c>
      <x:c r="M368" s="83" t="n">
        <x:v>27</x:v>
      </x:c>
      <x:c r="N368" s="83" t="n">
        <x:v>20</x:v>
      </x:c>
      <x:c r="O368" s="85" t="n">
        <x:v>46274</x:v>
      </x:c>
      <x:c r="P368" s="89" t="str">
        <x:f aca="0">A368&amp;TEXT(COUNTIF($A$6:A368,A368),"00")</x:f>
        <x:v>P06103</x:v>
      </x:c>
      <x:c r="Q368" s="89" t="str">
        <x:f aca="0">IF(I368&lt;100,A368&amp;"O"&amp;COUNTIFS($A$6:A368,A368,$I$6:I368,"&lt;100"),"")</x:f>
        <x:v>P061O3</x:v>
      </x:c>
      <x:c r="R368" s="89" t="str">
        <x:f aca="0">IF(I368&lt;100,D368&amp;"O"&amp;COUNTIFS($D$6:D368,D368,$I$6:I368,"&lt;100"),"")</x:f>
        <x:v>MeeraO31</x:v>
      </x:c>
      <x:c r="S368" s="278" t="n">
        <x:f>IF(COUNTIF($B$6:$B$605,B368)&gt;1,1,0)</x:f>
        <x:v>0</x:v>
      </x:c>
    </x:row>
    <x:row r="369" ht="15" hidden="0">
      <x:c r="A369" s="83" t="s">
        <x:v>189</x:v>
      </x:c>
      <x:c r="B369" s="83" t="s">
        <x:v>911</x:v>
      </x:c>
      <x:c r="C369" s="83" t="s">
        <x:v>448</x:v>
      </x:c>
      <x:c r="D369" s="83" t="s">
        <x:v>435</x:v>
      </x:c>
      <x:c r="E369" s="83" t="s">
        <x:v>449</x:v>
      </x:c>
      <x:c r="F369" s="83" t="s">
        <x:v>550</x:v>
      </x:c>
      <x:c r="G369" s="85" t="n">
        <x:v>46306</x:v>
      </x:c>
      <x:c r="H369" s="85" t="n">
        <x:v>46325</x:v>
      </x:c>
      <x:c r="I369" s="87" t="n">
        <x:v>21</x:v>
      </x:c>
      <x:c r="J369" s="83" t="s">
        <x:v>543</x:v>
      </x:c>
      <x:c r="K369" s="83"/>
      <x:c r="L369" s="83" t="s">
        <x:v>395</x:v>
      </x:c>
      <x:c r="M369" s="83" t="n">
        <x:v>91</x:v>
      </x:c>
      <x:c r="N369" s="83" t="n">
        <x:v>94</x:v>
      </x:c>
      <x:c r="O369" s="85" t="n">
        <x:v>46274</x:v>
      </x:c>
      <x:c r="P369" s="89" t="str">
        <x:f aca="0">A369&amp;TEXT(COUNTIF($A$6:A369,A369),"00")</x:f>
        <x:v>P06104</x:v>
      </x:c>
      <x:c r="Q369" s="89" t="str">
        <x:f aca="0">IF(I369&lt;100,A369&amp;"O"&amp;COUNTIFS($A$6:A369,A369,$I$6:I369,"&lt;100"),"")</x:f>
        <x:v>P061O4</x:v>
      </x:c>
      <x:c r="R369" s="89" t="str">
        <x:f aca="0">IF(I369&lt;100,D369&amp;"O"&amp;COUNTIFS($D$6:D369,D369,$I$6:I369,"&lt;100"),"")</x:f>
        <x:v>VivekO31</x:v>
      </x:c>
      <x:c r="S369" s="278" t="n">
        <x:f>IF(COUNTIF($B$6:$B$605,B369)&gt;1,1,0)</x:f>
        <x:v>0</x:v>
      </x:c>
    </x:row>
    <x:row r="370" ht="15" hidden="0">
      <x:c r="A370" s="83" t="s">
        <x:v>189</x:v>
      </x:c>
      <x:c r="B370" s="83" t="s">
        <x:v>912</x:v>
      </x:c>
      <x:c r="C370" s="83" t="s">
        <x:v>451</x:v>
      </x:c>
      <x:c r="D370" s="83" t="s">
        <x:v>442</x:v>
      </x:c>
      <x:c r="E370" s="83" t="s">
        <x:v>452</x:v>
      </x:c>
      <x:c r="F370" s="83" t="s">
        <x:v>546</x:v>
      </x:c>
      <x:c r="G370" s="85" t="n">
        <x:v>46320</x:v>
      </x:c>
      <x:c r="H370" s="85" t="n">
        <x:v>46334</x:v>
      </x:c>
      <x:c r="I370" s="87" t="n">
        <x:v>30</x:v>
      </x:c>
      <x:c r="J370" s="83" t="s">
        <x:v>543</x:v>
      </x:c>
      <x:c r="K370" s="83" t="s">
        <x:v>396</x:v>
      </x:c>
      <x:c r="L370" s="83" t="s">
        <x:v>395</x:v>
      </x:c>
      <x:c r="M370" s="83" t="n">
        <x:v>60</x:v>
      </x:c>
      <x:c r="N370" s="83" t="n">
        <x:v>25</x:v>
      </x:c>
      <x:c r="O370" s="85" t="n">
        <x:v>46274</x:v>
      </x:c>
      <x:c r="P370" s="89" t="str">
        <x:f aca="0">A370&amp;TEXT(COUNTIF($A$6:A370,A370),"00")</x:f>
        <x:v>P06105</x:v>
      </x:c>
      <x:c r="Q370" s="89" t="str">
        <x:f aca="0">IF(I370&lt;100,A370&amp;"O"&amp;COUNTIFS($A$6:A370,A370,$I$6:I370,"&lt;100"),"")</x:f>
        <x:v>P061O5</x:v>
      </x:c>
      <x:c r="R370" s="89" t="str">
        <x:f aca="0">IF(I370&lt;100,D370&amp;"O"&amp;COUNTIFS($D$6:D370,D370,$I$6:I370,"&lt;100"),"")</x:f>
        <x:v>RituO30</x:v>
      </x:c>
      <x:c r="S370" s="278" t="n">
        <x:f>IF(COUNTIF($B$6:$B$605,B370)&gt;1,1,0)</x:f>
        <x:v>0</x:v>
      </x:c>
    </x:row>
    <x:row r="371" ht="15" hidden="0">
      <x:c r="A371" s="83" t="s">
        <x:v>189</x:v>
      </x:c>
      <x:c r="B371" s="83" t="s">
        <x:v>913</x:v>
      </x:c>
      <x:c r="C371" s="83" t="s">
        <x:v>454</x:v>
      </x:c>
      <x:c r="D371" s="83" t="s">
        <x:v>446</x:v>
      </x:c>
      <x:c r="E371" s="83" t="s">
        <x:v>455</x:v>
      </x:c>
      <x:c r="F371" s="83" t="s">
        <x:v>557</x:v>
      </x:c>
      <x:c r="G371" s="85" t="n">
        <x:v>46334</x:v>
      </x:c>
      <x:c r="H371" s="85" t="n">
        <x:v>46345</x:v>
      </x:c>
      <x:c r="I371" s="87" t="n">
        <x:v>23</x:v>
      </x:c>
      <x:c r="J371" s="83" t="s">
        <x:v>543</x:v>
      </x:c>
      <x:c r="K371" s="83"/>
      <x:c r="L371" s="83" t="s">
        <x:v>395</x:v>
      </x:c>
      <x:c r="M371" s="83" t="n">
        <x:v>53</x:v>
      </x:c>
      <x:c r="N371" s="83" t="n">
        <x:v>26</x:v>
      </x:c>
      <x:c r="O371" s="85" t="n">
        <x:v>46274</x:v>
      </x:c>
      <x:c r="P371" s="89" t="str">
        <x:f aca="0">A371&amp;TEXT(COUNTIF($A$6:A371,A371),"00")</x:f>
        <x:v>P06106</x:v>
      </x:c>
      <x:c r="Q371" s="89" t="str">
        <x:f aca="0">IF(I371&lt;100,A371&amp;"O"&amp;COUNTIFS($A$6:A371,A371,$I$6:I371,"&lt;100"),"")</x:f>
        <x:v>P061O6</x:v>
      </x:c>
      <x:c r="R371" s="89" t="str">
        <x:f aca="0">IF(I371&lt;100,D371&amp;"O"&amp;COUNTIFS($D$6:D371,D371,$I$6:I371,"&lt;100"),"")</x:f>
        <x:v>SanjayO31</x:v>
      </x:c>
      <x:c r="S371" s="278" t="n">
        <x:f>IF(COUNTIF($B$6:$B$605,B371)&gt;1,1,0)</x:f>
        <x:v>0</x:v>
      </x:c>
    </x:row>
    <x:row r="372" ht="15" hidden="0">
      <x:c r="A372" s="83" t="s">
        <x:v>226</x:v>
      </x:c>
      <x:c r="B372" s="83" t="s">
        <x:v>914</x:v>
      </x:c>
      <x:c r="C372" s="83" t="s">
        <x:v>433</x:v>
      </x:c>
      <x:c r="D372" s="83" t="s">
        <x:v>441</x:v>
      </x:c>
      <x:c r="E372" s="83" t="s">
        <x:v>442</x:v>
      </x:c>
      <x:c r="F372" s="83" t="s">
        <x:v>546</x:v>
      </x:c>
      <x:c r="G372" s="85" t="n">
        <x:v>46265</x:v>
      </x:c>
      <x:c r="H372" s="85" t="n">
        <x:v>46286</x:v>
      </x:c>
      <x:c r="I372" s="87" t="n">
        <x:v>57</x:v>
      </x:c>
      <x:c r="J372" s="83" t="s">
        <x:v>543</x:v>
      </x:c>
      <x:c r="K372" s="83"/>
      <x:c r="L372" s="83" t="s">
        <x:v>395</x:v>
      </x:c>
      <x:c r="M372" s="83" t="n">
        <x:v>96</x:v>
      </x:c>
      <x:c r="N372" s="83" t="n">
        <x:v>23</x:v>
      </x:c>
      <x:c r="O372" s="85" t="n">
        <x:v>46274</x:v>
      </x:c>
      <x:c r="P372" s="89" t="str">
        <x:f aca="0">A372&amp;TEXT(COUNTIF($A$6:A372,A372),"00")</x:f>
        <x:v>P06201</x:v>
      </x:c>
      <x:c r="Q372" s="89" t="str">
        <x:f aca="0">IF(I372&lt;100,A372&amp;"O"&amp;COUNTIFS($A$6:A372,A372,$I$6:I372,"&lt;100"),"")</x:f>
        <x:v>P062O1</x:v>
      </x:c>
      <x:c r="R372" s="89" t="str">
        <x:f aca="0">IF(I372&lt;100,D372&amp;"O"&amp;COUNTIFS($D$6:D372,D372,$I$6:I372,"&lt;100"),"")</x:f>
        <x:v>KaranO32</x:v>
      </x:c>
      <x:c r="S372" s="278" t="n">
        <x:f>IF(COUNTIF($B$6:$B$605,B372)&gt;1,1,0)</x:f>
        <x:v>0</x:v>
      </x:c>
    </x:row>
    <x:row r="373" ht="15" hidden="0">
      <x:c r="A373" s="83" t="s">
        <x:v>226</x:v>
      </x:c>
      <x:c r="B373" s="83" t="s">
        <x:v>915</x:v>
      </x:c>
      <x:c r="C373" s="83" t="s">
        <x:v>440</x:v>
      </x:c>
      <x:c r="D373" s="83" t="s">
        <x:v>445</x:v>
      </x:c>
      <x:c r="E373" s="83" t="s">
        <x:v>446</x:v>
      </x:c>
      <x:c r="F373" s="83" t="s">
        <x:v>493</x:v>
      </x:c>
      <x:c r="G373" s="85" t="n">
        <x:v>46279</x:v>
      </x:c>
      <x:c r="H373" s="85" t="n">
        <x:v>46294</x:v>
      </x:c>
      <x:c r="I373" s="87" t="n">
        <x:v>26</x:v>
      </x:c>
      <x:c r="J373" s="83" t="s">
        <x:v>543</x:v>
      </x:c>
      <x:c r="K373" s="83"/>
      <x:c r="L373" s="83" t="s">
        <x:v>395</x:v>
      </x:c>
      <x:c r="M373" s="83" t="n">
        <x:v>66</x:v>
      </x:c>
      <x:c r="N373" s="83" t="n">
        <x:v>93</x:v>
      </x:c>
      <x:c r="O373" s="85" t="n">
        <x:v>46274</x:v>
      </x:c>
      <x:c r="P373" s="89" t="str">
        <x:f aca="0">A373&amp;TEXT(COUNTIF($A$6:A373,A373),"00")</x:f>
        <x:v>P06202</x:v>
      </x:c>
      <x:c r="Q373" s="89" t="str">
        <x:f aca="0">IF(I373&lt;100,A373&amp;"O"&amp;COUNTIFS($A$6:A373,A373,$I$6:I373,"&lt;100"),"")</x:f>
        <x:v>P062O2</x:v>
      </x:c>
      <x:c r="R373" s="89" t="str">
        <x:f aca="0">IF(I373&lt;100,D373&amp;"O"&amp;COUNTIFS($D$6:D373,D373,$I$6:I373,"&lt;100"),"")</x:f>
        <x:v>MeeraO32</x:v>
      </x:c>
      <x:c r="S373" s="278" t="n">
        <x:f>IF(COUNTIF($B$6:$B$605,B373)&gt;1,1,0)</x:f>
        <x:v>0</x:v>
      </x:c>
    </x:row>
    <x:row r="374" ht="15" hidden="0">
      <x:c r="A374" s="83" t="s">
        <x:v>226</x:v>
      </x:c>
      <x:c r="B374" s="83" t="s">
        <x:v>916</x:v>
      </x:c>
      <x:c r="C374" s="83" t="s">
        <x:v>444</x:v>
      </x:c>
      <x:c r="D374" s="83" t="s">
        <x:v>435</x:v>
      </x:c>
      <x:c r="E374" s="83" t="s">
        <x:v>449</x:v>
      </x:c>
      <x:c r="F374" s="83" t="s">
        <x:v>557</x:v>
      </x:c>
      <x:c r="G374" s="85" t="n">
        <x:v>46293</x:v>
      </x:c>
      <x:c r="H374" s="85" t="n">
        <x:v>46306</x:v>
      </x:c>
      <x:c r="I374" s="87" t="n">
        <x:v>52</x:v>
      </x:c>
      <x:c r="J374" s="83" t="s">
        <x:v>543</x:v>
      </x:c>
      <x:c r="K374" s="83" t="s">
        <x:v>396</x:v>
      </x:c>
      <x:c r="L374" s="83" t="s">
        <x:v>395</x:v>
      </x:c>
      <x:c r="M374" s="83" t="n">
        <x:v>59</x:v>
      </x:c>
      <x:c r="N374" s="83" t="n">
        <x:v>41</x:v>
      </x:c>
      <x:c r="O374" s="85" t="n">
        <x:v>46274</x:v>
      </x:c>
      <x:c r="P374" s="89" t="str">
        <x:f aca="0">A374&amp;TEXT(COUNTIF($A$6:A374,A374),"00")</x:f>
        <x:v>P06203</x:v>
      </x:c>
      <x:c r="Q374" s="89" t="str">
        <x:f aca="0">IF(I374&lt;100,A374&amp;"O"&amp;COUNTIFS($A$6:A374,A374,$I$6:I374,"&lt;100"),"")</x:f>
        <x:v>P062O3</x:v>
      </x:c>
      <x:c r="R374" s="89" t="str">
        <x:f aca="0">IF(I374&lt;100,D374&amp;"O"&amp;COUNTIFS($D$6:D374,D374,$I$6:I374,"&lt;100"),"")</x:f>
        <x:v>VivekO32</x:v>
      </x:c>
      <x:c r="S374" s="278" t="n">
        <x:f>IF(COUNTIF($B$6:$B$605,B374)&gt;1,1,0)</x:f>
        <x:v>0</x:v>
      </x:c>
    </x:row>
    <x:row r="375" ht="15" hidden="0">
      <x:c r="A375" s="83" t="s">
        <x:v>226</x:v>
      </x:c>
      <x:c r="B375" s="83" t="s">
        <x:v>917</x:v>
      </x:c>
      <x:c r="C375" s="83" t="s">
        <x:v>448</x:v>
      </x:c>
      <x:c r="D375" s="83" t="s">
        <x:v>442</x:v>
      </x:c>
      <x:c r="E375" s="83" t="s">
        <x:v>452</x:v>
      </x:c>
      <x:c r="F375" s="83" t="s">
        <x:v>493</x:v>
      </x:c>
      <x:c r="G375" s="85" t="n">
        <x:v>46307</x:v>
      </x:c>
      <x:c r="H375" s="85" t="n">
        <x:v>46321</x:v>
      </x:c>
      <x:c r="I375" s="87" t="n">
        <x:v>38</x:v>
      </x:c>
      <x:c r="J375" s="83" t="s">
        <x:v>543</x:v>
      </x:c>
      <x:c r="K375" s="83"/>
      <x:c r="L375" s="83" t="s">
        <x:v>395</x:v>
      </x:c>
      <x:c r="M375" s="83" t="n">
        <x:v>32</x:v>
      </x:c>
      <x:c r="N375" s="83" t="n">
        <x:v>88</x:v>
      </x:c>
      <x:c r="O375" s="85" t="n">
        <x:v>46274</x:v>
      </x:c>
      <x:c r="P375" s="89" t="str">
        <x:f aca="0">A375&amp;TEXT(COUNTIF($A$6:A375,A375),"00")</x:f>
        <x:v>P06204</x:v>
      </x:c>
      <x:c r="Q375" s="89" t="str">
        <x:f aca="0">IF(I375&lt;100,A375&amp;"O"&amp;COUNTIFS($A$6:A375,A375,$I$6:I375,"&lt;100"),"")</x:f>
        <x:v>P062O4</x:v>
      </x:c>
      <x:c r="R375" s="89" t="str">
        <x:f aca="0">IF(I375&lt;100,D375&amp;"O"&amp;COUNTIFS($D$6:D375,D375,$I$6:I375,"&lt;100"),"")</x:f>
        <x:v>RituO31</x:v>
      </x:c>
      <x:c r="S375" s="278" t="n">
        <x:f>IF(COUNTIF($B$6:$B$605,B375)&gt;1,1,0)</x:f>
        <x:v>0</x:v>
      </x:c>
    </x:row>
    <x:row r="376" ht="15" hidden="0">
      <x:c r="A376" s="83" t="s">
        <x:v>226</x:v>
      </x:c>
      <x:c r="B376" s="83" t="s">
        <x:v>918</x:v>
      </x:c>
      <x:c r="C376" s="83" t="s">
        <x:v>451</x:v>
      </x:c>
      <x:c r="D376" s="83" t="s">
        <x:v>446</x:v>
      </x:c>
      <x:c r="E376" s="83" t="s">
        <x:v>455</x:v>
      </x:c>
      <x:c r="F376" s="83" t="s">
        <x:v>550</x:v>
      </x:c>
      <x:c r="G376" s="85" t="n">
        <x:v>46321</x:v>
      </x:c>
      <x:c r="H376" s="85" t="n">
        <x:v>46333</x:v>
      </x:c>
      <x:c r="I376" s="87" t="n">
        <x:v>30</x:v>
      </x:c>
      <x:c r="J376" s="83" t="s">
        <x:v>543</x:v>
      </x:c>
      <x:c r="K376" s="83" t="s">
        <x:v>396</x:v>
      </x:c>
      <x:c r="L376" s="83" t="s">
        <x:v>395</x:v>
      </x:c>
      <x:c r="M376" s="83" t="n">
        <x:v>90</x:v>
      </x:c>
      <x:c r="N376" s="83" t="n">
        <x:v>100</x:v>
      </x:c>
      <x:c r="O376" s="85" t="n">
        <x:v>46274</x:v>
      </x:c>
      <x:c r="P376" s="89" t="str">
        <x:f aca="0">A376&amp;TEXT(COUNTIF($A$6:A376,A376),"00")</x:f>
        <x:v>P06205</x:v>
      </x:c>
      <x:c r="Q376" s="89" t="str">
        <x:f aca="0">IF(I376&lt;100,A376&amp;"O"&amp;COUNTIFS($A$6:A376,A376,$I$6:I376,"&lt;100"),"")</x:f>
        <x:v>P062O5</x:v>
      </x:c>
      <x:c r="R376" s="89" t="str">
        <x:f aca="0">IF(I376&lt;100,D376&amp;"O"&amp;COUNTIFS($D$6:D376,D376,$I$6:I376,"&lt;100"),"")</x:f>
        <x:v>SanjayO32</x:v>
      </x:c>
      <x:c r="S376" s="278" t="n">
        <x:f>IF(COUNTIF($B$6:$B$605,B376)&gt;1,1,0)</x:f>
        <x:v>0</x:v>
      </x:c>
    </x:row>
    <x:row r="377" ht="15" hidden="0">
      <x:c r="A377" s="83" t="s">
        <x:v>226</x:v>
      </x:c>
      <x:c r="B377" s="83" t="s">
        <x:v>919</x:v>
      </x:c>
      <x:c r="C377" s="83" t="s">
        <x:v>454</x:v>
      </x:c>
      <x:c r="D377" s="83" t="s">
        <x:v>449</x:v>
      </x:c>
      <x:c r="E377" s="83" t="s">
        <x:v>462</x:v>
      </x:c>
      <x:c r="F377" s="83" t="s">
        <x:v>546</x:v>
      </x:c>
      <x:c r="G377" s="85" t="n">
        <x:v>46335</x:v>
      </x:c>
      <x:c r="H377" s="85" t="n">
        <x:v>46351</x:v>
      </x:c>
      <x:c r="I377" s="87" t="n">
        <x:v>39</x:v>
      </x:c>
      <x:c r="J377" s="83" t="s">
        <x:v>543</x:v>
      </x:c>
      <x:c r="K377" s="83"/>
      <x:c r="L377" s="83" t="s">
        <x:v>395</x:v>
      </x:c>
      <x:c r="M377" s="83" t="n">
        <x:v>56</x:v>
      </x:c>
      <x:c r="N377" s="83" t="n">
        <x:v>30</x:v>
      </x:c>
      <x:c r="O377" s="85" t="n">
        <x:v>46274</x:v>
      </x:c>
      <x:c r="P377" s="89" t="str">
        <x:f aca="0">A377&amp;TEXT(COUNTIF($A$6:A377,A377),"00")</x:f>
        <x:v>P06206</x:v>
      </x:c>
      <x:c r="Q377" s="89" t="str">
        <x:f aca="0">IF(I377&lt;100,A377&amp;"O"&amp;COUNTIFS($A$6:A377,A377,$I$6:I377,"&lt;100"),"")</x:f>
        <x:v>P062O6</x:v>
      </x:c>
      <x:c r="R377" s="89" t="str">
        <x:f aca="0">IF(I377&lt;100,D377&amp;"O"&amp;COUNTIFS($D$6:D377,D377,$I$6:I377,"&lt;100"),"")</x:f>
        <x:v>AnilO30</x:v>
      </x:c>
      <x:c r="S377" s="278" t="n">
        <x:f>IF(COUNTIF($B$6:$B$605,B377)&gt;1,1,0)</x:f>
        <x:v>0</x:v>
      </x:c>
    </x:row>
    <x:row r="378" ht="15" hidden="0">
      <x:c r="A378" s="83" t="s">
        <x:v>194</x:v>
      </x:c>
      <x:c r="B378" s="83" t="s">
        <x:v>920</x:v>
      </x:c>
      <x:c r="C378" s="83" t="s">
        <x:v>433</x:v>
      </x:c>
      <x:c r="D378" s="83" t="s">
        <x:v>445</x:v>
      </x:c>
      <x:c r="E378" s="83" t="s">
        <x:v>446</x:v>
      </x:c>
      <x:c r="F378" s="83" t="s">
        <x:v>557</x:v>
      </x:c>
      <x:c r="G378" s="85" t="n">
        <x:v>46266</x:v>
      </x:c>
      <x:c r="H378" s="85" t="n">
        <x:v>46286</x:v>
      </x:c>
      <x:c r="I378" s="87" t="n">
        <x:v>48</x:v>
      </x:c>
      <x:c r="J378" s="83" t="s">
        <x:v>543</x:v>
      </x:c>
      <x:c r="K378" s="83"/>
      <x:c r="L378" s="83" t="s">
        <x:v>395</x:v>
      </x:c>
      <x:c r="M378" s="83" t="n">
        <x:v>32</x:v>
      </x:c>
      <x:c r="N378" s="83" t="n">
        <x:v>57</x:v>
      </x:c>
      <x:c r="O378" s="85" t="n">
        <x:v>46274</x:v>
      </x:c>
      <x:c r="P378" s="89" t="str">
        <x:f aca="0">A378&amp;TEXT(COUNTIF($A$6:A378,A378),"00")</x:f>
        <x:v>P06301</x:v>
      </x:c>
      <x:c r="Q378" s="89" t="str">
        <x:f aca="0">IF(I378&lt;100,A378&amp;"O"&amp;COUNTIFS($A$6:A378,A378,$I$6:I378,"&lt;100"),"")</x:f>
        <x:v>P063O1</x:v>
      </x:c>
      <x:c r="R378" s="89" t="str">
        <x:f aca="0">IF(I378&lt;100,D378&amp;"O"&amp;COUNTIFS($D$6:D378,D378,$I$6:I378,"&lt;100"),"")</x:f>
        <x:v>MeeraO33</x:v>
      </x:c>
      <x:c r="S378" s="278" t="n">
        <x:f>IF(COUNTIF($B$6:$B$605,B378)&gt;1,1,0)</x:f>
        <x:v>0</x:v>
      </x:c>
    </x:row>
    <x:row r="379" ht="15" hidden="0">
      <x:c r="A379" s="83" t="s">
        <x:v>194</x:v>
      </x:c>
      <x:c r="B379" s="83" t="s">
        <x:v>921</x:v>
      </x:c>
      <x:c r="C379" s="83" t="s">
        <x:v>440</x:v>
      </x:c>
      <x:c r="D379" s="83" t="s">
        <x:v>435</x:v>
      </x:c>
      <x:c r="E379" s="83" t="s">
        <x:v>449</x:v>
      </x:c>
      <x:c r="F379" s="83" t="s">
        <x:v>493</x:v>
      </x:c>
      <x:c r="G379" s="85" t="n">
        <x:v>46280</x:v>
      </x:c>
      <x:c r="H379" s="85" t="n">
        <x:v>46294</x:v>
      </x:c>
      <x:c r="I379" s="87" t="n">
        <x:v>53</x:v>
      </x:c>
      <x:c r="J379" s="83" t="s">
        <x:v>543</x:v>
      </x:c>
      <x:c r="K379" s="83"/>
      <x:c r="L379" s="83" t="s">
        <x:v>395</x:v>
      </x:c>
      <x:c r="M379" s="83" t="n">
        <x:v>78</x:v>
      </x:c>
      <x:c r="N379" s="83" t="n">
        <x:v>52</x:v>
      </x:c>
      <x:c r="O379" s="85" t="n">
        <x:v>46274</x:v>
      </x:c>
      <x:c r="P379" s="89" t="str">
        <x:f aca="0">A379&amp;TEXT(COUNTIF($A$6:A379,A379),"00")</x:f>
        <x:v>P06302</x:v>
      </x:c>
      <x:c r="Q379" s="89" t="str">
        <x:f aca="0">IF(I379&lt;100,A379&amp;"O"&amp;COUNTIFS($A$6:A379,A379,$I$6:I379,"&lt;100"),"")</x:f>
        <x:v>P063O2</x:v>
      </x:c>
      <x:c r="R379" s="89" t="str">
        <x:f aca="0">IF(I379&lt;100,D379&amp;"O"&amp;COUNTIFS($D$6:D379,D379,$I$6:I379,"&lt;100"),"")</x:f>
        <x:v>VivekO33</x:v>
      </x:c>
      <x:c r="S379" s="278" t="n">
        <x:f>IF(COUNTIF($B$6:$B$605,B379)&gt;1,1,0)</x:f>
        <x:v>0</x:v>
      </x:c>
    </x:row>
    <x:row r="380" ht="15" hidden="0">
      <x:c r="A380" s="83" t="s">
        <x:v>194</x:v>
      </x:c>
      <x:c r="B380" s="83" t="s">
        <x:v>922</x:v>
      </x:c>
      <x:c r="C380" s="83" t="s">
        <x:v>444</x:v>
      </x:c>
      <x:c r="D380" s="83" t="s">
        <x:v>442</x:v>
      </x:c>
      <x:c r="E380" s="83" t="s">
        <x:v>452</x:v>
      </x:c>
      <x:c r="F380" s="83" t="s">
        <x:v>557</x:v>
      </x:c>
      <x:c r="G380" s="85" t="n">
        <x:v>46294</x:v>
      </x:c>
      <x:c r="H380" s="85" t="n">
        <x:v>46315</x:v>
      </x:c>
      <x:c r="I380" s="87" t="n">
        <x:v>55</x:v>
      </x:c>
      <x:c r="J380" s="83" t="s">
        <x:v>543</x:v>
      </x:c>
      <x:c r="K380" s="83"/>
      <x:c r="L380" s="83" t="s">
        <x:v>395</x:v>
      </x:c>
      <x:c r="M380" s="83" t="n">
        <x:v>73</x:v>
      </x:c>
      <x:c r="N380" s="83" t="n">
        <x:v>21</x:v>
      </x:c>
      <x:c r="O380" s="85" t="n">
        <x:v>46274</x:v>
      </x:c>
      <x:c r="P380" s="89" t="str">
        <x:f aca="0">A380&amp;TEXT(COUNTIF($A$6:A380,A380),"00")</x:f>
        <x:v>P06303</x:v>
      </x:c>
      <x:c r="Q380" s="89" t="str">
        <x:f aca="0">IF(I380&lt;100,A380&amp;"O"&amp;COUNTIFS($A$6:A380,A380,$I$6:I380,"&lt;100"),"")</x:f>
        <x:v>P063O3</x:v>
      </x:c>
      <x:c r="R380" s="89" t="str">
        <x:f aca="0">IF(I380&lt;100,D380&amp;"O"&amp;COUNTIFS($D$6:D380,D380,$I$6:I380,"&lt;100"),"")</x:f>
        <x:v>RituO32</x:v>
      </x:c>
      <x:c r="S380" s="278" t="n">
        <x:f>IF(COUNTIF($B$6:$B$605,B380)&gt;1,1,0)</x:f>
        <x:v>0</x:v>
      </x:c>
    </x:row>
    <x:row r="381" ht="15" hidden="0">
      <x:c r="A381" s="83" t="s">
        <x:v>194</x:v>
      </x:c>
      <x:c r="B381" s="83" t="s">
        <x:v>923</x:v>
      </x:c>
      <x:c r="C381" s="83" t="s">
        <x:v>448</x:v>
      </x:c>
      <x:c r="D381" s="83" t="s">
        <x:v>446</x:v>
      </x:c>
      <x:c r="E381" s="83" t="s">
        <x:v>455</x:v>
      </x:c>
      <x:c r="F381" s="83" t="s">
        <x:v>557</x:v>
      </x:c>
      <x:c r="G381" s="85" t="n">
        <x:v>46308</x:v>
      </x:c>
      <x:c r="H381" s="85" t="n">
        <x:v>46318</x:v>
      </x:c>
      <x:c r="I381" s="87" t="n">
        <x:v>44</x:v>
      </x:c>
      <x:c r="J381" s="83" t="s">
        <x:v>543</x:v>
      </x:c>
      <x:c r="K381" s="83"/>
      <x:c r="L381" s="83" t="s">
        <x:v>395</x:v>
      </x:c>
      <x:c r="M381" s="83" t="n">
        <x:v>49</x:v>
      </x:c>
      <x:c r="N381" s="83" t="n">
        <x:v>32</x:v>
      </x:c>
      <x:c r="O381" s="85" t="n">
        <x:v>46274</x:v>
      </x:c>
      <x:c r="P381" s="89" t="str">
        <x:f aca="0">A381&amp;TEXT(COUNTIF($A$6:A381,A381),"00")</x:f>
        <x:v>P06304</x:v>
      </x:c>
      <x:c r="Q381" s="89" t="str">
        <x:f aca="0">IF(I381&lt;100,A381&amp;"O"&amp;COUNTIFS($A$6:A381,A381,$I$6:I381,"&lt;100"),"")</x:f>
        <x:v>P063O4</x:v>
      </x:c>
      <x:c r="R381" s="89" t="str">
        <x:f aca="0">IF(I381&lt;100,D381&amp;"O"&amp;COUNTIFS($D$6:D381,D381,$I$6:I381,"&lt;100"),"")</x:f>
        <x:v>SanjayO33</x:v>
      </x:c>
      <x:c r="S381" s="278" t="n">
        <x:f>IF(COUNTIF($B$6:$B$605,B381)&gt;1,1,0)</x:f>
        <x:v>0</x:v>
      </x:c>
    </x:row>
    <x:row r="382" ht="15" hidden="0">
      <x:c r="A382" s="83" t="s">
        <x:v>194</x:v>
      </x:c>
      <x:c r="B382" s="83" t="s">
        <x:v>924</x:v>
      </x:c>
      <x:c r="C382" s="83" t="s">
        <x:v>451</x:v>
      </x:c>
      <x:c r="D382" s="83" t="s">
        <x:v>449</x:v>
      </x:c>
      <x:c r="E382" s="83" t="s">
        <x:v>462</x:v>
      </x:c>
      <x:c r="F382" s="83" t="s">
        <x:v>557</x:v>
      </x:c>
      <x:c r="G382" s="85" t="n">
        <x:v>46322</x:v>
      </x:c>
      <x:c r="H382" s="85" t="n">
        <x:v>46336</x:v>
      </x:c>
      <x:c r="I382" s="87" t="n">
        <x:v>46</x:v>
      </x:c>
      <x:c r="J382" s="83" t="s">
        <x:v>543</x:v>
      </x:c>
      <x:c r="K382" s="83"/>
      <x:c r="L382" s="83" t="s">
        <x:v>395</x:v>
      </x:c>
      <x:c r="M382" s="83" t="n">
        <x:v>83</x:v>
      </x:c>
      <x:c r="N382" s="83" t="n">
        <x:v>46</x:v>
      </x:c>
      <x:c r="O382" s="85" t="n">
        <x:v>46274</x:v>
      </x:c>
      <x:c r="P382" s="89" t="str">
        <x:f aca="0">A382&amp;TEXT(COUNTIF($A$6:A382,A382),"00")</x:f>
        <x:v>P06305</x:v>
      </x:c>
      <x:c r="Q382" s="89" t="str">
        <x:f aca="0">IF(I382&lt;100,A382&amp;"O"&amp;COUNTIFS($A$6:A382,A382,$I$6:I382,"&lt;100"),"")</x:f>
        <x:v>P063O5</x:v>
      </x:c>
      <x:c r="R382" s="89" t="str">
        <x:f aca="0">IF(I382&lt;100,D382&amp;"O"&amp;COUNTIFS($D$6:D382,D382,$I$6:I382,"&lt;100"),"")</x:f>
        <x:v>AnilO31</x:v>
      </x:c>
      <x:c r="S382" s="278" t="n">
        <x:f>IF(COUNTIF($B$6:$B$605,B382)&gt;1,1,0)</x:f>
        <x:v>0</x:v>
      </x:c>
    </x:row>
    <x:row r="383" ht="15" hidden="0">
      <x:c r="A383" s="83" t="s">
        <x:v>194</x:v>
      </x:c>
      <x:c r="B383" s="83" t="s">
        <x:v>925</x:v>
      </x:c>
      <x:c r="C383" s="83" t="s">
        <x:v>454</x:v>
      </x:c>
      <x:c r="D383" s="83" t="s">
        <x:v>452</x:v>
      </x:c>
      <x:c r="E383" s="83" t="s">
        <x:v>360</x:v>
      </x:c>
      <x:c r="F383" s="83" t="s">
        <x:v>550</x:v>
      </x:c>
      <x:c r="G383" s="85" t="n">
        <x:v>46336</x:v>
      </x:c>
      <x:c r="H383" s="85" t="n">
        <x:v>46352</x:v>
      </x:c>
      <x:c r="I383" s="87" t="n">
        <x:v>52</x:v>
      </x:c>
      <x:c r="J383" s="83" t="s">
        <x:v>543</x:v>
      </x:c>
      <x:c r="K383" s="83"/>
      <x:c r="L383" s="83" t="s">
        <x:v>395</x:v>
      </x:c>
      <x:c r="M383" s="83" t="n">
        <x:v>56</x:v>
      </x:c>
      <x:c r="N383" s="83" t="n">
        <x:v>68</x:v>
      </x:c>
      <x:c r="O383" s="85" t="n">
        <x:v>46274</x:v>
      </x:c>
      <x:c r="P383" s="89" t="str">
        <x:f aca="0">A383&amp;TEXT(COUNTIF($A$6:A383,A383),"00")</x:f>
        <x:v>P06306</x:v>
      </x:c>
      <x:c r="Q383" s="89" t="str">
        <x:f aca="0">IF(I383&lt;100,A383&amp;"O"&amp;COUNTIFS($A$6:A383,A383,$I$6:I383,"&lt;100"),"")</x:f>
        <x:v>P063O6</x:v>
      </x:c>
      <x:c r="R383" s="89" t="str">
        <x:f aca="0">IF(I383&lt;100,D383&amp;"O"&amp;COUNTIFS($D$6:D383,D383,$I$6:I383,"&lt;100"),"")</x:f>
        <x:v>KavyaO30</x:v>
      </x:c>
      <x:c r="S383" s="278" t="n">
        <x:f>IF(COUNTIF($B$6:$B$605,B383)&gt;1,1,0)</x:f>
        <x:v>0</x:v>
      </x:c>
    </x:row>
    <x:row r="384" ht="15" hidden="0">
      <x:c r="A384" s="83" t="s">
        <x:v>210</x:v>
      </x:c>
      <x:c r="B384" s="83" t="s">
        <x:v>926</x:v>
      </x:c>
      <x:c r="C384" s="83" t="s">
        <x:v>433</x:v>
      </x:c>
      <x:c r="D384" s="83" t="s">
        <x:v>435</x:v>
      </x:c>
      <x:c r="E384" s="83" t="s">
        <x:v>449</x:v>
      </x:c>
      <x:c r="F384" s="83" t="s">
        <x:v>493</x:v>
      </x:c>
      <x:c r="G384" s="85" t="n">
        <x:v>46267</x:v>
      </x:c>
      <x:c r="H384" s="85" t="n">
        <x:v>46277</x:v>
      </x:c>
      <x:c r="I384" s="87" t="n">
        <x:v>55</x:v>
      </x:c>
      <x:c r="J384" s="83" t="s">
        <x:v>543</x:v>
      </x:c>
      <x:c r="K384" s="83" t="s">
        <x:v>396</x:v>
      </x:c>
      <x:c r="L384" s="83" t="s">
        <x:v>395</x:v>
      </x:c>
      <x:c r="M384" s="83" t="n">
        <x:v>26</x:v>
      </x:c>
      <x:c r="N384" s="83" t="n">
        <x:v>28</x:v>
      </x:c>
      <x:c r="O384" s="85" t="n">
        <x:v>46274</x:v>
      </x:c>
      <x:c r="P384" s="89" t="str">
        <x:f aca="0">A384&amp;TEXT(COUNTIF($A$6:A384,A384),"00")</x:f>
        <x:v>P06401</x:v>
      </x:c>
      <x:c r="Q384" s="89" t="str">
        <x:f aca="0">IF(I384&lt;100,A384&amp;"O"&amp;COUNTIFS($A$6:A384,A384,$I$6:I384,"&lt;100"),"")</x:f>
        <x:v>P064O1</x:v>
      </x:c>
      <x:c r="R384" s="89" t="str">
        <x:f aca="0">IF(I384&lt;100,D384&amp;"O"&amp;COUNTIFS($D$6:D384,D384,$I$6:I384,"&lt;100"),"")</x:f>
        <x:v>VivekO34</x:v>
      </x:c>
      <x:c r="S384" s="278" t="n">
        <x:f>IF(COUNTIF($B$6:$B$605,B384)&gt;1,1,0)</x:f>
        <x:v>0</x:v>
      </x:c>
    </x:row>
    <x:row r="385" ht="15" hidden="0">
      <x:c r="A385" s="83" t="s">
        <x:v>210</x:v>
      </x:c>
      <x:c r="B385" s="83" t="s">
        <x:v>927</x:v>
      </x:c>
      <x:c r="C385" s="83" t="s">
        <x:v>440</x:v>
      </x:c>
      <x:c r="D385" s="83" t="s">
        <x:v>442</x:v>
      </x:c>
      <x:c r="E385" s="83" t="s">
        <x:v>452</x:v>
      </x:c>
      <x:c r="F385" s="83" t="s">
        <x:v>546</x:v>
      </x:c>
      <x:c r="G385" s="85" t="n">
        <x:v>46281</x:v>
      </x:c>
      <x:c r="H385" s="85" t="n">
        <x:v>46295</x:v>
      </x:c>
      <x:c r="I385" s="87" t="n">
        <x:v>58</x:v>
      </x:c>
      <x:c r="J385" s="83" t="s">
        <x:v>543</x:v>
      </x:c>
      <x:c r="K385" s="83"/>
      <x:c r="L385" s="83" t="s">
        <x:v>395</x:v>
      </x:c>
      <x:c r="M385" s="83" t="n">
        <x:v>62</x:v>
      </x:c>
      <x:c r="N385" s="83" t="n">
        <x:v>21</x:v>
      </x:c>
      <x:c r="O385" s="85" t="n">
        <x:v>46274</x:v>
      </x:c>
      <x:c r="P385" s="89" t="str">
        <x:f aca="0">A385&amp;TEXT(COUNTIF($A$6:A385,A385),"00")</x:f>
        <x:v>P06402</x:v>
      </x:c>
      <x:c r="Q385" s="89" t="str">
        <x:f aca="0">IF(I385&lt;100,A385&amp;"O"&amp;COUNTIFS($A$6:A385,A385,$I$6:I385,"&lt;100"),"")</x:f>
        <x:v>P064O2</x:v>
      </x:c>
      <x:c r="R385" s="89" t="str">
        <x:f aca="0">IF(I385&lt;100,D385&amp;"O"&amp;COUNTIFS($D$6:D385,D385,$I$6:I385,"&lt;100"),"")</x:f>
        <x:v>RituO33</x:v>
      </x:c>
      <x:c r="S385" s="278" t="n">
        <x:f>IF(COUNTIF($B$6:$B$605,B385)&gt;1,1,0)</x:f>
        <x:v>0</x:v>
      </x:c>
    </x:row>
    <x:row r="386" ht="15" hidden="0">
      <x:c r="A386" s="83" t="s">
        <x:v>210</x:v>
      </x:c>
      <x:c r="B386" s="83" t="s">
        <x:v>928</x:v>
      </x:c>
      <x:c r="C386" s="83" t="s">
        <x:v>444</x:v>
      </x:c>
      <x:c r="D386" s="83" t="s">
        <x:v>446</x:v>
      </x:c>
      <x:c r="E386" s="83" t="s">
        <x:v>455</x:v>
      </x:c>
      <x:c r="F386" s="83" t="s">
        <x:v>557</x:v>
      </x:c>
      <x:c r="G386" s="85" t="n">
        <x:v>46295</x:v>
      </x:c>
      <x:c r="H386" s="85" t="n">
        <x:v>46305</x:v>
      </x:c>
      <x:c r="I386" s="87" t="n">
        <x:v>20</x:v>
      </x:c>
      <x:c r="J386" s="83" t="s">
        <x:v>543</x:v>
      </x:c>
      <x:c r="K386" s="83" t="s">
        <x:v>396</x:v>
      </x:c>
      <x:c r="L386" s="83" t="s">
        <x:v>395</x:v>
      </x:c>
      <x:c r="M386" s="83" t="n">
        <x:v>37</x:v>
      </x:c>
      <x:c r="N386" s="83" t="n">
        <x:v>88</x:v>
      </x:c>
      <x:c r="O386" s="85" t="n">
        <x:v>46274</x:v>
      </x:c>
      <x:c r="P386" s="89" t="str">
        <x:f aca="0">A386&amp;TEXT(COUNTIF($A$6:A386,A386),"00")</x:f>
        <x:v>P06403</x:v>
      </x:c>
      <x:c r="Q386" s="89" t="str">
        <x:f aca="0">IF(I386&lt;100,A386&amp;"O"&amp;COUNTIFS($A$6:A386,A386,$I$6:I386,"&lt;100"),"")</x:f>
        <x:v>P064O3</x:v>
      </x:c>
      <x:c r="R386" s="89" t="str">
        <x:f aca="0">IF(I386&lt;100,D386&amp;"O"&amp;COUNTIFS($D$6:D386,D386,$I$6:I386,"&lt;100"),"")</x:f>
        <x:v>SanjayO34</x:v>
      </x:c>
      <x:c r="S386" s="278" t="n">
        <x:f>IF(COUNTIF($B$6:$B$605,B386)&gt;1,1,0)</x:f>
        <x:v>0</x:v>
      </x:c>
    </x:row>
    <x:row r="387" ht="15" hidden="0">
      <x:c r="A387" s="83" t="s">
        <x:v>210</x:v>
      </x:c>
      <x:c r="B387" s="83" t="s">
        <x:v>929</x:v>
      </x:c>
      <x:c r="C387" s="83" t="s">
        <x:v>448</x:v>
      </x:c>
      <x:c r="D387" s="83" t="s">
        <x:v>449</x:v>
      </x:c>
      <x:c r="E387" s="83" t="s">
        <x:v>462</x:v>
      </x:c>
      <x:c r="F387" s="83" t="s">
        <x:v>557</x:v>
      </x:c>
      <x:c r="G387" s="85" t="n">
        <x:v>46309</x:v>
      </x:c>
      <x:c r="H387" s="85" t="n">
        <x:v>46330</x:v>
      </x:c>
      <x:c r="I387" s="87" t="n">
        <x:v>24</x:v>
      </x:c>
      <x:c r="J387" s="83" t="s">
        <x:v>543</x:v>
      </x:c>
      <x:c r="K387" s="83"/>
      <x:c r="L387" s="83" t="s">
        <x:v>395</x:v>
      </x:c>
      <x:c r="M387" s="83" t="n">
        <x:v>28</x:v>
      </x:c>
      <x:c r="N387" s="83" t="n">
        <x:v>60</x:v>
      </x:c>
      <x:c r="O387" s="85" t="n">
        <x:v>46274</x:v>
      </x:c>
      <x:c r="P387" s="89" t="str">
        <x:f aca="0">A387&amp;TEXT(COUNTIF($A$6:A387,A387),"00")</x:f>
        <x:v>P06404</x:v>
      </x:c>
      <x:c r="Q387" s="89" t="str">
        <x:f aca="0">IF(I387&lt;100,A387&amp;"O"&amp;COUNTIFS($A$6:A387,A387,$I$6:I387,"&lt;100"),"")</x:f>
        <x:v>P064O4</x:v>
      </x:c>
      <x:c r="R387" s="89" t="str">
        <x:f aca="0">IF(I387&lt;100,D387&amp;"O"&amp;COUNTIFS($D$6:D387,D387,$I$6:I387,"&lt;100"),"")</x:f>
        <x:v>AnilO32</x:v>
      </x:c>
      <x:c r="S387" s="278" t="n">
        <x:f>IF(COUNTIF($B$6:$B$605,B387)&gt;1,1,0)</x:f>
        <x:v>0</x:v>
      </x:c>
    </x:row>
    <x:row r="388" ht="15" hidden="0">
      <x:c r="A388" s="83" t="s">
        <x:v>210</x:v>
      </x:c>
      <x:c r="B388" s="83" t="s">
        <x:v>930</x:v>
      </x:c>
      <x:c r="C388" s="83" t="s">
        <x:v>451</x:v>
      </x:c>
      <x:c r="D388" s="83" t="s">
        <x:v>452</x:v>
      </x:c>
      <x:c r="E388" s="83" t="s">
        <x:v>360</x:v>
      </x:c>
      <x:c r="F388" s="83" t="s">
        <x:v>550</x:v>
      </x:c>
      <x:c r="G388" s="85" t="n">
        <x:v>46323</x:v>
      </x:c>
      <x:c r="H388" s="85" t="n">
        <x:v>46336</x:v>
      </x:c>
      <x:c r="I388" s="87" t="n">
        <x:v>55</x:v>
      </x:c>
      <x:c r="J388" s="83" t="s">
        <x:v>543</x:v>
      </x:c>
      <x:c r="K388" s="83"/>
      <x:c r="L388" s="83" t="s">
        <x:v>395</x:v>
      </x:c>
      <x:c r="M388" s="83" t="n">
        <x:v>57</x:v>
      </x:c>
      <x:c r="N388" s="83" t="n">
        <x:v>35</x:v>
      </x:c>
      <x:c r="O388" s="85" t="n">
        <x:v>46274</x:v>
      </x:c>
      <x:c r="P388" s="89" t="str">
        <x:f aca="0">A388&amp;TEXT(COUNTIF($A$6:A388,A388),"00")</x:f>
        <x:v>P06405</x:v>
      </x:c>
      <x:c r="Q388" s="89" t="str">
        <x:f aca="0">IF(I388&lt;100,A388&amp;"O"&amp;COUNTIFS($A$6:A388,A388,$I$6:I388,"&lt;100"),"")</x:f>
        <x:v>P064O5</x:v>
      </x:c>
      <x:c r="R388" s="89" t="str">
        <x:f aca="0">IF(I388&lt;100,D388&amp;"O"&amp;COUNTIFS($D$6:D388,D388,$I$6:I388,"&lt;100"),"")</x:f>
        <x:v>KavyaO31</x:v>
      </x:c>
      <x:c r="S388" s="278" t="n">
        <x:f>IF(COUNTIF($B$6:$B$605,B388)&gt;1,1,0)</x:f>
        <x:v>0</x:v>
      </x:c>
    </x:row>
    <x:row r="389" ht="15" hidden="0">
      <x:c r="A389" s="83" t="s">
        <x:v>210</x:v>
      </x:c>
      <x:c r="B389" s="83" t="s">
        <x:v>931</x:v>
      </x:c>
      <x:c r="C389" s="83" t="s">
        <x:v>454</x:v>
      </x:c>
      <x:c r="D389" s="83" t="s">
        <x:v>455</x:v>
      </x:c>
      <x:c r="E389" s="83" t="s">
        <x:v>475</x:v>
      </x:c>
      <x:c r="F389" s="83" t="s">
        <x:v>493</x:v>
      </x:c>
      <x:c r="G389" s="85" t="n">
        <x:v>46337</x:v>
      </x:c>
      <x:c r="H389" s="85" t="n">
        <x:v>46361</x:v>
      </x:c>
      <x:c r="I389" s="87" t="n">
        <x:v>51</x:v>
      </x:c>
      <x:c r="J389" s="83" t="s">
        <x:v>543</x:v>
      </x:c>
      <x:c r="K389" s="83" t="s">
        <x:v>396</x:v>
      </x:c>
      <x:c r="L389" s="83" t="s">
        <x:v>395</x:v>
      </x:c>
      <x:c r="M389" s="83" t="n">
        <x:v>86</x:v>
      </x:c>
      <x:c r="N389" s="83" t="n">
        <x:v>43</x:v>
      </x:c>
      <x:c r="O389" s="85" t="n">
        <x:v>46274</x:v>
      </x:c>
      <x:c r="P389" s="89" t="str">
        <x:f aca="0">A389&amp;TEXT(COUNTIF($A$6:A389,A389),"00")</x:f>
        <x:v>P06406</x:v>
      </x:c>
      <x:c r="Q389" s="89" t="str">
        <x:f aca="0">IF(I389&lt;100,A389&amp;"O"&amp;COUNTIFS($A$6:A389,A389,$I$6:I389,"&lt;100"),"")</x:f>
        <x:v>P064O6</x:v>
      </x:c>
      <x:c r="R389" s="89" t="str">
        <x:f aca="0">IF(I389&lt;100,D389&amp;"O"&amp;COUNTIFS($D$6:D389,D389,$I$6:I389,"&lt;100"),"")</x:f>
        <x:v>RohanO30</x:v>
      </x:c>
      <x:c r="S389" s="278" t="n">
        <x:f>IF(COUNTIF($B$6:$B$605,B389)&gt;1,1,0)</x:f>
        <x:v>0</x:v>
      </x:c>
    </x:row>
    <x:row r="390" ht="15" hidden="0">
      <x:c r="A390" s="83" t="s">
        <x:v>220</x:v>
      </x:c>
      <x:c r="B390" s="83" t="s">
        <x:v>932</x:v>
      </x:c>
      <x:c r="C390" s="83" t="s">
        <x:v>433</x:v>
      </x:c>
      <x:c r="D390" s="83" t="s">
        <x:v>442</x:v>
      </x:c>
      <x:c r="E390" s="83" t="s">
        <x:v>452</x:v>
      </x:c>
      <x:c r="F390" s="83" t="s">
        <x:v>546</x:v>
      </x:c>
      <x:c r="G390" s="85" t="n">
        <x:v>46268</x:v>
      </x:c>
      <x:c r="H390" s="85" t="n">
        <x:v>46285</x:v>
      </x:c>
      <x:c r="I390" s="87" t="n">
        <x:v>40</x:v>
      </x:c>
      <x:c r="J390" s="83" t="s">
        <x:v>543</x:v>
      </x:c>
      <x:c r="K390" s="83"/>
      <x:c r="L390" s="83" t="s">
        <x:v>395</x:v>
      </x:c>
      <x:c r="M390" s="83" t="n">
        <x:v>27</x:v>
      </x:c>
      <x:c r="N390" s="83" t="n">
        <x:v>88</x:v>
      </x:c>
      <x:c r="O390" s="85" t="n">
        <x:v>46274</x:v>
      </x:c>
      <x:c r="P390" s="89" t="str">
        <x:f aca="0">A390&amp;TEXT(COUNTIF($A$6:A390,A390),"00")</x:f>
        <x:v>P06501</x:v>
      </x:c>
      <x:c r="Q390" s="89" t="str">
        <x:f aca="0">IF(I390&lt;100,A390&amp;"O"&amp;COUNTIFS($A$6:A390,A390,$I$6:I390,"&lt;100"),"")</x:f>
        <x:v>P065O1</x:v>
      </x:c>
      <x:c r="R390" s="89" t="str">
        <x:f aca="0">IF(I390&lt;100,D390&amp;"O"&amp;COUNTIFS($D$6:D390,D390,$I$6:I390,"&lt;100"),"")</x:f>
        <x:v>RituO34</x:v>
      </x:c>
      <x:c r="S390" s="278" t="n">
        <x:f>IF(COUNTIF($B$6:$B$605,B390)&gt;1,1,0)</x:f>
        <x:v>0</x:v>
      </x:c>
    </x:row>
    <x:row r="391" ht="15" hidden="0">
      <x:c r="A391" s="83" t="s">
        <x:v>220</x:v>
      </x:c>
      <x:c r="B391" s="83" t="s">
        <x:v>933</x:v>
      </x:c>
      <x:c r="C391" s="83" t="s">
        <x:v>440</x:v>
      </x:c>
      <x:c r="D391" s="83" t="s">
        <x:v>446</x:v>
      </x:c>
      <x:c r="E391" s="83" t="s">
        <x:v>455</x:v>
      </x:c>
      <x:c r="F391" s="83" t="s">
        <x:v>493</x:v>
      </x:c>
      <x:c r="G391" s="85" t="n">
        <x:v>46282</x:v>
      </x:c>
      <x:c r="H391" s="85" t="n">
        <x:v>46291</x:v>
      </x:c>
      <x:c r="I391" s="87" t="n">
        <x:v>26</x:v>
      </x:c>
      <x:c r="J391" s="83" t="s">
        <x:v>543</x:v>
      </x:c>
      <x:c r="K391" s="83"/>
      <x:c r="L391" s="83" t="s">
        <x:v>395</x:v>
      </x:c>
      <x:c r="M391" s="83" t="n">
        <x:v>64</x:v>
      </x:c>
      <x:c r="N391" s="83" t="n">
        <x:v>80</x:v>
      </x:c>
      <x:c r="O391" s="85" t="n">
        <x:v>46274</x:v>
      </x:c>
      <x:c r="P391" s="89" t="str">
        <x:f aca="0">A391&amp;TEXT(COUNTIF($A$6:A391,A391),"00")</x:f>
        <x:v>P06502</x:v>
      </x:c>
      <x:c r="Q391" s="89" t="str">
        <x:f aca="0">IF(I391&lt;100,A391&amp;"O"&amp;COUNTIFS($A$6:A391,A391,$I$6:I391,"&lt;100"),"")</x:f>
        <x:v>P065O2</x:v>
      </x:c>
      <x:c r="R391" s="89" t="str">
        <x:f aca="0">IF(I391&lt;100,D391&amp;"O"&amp;COUNTIFS($D$6:D391,D391,$I$6:I391,"&lt;100"),"")</x:f>
        <x:v>SanjayO35</x:v>
      </x:c>
      <x:c r="S391" s="278" t="n">
        <x:f>IF(COUNTIF($B$6:$B$605,B391)&gt;1,1,0)</x:f>
        <x:v>0</x:v>
      </x:c>
    </x:row>
    <x:row r="392" ht="15" hidden="0">
      <x:c r="A392" s="83" t="s">
        <x:v>220</x:v>
      </x:c>
      <x:c r="B392" s="83" t="s">
        <x:v>934</x:v>
      </x:c>
      <x:c r="C392" s="83" t="s">
        <x:v>444</x:v>
      </x:c>
      <x:c r="D392" s="83" t="s">
        <x:v>449</x:v>
      </x:c>
      <x:c r="E392" s="83" t="s">
        <x:v>462</x:v>
      </x:c>
      <x:c r="F392" s="83" t="s">
        <x:v>557</x:v>
      </x:c>
      <x:c r="G392" s="85" t="n">
        <x:v>46296</x:v>
      </x:c>
      <x:c r="H392" s="85" t="n">
        <x:v>46315</x:v>
      </x:c>
      <x:c r="I392" s="87" t="n">
        <x:v>23</x:v>
      </x:c>
      <x:c r="J392" s="83" t="s">
        <x:v>543</x:v>
      </x:c>
      <x:c r="K392" s="83" t="s">
        <x:v>396</x:v>
      </x:c>
      <x:c r="L392" s="83" t="s">
        <x:v>395</x:v>
      </x:c>
      <x:c r="M392" s="83" t="n">
        <x:v>60</x:v>
      </x:c>
      <x:c r="N392" s="83" t="n">
        <x:v>20</x:v>
      </x:c>
      <x:c r="O392" s="85" t="n">
        <x:v>46274</x:v>
      </x:c>
      <x:c r="P392" s="89" t="str">
        <x:f aca="0">A392&amp;TEXT(COUNTIF($A$6:A392,A392),"00")</x:f>
        <x:v>P06503</x:v>
      </x:c>
      <x:c r="Q392" s="89" t="str">
        <x:f aca="0">IF(I392&lt;100,A392&amp;"O"&amp;COUNTIFS($A$6:A392,A392,$I$6:I392,"&lt;100"),"")</x:f>
        <x:v>P065O3</x:v>
      </x:c>
      <x:c r="R392" s="89" t="str">
        <x:f aca="0">IF(I392&lt;100,D392&amp;"O"&amp;COUNTIFS($D$6:D392,D392,$I$6:I392,"&lt;100"),"")</x:f>
        <x:v>AnilO33</x:v>
      </x:c>
      <x:c r="S392" s="278" t="n">
        <x:f>IF(COUNTIF($B$6:$B$605,B392)&gt;1,1,0)</x:f>
        <x:v>0</x:v>
      </x:c>
    </x:row>
    <x:row r="393" ht="15" hidden="0">
      <x:c r="A393" s="83" t="s">
        <x:v>220</x:v>
      </x:c>
      <x:c r="B393" s="83" t="s">
        <x:v>935</x:v>
      </x:c>
      <x:c r="C393" s="83" t="s">
        <x:v>448</x:v>
      </x:c>
      <x:c r="D393" s="83" t="s">
        <x:v>452</x:v>
      </x:c>
      <x:c r="E393" s="83" t="s">
        <x:v>360</x:v>
      </x:c>
      <x:c r="F393" s="83" t="s">
        <x:v>546</x:v>
      </x:c>
      <x:c r="G393" s="85" t="n">
        <x:v>46310</x:v>
      </x:c>
      <x:c r="H393" s="85" t="n">
        <x:v>46325</x:v>
      </x:c>
      <x:c r="I393" s="87" t="n">
        <x:v>36</x:v>
      </x:c>
      <x:c r="J393" s="83" t="s">
        <x:v>543</x:v>
      </x:c>
      <x:c r="K393" s="83"/>
      <x:c r="L393" s="83" t="s">
        <x:v>395</x:v>
      </x:c>
      <x:c r="M393" s="83" t="n">
        <x:v>48</x:v>
      </x:c>
      <x:c r="N393" s="83" t="n">
        <x:v>58</x:v>
      </x:c>
      <x:c r="O393" s="85" t="n">
        <x:v>46274</x:v>
      </x:c>
      <x:c r="P393" s="89" t="str">
        <x:f aca="0">A393&amp;TEXT(COUNTIF($A$6:A393,A393),"00")</x:f>
        <x:v>P06504</x:v>
      </x:c>
      <x:c r="Q393" s="89" t="str">
        <x:f aca="0">IF(I393&lt;100,A393&amp;"O"&amp;COUNTIFS($A$6:A393,A393,$I$6:I393,"&lt;100"),"")</x:f>
        <x:v>P065O4</x:v>
      </x:c>
      <x:c r="R393" s="89" t="str">
        <x:f aca="0">IF(I393&lt;100,D393&amp;"O"&amp;COUNTIFS($D$6:D393,D393,$I$6:I393,"&lt;100"),"")</x:f>
        <x:v>KavyaO32</x:v>
      </x:c>
      <x:c r="S393" s="278" t="n">
        <x:f>IF(COUNTIF($B$6:$B$605,B393)&gt;1,1,0)</x:f>
        <x:v>0</x:v>
      </x:c>
    </x:row>
    <x:row r="394" ht="15" hidden="0">
      <x:c r="A394" s="83" t="s">
        <x:v>220</x:v>
      </x:c>
      <x:c r="B394" s="83" t="s">
        <x:v>936</x:v>
      </x:c>
      <x:c r="C394" s="83" t="s">
        <x:v>451</x:v>
      </x:c>
      <x:c r="D394" s="83" t="s">
        <x:v>455</x:v>
      </x:c>
      <x:c r="E394" s="83" t="s">
        <x:v>475</x:v>
      </x:c>
      <x:c r="F394" s="83" t="s">
        <x:v>557</x:v>
      </x:c>
      <x:c r="G394" s="85" t="n">
        <x:v>46324</x:v>
      </x:c>
      <x:c r="H394" s="85" t="n">
        <x:v>46345</x:v>
      </x:c>
      <x:c r="I394" s="87" t="n">
        <x:v>38</x:v>
      </x:c>
      <x:c r="J394" s="83" t="s">
        <x:v>543</x:v>
      </x:c>
      <x:c r="K394" s="83"/>
      <x:c r="L394" s="83" t="s">
        <x:v>395</x:v>
      </x:c>
      <x:c r="M394" s="83" t="n">
        <x:v>68</x:v>
      </x:c>
      <x:c r="N394" s="83" t="n">
        <x:v>40</x:v>
      </x:c>
      <x:c r="O394" s="85" t="n">
        <x:v>46274</x:v>
      </x:c>
      <x:c r="P394" s="89" t="str">
        <x:f aca="0">A394&amp;TEXT(COUNTIF($A$6:A394,A394),"00")</x:f>
        <x:v>P06505</x:v>
      </x:c>
      <x:c r="Q394" s="89" t="str">
        <x:f aca="0">IF(I394&lt;100,A394&amp;"O"&amp;COUNTIFS($A$6:A394,A394,$I$6:I394,"&lt;100"),"")</x:f>
        <x:v>P065O5</x:v>
      </x:c>
      <x:c r="R394" s="89" t="str">
        <x:f aca="0">IF(I394&lt;100,D394&amp;"O"&amp;COUNTIFS($D$6:D394,D394,$I$6:I394,"&lt;100"),"")</x:f>
        <x:v>RohanO31</x:v>
      </x:c>
      <x:c r="S394" s="278" t="n">
        <x:f>IF(COUNTIF($B$6:$B$605,B394)&gt;1,1,0)</x:f>
        <x:v>0</x:v>
      </x:c>
    </x:row>
    <x:row r="395" ht="15" hidden="0">
      <x:c r="A395" s="83" t="s">
        <x:v>220</x:v>
      </x:c>
      <x:c r="B395" s="83" t="s">
        <x:v>937</x:v>
      </x:c>
      <x:c r="C395" s="83" t="s">
        <x:v>454</x:v>
      </x:c>
      <x:c r="D395" s="83" t="s">
        <x:v>462</x:v>
      </x:c>
      <x:c r="E395" s="83" t="s">
        <x:v>434</x:v>
      </x:c>
      <x:c r="F395" s="83" t="s">
        <x:v>550</x:v>
      </x:c>
      <x:c r="G395" s="85" t="n">
        <x:v>46338</x:v>
      </x:c>
      <x:c r="H395" s="85" t="n">
        <x:v>46351</x:v>
      </x:c>
      <x:c r="I395" s="87" t="n">
        <x:v>58</x:v>
      </x:c>
      <x:c r="J395" s="83" t="s">
        <x:v>543</x:v>
      </x:c>
      <x:c r="K395" s="83"/>
      <x:c r="L395" s="83" t="s">
        <x:v>395</x:v>
      </x:c>
      <x:c r="M395" s="83" t="n">
        <x:v>58</x:v>
      </x:c>
      <x:c r="N395" s="83" t="n">
        <x:v>81</x:v>
      </x:c>
      <x:c r="O395" s="85" t="n">
        <x:v>46274</x:v>
      </x:c>
      <x:c r="P395" s="89" t="str">
        <x:f aca="0">A395&amp;TEXT(COUNTIF($A$6:A395,A395),"00")</x:f>
        <x:v>P06506</x:v>
      </x:c>
      <x:c r="Q395" s="89" t="str">
        <x:f aca="0">IF(I395&lt;100,A395&amp;"O"&amp;COUNTIFS($A$6:A395,A395,$I$6:I395,"&lt;100"),"")</x:f>
        <x:v>P065O6</x:v>
      </x:c>
      <x:c r="R395" s="89" t="str">
        <x:f aca="0">IF(I395&lt;100,D395&amp;"O"&amp;COUNTIFS($D$6:D395,D395,$I$6:I395,"&lt;100"),"")</x:f>
        <x:v>DeepaO31</x:v>
      </x:c>
      <x:c r="S395" s="278" t="n">
        <x:f>IF(COUNTIF($B$6:$B$605,B395)&gt;1,1,0)</x:f>
        <x:v>0</x:v>
      </x:c>
    </x:row>
    <x:row r="396" ht="15" hidden="0">
      <x:c r="A396" s="83" t="s">
        <x:v>191</x:v>
      </x:c>
      <x:c r="B396" s="83" t="s">
        <x:v>938</x:v>
      </x:c>
      <x:c r="C396" s="83" t="s">
        <x:v>433</x:v>
      </x:c>
      <x:c r="D396" s="83" t="s">
        <x:v>446</x:v>
      </x:c>
      <x:c r="E396" s="83" t="s">
        <x:v>455</x:v>
      </x:c>
      <x:c r="F396" s="83" t="s">
        <x:v>557</x:v>
      </x:c>
      <x:c r="G396" s="85" t="n">
        <x:v>46269</x:v>
      </x:c>
      <x:c r="H396" s="85" t="n">
        <x:v>46280</x:v>
      </x:c>
      <x:c r="I396" s="87" t="n">
        <x:v>37</x:v>
      </x:c>
      <x:c r="J396" s="83" t="s">
        <x:v>543</x:v>
      </x:c>
      <x:c r="K396" s="83" t="s">
        <x:v>396</x:v>
      </x:c>
      <x:c r="L396" s="83" t="s">
        <x:v>395</x:v>
      </x:c>
      <x:c r="M396" s="83" t="n">
        <x:v>98</x:v>
      </x:c>
      <x:c r="N396" s="83" t="n">
        <x:v>88</x:v>
      </x:c>
      <x:c r="O396" s="85" t="n">
        <x:v>46274</x:v>
      </x:c>
      <x:c r="P396" s="89" t="str">
        <x:f aca="0">A396&amp;TEXT(COUNTIF($A$6:A396,A396),"00")</x:f>
        <x:v>P06601</x:v>
      </x:c>
      <x:c r="Q396" s="89" t="str">
        <x:f aca="0">IF(I396&lt;100,A396&amp;"O"&amp;COUNTIFS($A$6:A396,A396,$I$6:I396,"&lt;100"),"")</x:f>
        <x:v>P066O1</x:v>
      </x:c>
      <x:c r="R396" s="89" t="str">
        <x:f aca="0">IF(I396&lt;100,D396&amp;"O"&amp;COUNTIFS($D$6:D396,D396,$I$6:I396,"&lt;100"),"")</x:f>
        <x:v>SanjayO36</x:v>
      </x:c>
      <x:c r="S396" s="278" t="n">
        <x:f>IF(COUNTIF($B$6:$B$605,B396)&gt;1,1,0)</x:f>
        <x:v>0</x:v>
      </x:c>
    </x:row>
    <x:row r="397" ht="15" hidden="0">
      <x:c r="A397" s="83" t="s">
        <x:v>191</x:v>
      </x:c>
      <x:c r="B397" s="83" t="s">
        <x:v>939</x:v>
      </x:c>
      <x:c r="C397" s="83" t="s">
        <x:v>440</x:v>
      </x:c>
      <x:c r="D397" s="83" t="s">
        <x:v>449</x:v>
      </x:c>
      <x:c r="E397" s="83" t="s">
        <x:v>462</x:v>
      </x:c>
      <x:c r="F397" s="83" t="s">
        <x:v>550</x:v>
      </x:c>
      <x:c r="G397" s="85" t="n">
        <x:v>46283</x:v>
      </x:c>
      <x:c r="H397" s="85" t="n">
        <x:v>46294</x:v>
      </x:c>
      <x:c r="I397" s="87" t="n">
        <x:v>31</x:v>
      </x:c>
      <x:c r="J397" s="83" t="s">
        <x:v>543</x:v>
      </x:c>
      <x:c r="K397" s="83"/>
      <x:c r="L397" s="83" t="s">
        <x:v>395</x:v>
      </x:c>
      <x:c r="M397" s="83" t="n">
        <x:v>86</x:v>
      </x:c>
      <x:c r="N397" s="83" t="n">
        <x:v>20</x:v>
      </x:c>
      <x:c r="O397" s="85" t="n">
        <x:v>46274</x:v>
      </x:c>
      <x:c r="P397" s="89" t="str">
        <x:f aca="0">A397&amp;TEXT(COUNTIF($A$6:A397,A397),"00")</x:f>
        <x:v>P06602</x:v>
      </x:c>
      <x:c r="Q397" s="89" t="str">
        <x:f aca="0">IF(I397&lt;100,A397&amp;"O"&amp;COUNTIFS($A$6:A397,A397,$I$6:I397,"&lt;100"),"")</x:f>
        <x:v>P066O2</x:v>
      </x:c>
      <x:c r="R397" s="89" t="str">
        <x:f aca="0">IF(I397&lt;100,D397&amp;"O"&amp;COUNTIFS($D$6:D397,D397,$I$6:I397,"&lt;100"),"")</x:f>
        <x:v>AnilO34</x:v>
      </x:c>
      <x:c r="S397" s="278" t="n">
        <x:f>IF(COUNTIF($B$6:$B$605,B397)&gt;1,1,0)</x:f>
        <x:v>0</x:v>
      </x:c>
    </x:row>
    <x:row r="398" ht="15" hidden="0">
      <x:c r="A398" s="83" t="s">
        <x:v>191</x:v>
      </x:c>
      <x:c r="B398" s="83" t="s">
        <x:v>940</x:v>
      </x:c>
      <x:c r="C398" s="83" t="s">
        <x:v>444</x:v>
      </x:c>
      <x:c r="D398" s="83" t="s">
        <x:v>452</x:v>
      </x:c>
      <x:c r="E398" s="83" t="s">
        <x:v>360</x:v>
      </x:c>
      <x:c r="F398" s="83" t="s">
        <x:v>557</x:v>
      </x:c>
      <x:c r="G398" s="85" t="n">
        <x:v>46297</x:v>
      </x:c>
      <x:c r="H398" s="85" t="n">
        <x:v>46315</x:v>
      </x:c>
      <x:c r="I398" s="87" t="n">
        <x:v>65</x:v>
      </x:c>
      <x:c r="J398" s="83" t="s">
        <x:v>543</x:v>
      </x:c>
      <x:c r="K398" s="83" t="s">
        <x:v>396</x:v>
      </x:c>
      <x:c r="L398" s="83" t="s">
        <x:v>395</x:v>
      </x:c>
      <x:c r="M398" s="83" t="n">
        <x:v>48</x:v>
      </x:c>
      <x:c r="N398" s="83" t="n">
        <x:v>83</x:v>
      </x:c>
      <x:c r="O398" s="85" t="n">
        <x:v>46274</x:v>
      </x:c>
      <x:c r="P398" s="89" t="str">
        <x:f aca="0">A398&amp;TEXT(COUNTIF($A$6:A398,A398),"00")</x:f>
        <x:v>P06603</x:v>
      </x:c>
      <x:c r="Q398" s="89" t="str">
        <x:f aca="0">IF(I398&lt;100,A398&amp;"O"&amp;COUNTIFS($A$6:A398,A398,$I$6:I398,"&lt;100"),"")</x:f>
        <x:v>P066O3</x:v>
      </x:c>
      <x:c r="R398" s="89" t="str">
        <x:f aca="0">IF(I398&lt;100,D398&amp;"O"&amp;COUNTIFS($D$6:D398,D398,$I$6:I398,"&lt;100"),"")</x:f>
        <x:v>KavyaO33</x:v>
      </x:c>
      <x:c r="S398" s="278" t="n">
        <x:f>IF(COUNTIF($B$6:$B$605,B398)&gt;1,1,0)</x:f>
        <x:v>0</x:v>
      </x:c>
    </x:row>
    <x:row r="399" ht="15" hidden="0">
      <x:c r="A399" s="83" t="s">
        <x:v>191</x:v>
      </x:c>
      <x:c r="B399" s="83" t="s">
        <x:v>941</x:v>
      </x:c>
      <x:c r="C399" s="83" t="s">
        <x:v>448</x:v>
      </x:c>
      <x:c r="D399" s="83" t="s">
        <x:v>455</x:v>
      </x:c>
      <x:c r="E399" s="83" t="s">
        <x:v>475</x:v>
      </x:c>
      <x:c r="F399" s="83" t="s">
        <x:v>550</x:v>
      </x:c>
      <x:c r="G399" s="85" t="n">
        <x:v>46311</x:v>
      </x:c>
      <x:c r="H399" s="85" t="n">
        <x:v>46330</x:v>
      </x:c>
      <x:c r="I399" s="87" t="n">
        <x:v>58</x:v>
      </x:c>
      <x:c r="J399" s="83" t="s">
        <x:v>543</x:v>
      </x:c>
      <x:c r="K399" s="83" t="s">
        <x:v>396</x:v>
      </x:c>
      <x:c r="L399" s="83" t="s">
        <x:v>395</x:v>
      </x:c>
      <x:c r="M399" s="83" t="n">
        <x:v>96</x:v>
      </x:c>
      <x:c r="N399" s="83" t="n">
        <x:v>30</x:v>
      </x:c>
      <x:c r="O399" s="85" t="n">
        <x:v>46274</x:v>
      </x:c>
      <x:c r="P399" s="89" t="str">
        <x:f aca="0">A399&amp;TEXT(COUNTIF($A$6:A399,A399),"00")</x:f>
        <x:v>P06604</x:v>
      </x:c>
      <x:c r="Q399" s="89" t="str">
        <x:f aca="0">IF(I399&lt;100,A399&amp;"O"&amp;COUNTIFS($A$6:A399,A399,$I$6:I399,"&lt;100"),"")</x:f>
        <x:v>P066O4</x:v>
      </x:c>
      <x:c r="R399" s="89" t="str">
        <x:f aca="0">IF(I399&lt;100,D399&amp;"O"&amp;COUNTIFS($D$6:D399,D399,$I$6:I399,"&lt;100"),"")</x:f>
        <x:v>RohanO32</x:v>
      </x:c>
      <x:c r="S399" s="278" t="n">
        <x:f>IF(COUNTIF($B$6:$B$605,B399)&gt;1,1,0)</x:f>
        <x:v>0</x:v>
      </x:c>
    </x:row>
    <x:row r="400" ht="15" hidden="0">
      <x:c r="A400" s="83" t="s">
        <x:v>191</x:v>
      </x:c>
      <x:c r="B400" s="83" t="s">
        <x:v>942</x:v>
      </x:c>
      <x:c r="C400" s="83" t="s">
        <x:v>451</x:v>
      </x:c>
      <x:c r="D400" s="83" t="s">
        <x:v>462</x:v>
      </x:c>
      <x:c r="E400" s="83" t="s">
        <x:v>434</x:v>
      </x:c>
      <x:c r="F400" s="83" t="s">
        <x:v>550</x:v>
      </x:c>
      <x:c r="G400" s="85" t="n">
        <x:v>46325</x:v>
      </x:c>
      <x:c r="H400" s="85" t="n">
        <x:v>46340</x:v>
      </x:c>
      <x:c r="I400" s="87" t="n">
        <x:v>48</x:v>
      </x:c>
      <x:c r="J400" s="83" t="s">
        <x:v>543</x:v>
      </x:c>
      <x:c r="K400" s="83"/>
      <x:c r="L400" s="83" t="s">
        <x:v>395</x:v>
      </x:c>
      <x:c r="M400" s="83" t="n">
        <x:v>26</x:v>
      </x:c>
      <x:c r="N400" s="83" t="n">
        <x:v>15</x:v>
      </x:c>
      <x:c r="O400" s="85" t="n">
        <x:v>46274</x:v>
      </x:c>
      <x:c r="P400" s="89" t="str">
        <x:f aca="0">A400&amp;TEXT(COUNTIF($A$6:A400,A400),"00")</x:f>
        <x:v>P06605</x:v>
      </x:c>
      <x:c r="Q400" s="89" t="str">
        <x:f aca="0">IF(I400&lt;100,A400&amp;"O"&amp;COUNTIFS($A$6:A400,A400,$I$6:I400,"&lt;100"),"")</x:f>
        <x:v>P066O5</x:v>
      </x:c>
      <x:c r="R400" s="89" t="str">
        <x:f aca="0">IF(I400&lt;100,D400&amp;"O"&amp;COUNTIFS($D$6:D400,D400,$I$6:I400,"&lt;100"),"")</x:f>
        <x:v>DeepaO32</x:v>
      </x:c>
      <x:c r="S400" s="278" t="n">
        <x:f>IF(COUNTIF($B$6:$B$605,B400)&gt;1,1,0)</x:f>
        <x:v>0</x:v>
      </x:c>
    </x:row>
    <x:row r="401" ht="15" hidden="0">
      <x:c r="A401" s="83" t="s">
        <x:v>191</x:v>
      </x:c>
      <x:c r="B401" s="83" t="s">
        <x:v>943</x:v>
      </x:c>
      <x:c r="C401" s="83" t="s">
        <x:v>454</x:v>
      </x:c>
      <x:c r="D401" s="83" t="s">
        <x:v>360</x:v>
      </x:c>
      <x:c r="E401" s="83" t="s">
        <x:v>441</x:v>
      </x:c>
      <x:c r="F401" s="83" t="s">
        <x:v>493</x:v>
      </x:c>
      <x:c r="G401" s="85" t="n">
        <x:v>46339</x:v>
      </x:c>
      <x:c r="H401" s="85" t="n">
        <x:v>46348</x:v>
      </x:c>
      <x:c r="I401" s="87" t="n">
        <x:v>65</x:v>
      </x:c>
      <x:c r="J401" s="83" t="s">
        <x:v>543</x:v>
      </x:c>
      <x:c r="K401" s="83"/>
      <x:c r="L401" s="83" t="s">
        <x:v>395</x:v>
      </x:c>
      <x:c r="M401" s="83" t="n">
        <x:v>57</x:v>
      </x:c>
      <x:c r="N401" s="83" t="n">
        <x:v>23</x:v>
      </x:c>
      <x:c r="O401" s="85" t="n">
        <x:v>46274</x:v>
      </x:c>
      <x:c r="P401" s="89" t="str">
        <x:f aca="0">A401&amp;TEXT(COUNTIF($A$6:A401,A401),"00")</x:f>
        <x:v>P06606</x:v>
      </x:c>
      <x:c r="Q401" s="89" t="str">
        <x:f aca="0">IF(I401&lt;100,A401&amp;"O"&amp;COUNTIFS($A$6:A401,A401,$I$6:I401,"&lt;100"),"")</x:f>
        <x:v>P066O6</x:v>
      </x:c>
      <x:c r="R401" s="89" t="str">
        <x:f aca="0">IF(I401&lt;100,D401&amp;"O"&amp;COUNTIFS($D$6:D401,D401,$I$6:I401,"&lt;100"),"")</x:f>
        <x:v>AmitO31</x:v>
      </x:c>
      <x:c r="S401" s="278" t="n">
        <x:f>IF(COUNTIF($B$6:$B$605,B401)&gt;1,1,0)</x:f>
        <x:v>0</x:v>
      </x:c>
    </x:row>
    <x:row r="402" ht="15" hidden="0">
      <x:c r="A402" s="83" t="s">
        <x:v>288</x:v>
      </x:c>
      <x:c r="B402" s="83" t="s">
        <x:v>944</x:v>
      </x:c>
      <x:c r="C402" s="83" t="s">
        <x:v>433</x:v>
      </x:c>
      <x:c r="D402" s="83" t="s">
        <x:v>449</x:v>
      </x:c>
      <x:c r="E402" s="83" t="s">
        <x:v>462</x:v>
      </x:c>
      <x:c r="F402" s="83" t="s">
        <x:v>493</x:v>
      </x:c>
      <x:c r="G402" s="85" t="n">
        <x:v>46270</x:v>
      </x:c>
      <x:c r="H402" s="85" t="n">
        <x:v>46290</x:v>
      </x:c>
      <x:c r="I402" s="87" t="n">
        <x:v>100</x:v>
      </x:c>
      <x:c r="J402" s="83" t="s">
        <x:v>595</x:v>
      </x:c>
      <x:c r="K402" s="83"/>
      <x:c r="L402" s="83" t="s">
        <x:v>395</x:v>
      </x:c>
      <x:c r="M402" s="83" t="n">
        <x:v>42</x:v>
      </x:c>
      <x:c r="N402" s="83" t="n">
        <x:v>91</x:v>
      </x:c>
      <x:c r="O402" s="85" t="n">
        <x:v>46274</x:v>
      </x:c>
      <x:c r="P402" s="89" t="str">
        <x:f aca="0">A402&amp;TEXT(COUNTIF($A$6:A402,A402),"00")</x:f>
        <x:v>P06701</x:v>
      </x:c>
      <x:c r="Q402" s="89" t="str">
        <x:f aca="0">IF(I402&lt;100,A402&amp;"O"&amp;COUNTIFS($A$6:A402,A402,$I$6:I402,"&lt;100"),"")</x:f>
      </x:c>
      <x:c r="R402" s="89" t="str">
        <x:f aca="0">IF(I402&lt;100,D402&amp;"O"&amp;COUNTIFS($D$6:D402,D402,$I$6:I402,"&lt;100"),"")</x:f>
      </x:c>
      <x:c r="S402" s="278" t="n">
        <x:f>IF(COUNTIF($B$6:$B$605,B402)&gt;1,1,0)</x:f>
        <x:v>0</x:v>
      </x:c>
    </x:row>
    <x:row r="403" ht="15" hidden="0">
      <x:c r="A403" s="83" t="s">
        <x:v>288</x:v>
      </x:c>
      <x:c r="B403" s="83" t="s">
        <x:v>945</x:v>
      </x:c>
      <x:c r="C403" s="83" t="s">
        <x:v>440</x:v>
      </x:c>
      <x:c r="D403" s="83" t="s">
        <x:v>452</x:v>
      </x:c>
      <x:c r="E403" s="83" t="s">
        <x:v>360</x:v>
      </x:c>
      <x:c r="F403" s="83" t="s">
        <x:v>546</x:v>
      </x:c>
      <x:c r="G403" s="85" t="n">
        <x:v>46284</x:v>
      </x:c>
      <x:c r="H403" s="85" t="n">
        <x:v>46302</x:v>
      </x:c>
      <x:c r="I403" s="87" t="n">
        <x:v>81</x:v>
      </x:c>
      <x:c r="J403" s="83" t="s">
        <x:v>543</x:v>
      </x:c>
      <x:c r="K403" s="83" t="s">
        <x:v>396</x:v>
      </x:c>
      <x:c r="L403" s="83" t="s">
        <x:v>395</x:v>
      </x:c>
      <x:c r="M403" s="83" t="n">
        <x:v>84</x:v>
      </x:c>
      <x:c r="N403" s="83" t="n">
        <x:v>104</x:v>
      </x:c>
      <x:c r="O403" s="85" t="n">
        <x:v>46274</x:v>
      </x:c>
      <x:c r="P403" s="89" t="str">
        <x:f aca="0">A403&amp;TEXT(COUNTIF($A$6:A403,A403),"00")</x:f>
        <x:v>P06702</x:v>
      </x:c>
      <x:c r="Q403" s="89" t="str">
        <x:f aca="0">IF(I403&lt;100,A403&amp;"O"&amp;COUNTIFS($A$6:A403,A403,$I$6:I403,"&lt;100"),"")</x:f>
        <x:v>P067O1</x:v>
      </x:c>
      <x:c r="R403" s="89" t="str">
        <x:f aca="0">IF(I403&lt;100,D403&amp;"O"&amp;COUNTIFS($D$6:D403,D403,$I$6:I403,"&lt;100"),"")</x:f>
        <x:v>KavyaO34</x:v>
      </x:c>
      <x:c r="S403" s="278" t="n">
        <x:f>IF(COUNTIF($B$6:$B$605,B403)&gt;1,1,0)</x:f>
        <x:v>0</x:v>
      </x:c>
    </x:row>
    <x:row r="404" ht="15" hidden="0">
      <x:c r="A404" s="83" t="s">
        <x:v>288</x:v>
      </x:c>
      <x:c r="B404" s="83" t="s">
        <x:v>946</x:v>
      </x:c>
      <x:c r="C404" s="83" t="s">
        <x:v>444</x:v>
      </x:c>
      <x:c r="D404" s="83" t="s">
        <x:v>455</x:v>
      </x:c>
      <x:c r="E404" s="83" t="s">
        <x:v>475</x:v>
      </x:c>
      <x:c r="F404" s="83" t="s">
        <x:v>550</x:v>
      </x:c>
      <x:c r="G404" s="85" t="n">
        <x:v>46298</x:v>
      </x:c>
      <x:c r="H404" s="85" t="n">
        <x:v>46314</x:v>
      </x:c>
      <x:c r="I404" s="87" t="n">
        <x:v>79</x:v>
      </x:c>
      <x:c r="J404" s="83" t="s">
        <x:v>543</x:v>
      </x:c>
      <x:c r="K404" s="83"/>
      <x:c r="L404" s="83" t="s">
        <x:v>395</x:v>
      </x:c>
      <x:c r="M404" s="83" t="n">
        <x:v>48</x:v>
      </x:c>
      <x:c r="N404" s="83" t="n">
        <x:v>86</x:v>
      </x:c>
      <x:c r="O404" s="85" t="n">
        <x:v>46274</x:v>
      </x:c>
      <x:c r="P404" s="89" t="str">
        <x:f aca="0">A404&amp;TEXT(COUNTIF($A$6:A404,A404),"00")</x:f>
        <x:v>P06703</x:v>
      </x:c>
      <x:c r="Q404" s="89" t="str">
        <x:f aca="0">IF(I404&lt;100,A404&amp;"O"&amp;COUNTIFS($A$6:A404,A404,$I$6:I404,"&lt;100"),"")</x:f>
        <x:v>P067O2</x:v>
      </x:c>
      <x:c r="R404" s="89" t="str">
        <x:f aca="0">IF(I404&lt;100,D404&amp;"O"&amp;COUNTIFS($D$6:D404,D404,$I$6:I404,"&lt;100"),"")</x:f>
        <x:v>RohanO33</x:v>
      </x:c>
      <x:c r="S404" s="278" t="n">
        <x:f>IF(COUNTIF($B$6:$B$605,B404)&gt;1,1,0)</x:f>
        <x:v>0</x:v>
      </x:c>
    </x:row>
    <x:row r="405" ht="15" hidden="0">
      <x:c r="A405" s="83" t="s">
        <x:v>288</x:v>
      </x:c>
      <x:c r="B405" s="83" t="s">
        <x:v>947</x:v>
      </x:c>
      <x:c r="C405" s="83" t="s">
        <x:v>448</x:v>
      </x:c>
      <x:c r="D405" s="83" t="s">
        <x:v>462</x:v>
      </x:c>
      <x:c r="E405" s="83" t="s">
        <x:v>434</x:v>
      </x:c>
      <x:c r="F405" s="83" t="s">
        <x:v>546</x:v>
      </x:c>
      <x:c r="G405" s="85" t="n">
        <x:v>46312</x:v>
      </x:c>
      <x:c r="H405" s="85" t="n">
        <x:v>46325</x:v>
      </x:c>
      <x:c r="I405" s="87" t="n">
        <x:v>87</x:v>
      </x:c>
      <x:c r="J405" s="83" t="s">
        <x:v>543</x:v>
      </x:c>
      <x:c r="K405" s="83" t="s">
        <x:v>396</x:v>
      </x:c>
      <x:c r="L405" s="83" t="s">
        <x:v>395</x:v>
      </x:c>
      <x:c r="M405" s="83" t="n">
        <x:v>45</x:v>
      </x:c>
      <x:c r="N405" s="83" t="n">
        <x:v>57</x:v>
      </x:c>
      <x:c r="O405" s="85" t="n">
        <x:v>46274</x:v>
      </x:c>
      <x:c r="P405" s="89" t="str">
        <x:f aca="0">A405&amp;TEXT(COUNTIF($A$6:A405,A405),"00")</x:f>
        <x:v>P06704</x:v>
      </x:c>
      <x:c r="Q405" s="89" t="str">
        <x:f aca="0">IF(I405&lt;100,A405&amp;"O"&amp;COUNTIFS($A$6:A405,A405,$I$6:I405,"&lt;100"),"")</x:f>
        <x:v>P067O3</x:v>
      </x:c>
      <x:c r="R405" s="89" t="str">
        <x:f aca="0">IF(I405&lt;100,D405&amp;"O"&amp;COUNTIFS($D$6:D405,D405,$I$6:I405,"&lt;100"),"")</x:f>
        <x:v>DeepaO33</x:v>
      </x:c>
      <x:c r="S405" s="278" t="n">
        <x:f>IF(COUNTIF($B$6:$B$605,B405)&gt;1,1,0)</x:f>
        <x:v>0</x:v>
      </x:c>
    </x:row>
    <x:row r="406" ht="15" hidden="0">
      <x:c r="A406" s="83" t="s">
        <x:v>288</x:v>
      </x:c>
      <x:c r="B406" s="83" t="s">
        <x:v>948</x:v>
      </x:c>
      <x:c r="C406" s="83" t="s">
        <x:v>451</x:v>
      </x:c>
      <x:c r="D406" s="83" t="s">
        <x:v>360</x:v>
      </x:c>
      <x:c r="E406" s="83" t="s">
        <x:v>441</x:v>
      </x:c>
      <x:c r="F406" s="83" t="s">
        <x:v>546</x:v>
      </x:c>
      <x:c r="G406" s="85" t="n">
        <x:v>46326</x:v>
      </x:c>
      <x:c r="H406" s="85" t="n">
        <x:v>46338</x:v>
      </x:c>
      <x:c r="I406" s="87" t="n">
        <x:v>100</x:v>
      </x:c>
      <x:c r="J406" s="83" t="s">
        <x:v>595</x:v>
      </x:c>
      <x:c r="K406" s="83" t="s">
        <x:v>396</x:v>
      </x:c>
      <x:c r="L406" s="83" t="s">
        <x:v>395</x:v>
      </x:c>
      <x:c r="M406" s="83" t="n">
        <x:v>45</x:v>
      </x:c>
      <x:c r="N406" s="83" t="n">
        <x:v>91</x:v>
      </x:c>
      <x:c r="O406" s="85" t="n">
        <x:v>46274</x:v>
      </x:c>
      <x:c r="P406" s="89" t="str">
        <x:f aca="0">A406&amp;TEXT(COUNTIF($A$6:A406,A406),"00")</x:f>
        <x:v>P06705</x:v>
      </x:c>
      <x:c r="Q406" s="89" t="str">
        <x:f aca="0">IF(I406&lt;100,A406&amp;"O"&amp;COUNTIFS($A$6:A406,A406,$I$6:I406,"&lt;100"),"")</x:f>
      </x:c>
      <x:c r="R406" s="89" t="str">
        <x:f aca="0">IF(I406&lt;100,D406&amp;"O"&amp;COUNTIFS($D$6:D406,D406,$I$6:I406,"&lt;100"),"")</x:f>
      </x:c>
      <x:c r="S406" s="278" t="n">
        <x:f>IF(COUNTIF($B$6:$B$605,B406)&gt;1,1,0)</x:f>
        <x:v>0</x:v>
      </x:c>
    </x:row>
    <x:row r="407" ht="15" hidden="0">
      <x:c r="A407" s="83" t="s">
        <x:v>288</x:v>
      </x:c>
      <x:c r="B407" s="83" t="s">
        <x:v>949</x:v>
      </x:c>
      <x:c r="C407" s="83" t="s">
        <x:v>454</x:v>
      </x:c>
      <x:c r="D407" s="83" t="s">
        <x:v>475</x:v>
      </x:c>
      <x:c r="E407" s="83" t="s">
        <x:v>445</x:v>
      </x:c>
      <x:c r="F407" s="83" t="s">
        <x:v>557</x:v>
      </x:c>
      <x:c r="G407" s="85" t="n">
        <x:v>46340</x:v>
      </x:c>
      <x:c r="H407" s="85" t="n">
        <x:v>46357</x:v>
      </x:c>
      <x:c r="I407" s="87" t="n">
        <x:v>100</x:v>
      </x:c>
      <x:c r="J407" s="83" t="s">
        <x:v>595</x:v>
      </x:c>
      <x:c r="K407" s="83"/>
      <x:c r="L407" s="83" t="s">
        <x:v>395</x:v>
      </x:c>
      <x:c r="M407" s="83" t="n">
        <x:v>55</x:v>
      </x:c>
      <x:c r="N407" s="83" t="n">
        <x:v>50</x:v>
      </x:c>
      <x:c r="O407" s="85" t="n">
        <x:v>46274</x:v>
      </x:c>
      <x:c r="P407" s="89" t="str">
        <x:f aca="0">A407&amp;TEXT(COUNTIF($A$6:A407,A407),"00")</x:f>
        <x:v>P06706</x:v>
      </x:c>
      <x:c r="Q407" s="89" t="str">
        <x:f aca="0">IF(I407&lt;100,A407&amp;"O"&amp;COUNTIFS($A$6:A407,A407,$I$6:I407,"&lt;100"),"")</x:f>
      </x:c>
      <x:c r="R407" s="89" t="str">
        <x:f aca="0">IF(I407&lt;100,D407&amp;"O"&amp;COUNTIFS($D$6:D407,D407,$I$6:I407,"&lt;100"),"")</x:f>
      </x:c>
      <x:c r="S407" s="278" t="n">
        <x:f>IF(COUNTIF($B$6:$B$605,B407)&gt;1,1,0)</x:f>
        <x:v>0</x:v>
      </x:c>
    </x:row>
    <x:row r="408" ht="15" hidden="0">
      <x:c r="A408" s="83" t="s">
        <x:v>294</x:v>
      </x:c>
      <x:c r="B408" s="83" t="s">
        <x:v>950</x:v>
      </x:c>
      <x:c r="C408" s="83" t="s">
        <x:v>433</x:v>
      </x:c>
      <x:c r="D408" s="83" t="s">
        <x:v>452</x:v>
      </x:c>
      <x:c r="E408" s="83" t="s">
        <x:v>360</x:v>
      </x:c>
      <x:c r="F408" s="83" t="s">
        <x:v>557</x:v>
      </x:c>
      <x:c r="G408" s="85" t="n">
        <x:v>46271</x:v>
      </x:c>
      <x:c r="H408" s="85" t="n">
        <x:v>46290</x:v>
      </x:c>
      <x:c r="I408" s="87" t="n">
        <x:v>66</x:v>
      </x:c>
      <x:c r="J408" s="83" t="s">
        <x:v>543</x:v>
      </x:c>
      <x:c r="K408" s="83" t="s">
        <x:v>396</x:v>
      </x:c>
      <x:c r="L408" s="83" t="s">
        <x:v>395</x:v>
      </x:c>
      <x:c r="M408" s="83" t="n">
        <x:v>62</x:v>
      </x:c>
      <x:c r="N408" s="83" t="n">
        <x:v>35</x:v>
      </x:c>
      <x:c r="O408" s="85" t="n">
        <x:v>46274</x:v>
      </x:c>
      <x:c r="P408" s="89" t="str">
        <x:f aca="0">A408&amp;TEXT(COUNTIF($A$6:A408,A408),"00")</x:f>
        <x:v>P06801</x:v>
      </x:c>
      <x:c r="Q408" s="89" t="str">
        <x:f aca="0">IF(I408&lt;100,A408&amp;"O"&amp;COUNTIFS($A$6:A408,A408,$I$6:I408,"&lt;100"),"")</x:f>
        <x:v>P068O1</x:v>
      </x:c>
      <x:c r="R408" s="89" t="str">
        <x:f aca="0">IF(I408&lt;100,D408&amp;"O"&amp;COUNTIFS($D$6:D408,D408,$I$6:I408,"&lt;100"),"")</x:f>
        <x:v>KavyaO35</x:v>
      </x:c>
      <x:c r="S408" s="278" t="n">
        <x:f>IF(COUNTIF($B$6:$B$605,B408)&gt;1,1,0)</x:f>
        <x:v>0</x:v>
      </x:c>
    </x:row>
    <x:row r="409" ht="15" hidden="0">
      <x:c r="A409" s="83" t="s">
        <x:v>294</x:v>
      </x:c>
      <x:c r="B409" s="83" t="s">
        <x:v>951</x:v>
      </x:c>
      <x:c r="C409" s="83" t="s">
        <x:v>440</x:v>
      </x:c>
      <x:c r="D409" s="83" t="s">
        <x:v>455</x:v>
      </x:c>
      <x:c r="E409" s="83" t="s">
        <x:v>475</x:v>
      </x:c>
      <x:c r="F409" s="83" t="s">
        <x:v>550</x:v>
      </x:c>
      <x:c r="G409" s="85" t="n">
        <x:v>46285</x:v>
      </x:c>
      <x:c r="H409" s="85" t="n">
        <x:v>46309</x:v>
      </x:c>
      <x:c r="I409" s="87" t="n">
        <x:v>83</x:v>
      </x:c>
      <x:c r="J409" s="83" t="s">
        <x:v>543</x:v>
      </x:c>
      <x:c r="K409" s="83" t="s">
        <x:v>396</x:v>
      </x:c>
      <x:c r="L409" s="83" t="s">
        <x:v>395</x:v>
      </x:c>
      <x:c r="M409" s="83" t="n">
        <x:v>20</x:v>
      </x:c>
      <x:c r="N409" s="83" t="n">
        <x:v>38</x:v>
      </x:c>
      <x:c r="O409" s="85" t="n">
        <x:v>46274</x:v>
      </x:c>
      <x:c r="P409" s="89" t="str">
        <x:f aca="0">A409&amp;TEXT(COUNTIF($A$6:A409,A409),"00")</x:f>
        <x:v>P06802</x:v>
      </x:c>
      <x:c r="Q409" s="89" t="str">
        <x:f aca="0">IF(I409&lt;100,A409&amp;"O"&amp;COUNTIFS($A$6:A409,A409,$I$6:I409,"&lt;100"),"")</x:f>
        <x:v>P068O2</x:v>
      </x:c>
      <x:c r="R409" s="89" t="str">
        <x:f aca="0">IF(I409&lt;100,D409&amp;"O"&amp;COUNTIFS($D$6:D409,D409,$I$6:I409,"&lt;100"),"")</x:f>
        <x:v>RohanO34</x:v>
      </x:c>
      <x:c r="S409" s="278" t="n">
        <x:f>IF(COUNTIF($B$6:$B$605,B409)&gt;1,1,0)</x:f>
        <x:v>0</x:v>
      </x:c>
    </x:row>
    <x:row r="410" ht="15" hidden="0">
      <x:c r="A410" s="83" t="s">
        <x:v>294</x:v>
      </x:c>
      <x:c r="B410" s="83" t="s">
        <x:v>952</x:v>
      </x:c>
      <x:c r="C410" s="83" t="s">
        <x:v>444</x:v>
      </x:c>
      <x:c r="D410" s="83" t="s">
        <x:v>462</x:v>
      </x:c>
      <x:c r="E410" s="83" t="s">
        <x:v>434</x:v>
      </x:c>
      <x:c r="F410" s="83" t="s">
        <x:v>550</x:v>
      </x:c>
      <x:c r="G410" s="85" t="n">
        <x:v>46299</x:v>
      </x:c>
      <x:c r="H410" s="85" t="n">
        <x:v>46308</x:v>
      </x:c>
      <x:c r="I410" s="87" t="n">
        <x:v>89</x:v>
      </x:c>
      <x:c r="J410" s="83" t="s">
        <x:v>543</x:v>
      </x:c>
      <x:c r="K410" s="83" t="s">
        <x:v>396</x:v>
      </x:c>
      <x:c r="L410" s="83" t="s">
        <x:v>395</x:v>
      </x:c>
      <x:c r="M410" s="83" t="n">
        <x:v>64</x:v>
      </x:c>
      <x:c r="N410" s="83" t="n">
        <x:v>93</x:v>
      </x:c>
      <x:c r="O410" s="85" t="n">
        <x:v>46274</x:v>
      </x:c>
      <x:c r="P410" s="89" t="str">
        <x:f aca="0">A410&amp;TEXT(COUNTIF($A$6:A410,A410),"00")</x:f>
        <x:v>P06803</x:v>
      </x:c>
      <x:c r="Q410" s="89" t="str">
        <x:f aca="0">IF(I410&lt;100,A410&amp;"O"&amp;COUNTIFS($A$6:A410,A410,$I$6:I410,"&lt;100"),"")</x:f>
        <x:v>P068O3</x:v>
      </x:c>
      <x:c r="R410" s="89" t="str">
        <x:f aca="0">IF(I410&lt;100,D410&amp;"O"&amp;COUNTIFS($D$6:D410,D410,$I$6:I410,"&lt;100"),"")</x:f>
        <x:v>DeepaO34</x:v>
      </x:c>
      <x:c r="S410" s="278" t="n">
        <x:f>IF(COUNTIF($B$6:$B$605,B410)&gt;1,1,0)</x:f>
        <x:v>0</x:v>
      </x:c>
    </x:row>
    <x:row r="411" ht="15" hidden="0">
      <x:c r="A411" s="83" t="s">
        <x:v>294</x:v>
      </x:c>
      <x:c r="B411" s="83" t="s">
        <x:v>953</x:v>
      </x:c>
      <x:c r="C411" s="83" t="s">
        <x:v>448</x:v>
      </x:c>
      <x:c r="D411" s="83" t="s">
        <x:v>360</x:v>
      </x:c>
      <x:c r="E411" s="83" t="s">
        <x:v>441</x:v>
      </x:c>
      <x:c r="F411" s="83" t="s">
        <x:v>546</x:v>
      </x:c>
      <x:c r="G411" s="85" t="n">
        <x:v>46313</x:v>
      </x:c>
      <x:c r="H411" s="85" t="n">
        <x:v>46327</x:v>
      </x:c>
      <x:c r="I411" s="87" t="n">
        <x:v>100</x:v>
      </x:c>
      <x:c r="J411" s="83" t="s">
        <x:v>595</x:v>
      </x:c>
      <x:c r="K411" s="83"/>
      <x:c r="L411" s="83" t="s">
        <x:v>395</x:v>
      </x:c>
      <x:c r="M411" s="83" t="n">
        <x:v>88</x:v>
      </x:c>
      <x:c r="N411" s="83" t="n">
        <x:v>51</x:v>
      </x:c>
      <x:c r="O411" s="85" t="n">
        <x:v>46274</x:v>
      </x:c>
      <x:c r="P411" s="89" t="str">
        <x:f aca="0">A411&amp;TEXT(COUNTIF($A$6:A411,A411),"00")</x:f>
        <x:v>P06804</x:v>
      </x:c>
      <x:c r="Q411" s="89" t="str">
        <x:f aca="0">IF(I411&lt;100,A411&amp;"O"&amp;COUNTIFS($A$6:A411,A411,$I$6:I411,"&lt;100"),"")</x:f>
      </x:c>
      <x:c r="R411" s="89" t="str">
        <x:f aca="0">IF(I411&lt;100,D411&amp;"O"&amp;COUNTIFS($D$6:D411,D411,$I$6:I411,"&lt;100"),"")</x:f>
      </x:c>
      <x:c r="S411" s="278" t="n">
        <x:f>IF(COUNTIF($B$6:$B$605,B411)&gt;1,1,0)</x:f>
        <x:v>0</x:v>
      </x:c>
    </x:row>
    <x:row r="412" ht="15" hidden="0">
      <x:c r="A412" s="83" t="s">
        <x:v>294</x:v>
      </x:c>
      <x:c r="B412" s="83" t="s">
        <x:v>954</x:v>
      </x:c>
      <x:c r="C412" s="83" t="s">
        <x:v>451</x:v>
      </x:c>
      <x:c r="D412" s="83" t="s">
        <x:v>475</x:v>
      </x:c>
      <x:c r="E412" s="83" t="s">
        <x:v>445</x:v>
      </x:c>
      <x:c r="F412" s="83" t="s">
        <x:v>493</x:v>
      </x:c>
      <x:c r="G412" s="85" t="n">
        <x:v>46327</x:v>
      </x:c>
      <x:c r="H412" s="85" t="n">
        <x:v>46343</x:v>
      </x:c>
      <x:c r="I412" s="87" t="n">
        <x:v>84</x:v>
      </x:c>
      <x:c r="J412" s="83" t="s">
        <x:v>543</x:v>
      </x:c>
      <x:c r="K412" s="83" t="s">
        <x:v>396</x:v>
      </x:c>
      <x:c r="L412" s="83" t="s">
        <x:v>395</x:v>
      </x:c>
      <x:c r="M412" s="83" t="n">
        <x:v>77</x:v>
      </x:c>
      <x:c r="N412" s="83" t="n">
        <x:v>19</x:v>
      </x:c>
      <x:c r="O412" s="85" t="n">
        <x:v>46274</x:v>
      </x:c>
      <x:c r="P412" s="89" t="str">
        <x:f aca="0">A412&amp;TEXT(COUNTIF($A$6:A412,A412),"00")</x:f>
        <x:v>P06805</x:v>
      </x:c>
      <x:c r="Q412" s="89" t="str">
        <x:f aca="0">IF(I412&lt;100,A412&amp;"O"&amp;COUNTIFS($A$6:A412,A412,$I$6:I412,"&lt;100"),"")</x:f>
        <x:v>P068O4</x:v>
      </x:c>
      <x:c r="R412" s="89" t="str">
        <x:f aca="0">IF(I412&lt;100,D412&amp;"O"&amp;COUNTIFS($D$6:D412,D412,$I$6:I412,"&lt;100"),"")</x:f>
        <x:v>PriyaO31</x:v>
      </x:c>
      <x:c r="S412" s="278" t="n">
        <x:f>IF(COUNTIF($B$6:$B$605,B412)&gt;1,1,0)</x:f>
        <x:v>0</x:v>
      </x:c>
    </x:row>
    <x:row r="413" ht="15" hidden="0">
      <x:c r="A413" s="83" t="s">
        <x:v>294</x:v>
      </x:c>
      <x:c r="B413" s="83" t="s">
        <x:v>955</x:v>
      </x:c>
      <x:c r="C413" s="83" t="s">
        <x:v>454</x:v>
      </x:c>
      <x:c r="D413" s="83" t="s">
        <x:v>434</x:v>
      </x:c>
      <x:c r="E413" s="83" t="s">
        <x:v>435</x:v>
      </x:c>
      <x:c r="F413" s="83" t="s">
        <x:v>550</x:v>
      </x:c>
      <x:c r="G413" s="85" t="n">
        <x:v>46341</x:v>
      </x:c>
      <x:c r="H413" s="85" t="n">
        <x:v>46355</x:v>
      </x:c>
      <x:c r="I413" s="87" t="n">
        <x:v>100</x:v>
      </x:c>
      <x:c r="J413" s="83" t="s">
        <x:v>595</x:v>
      </x:c>
      <x:c r="K413" s="83" t="s">
        <x:v>396</x:v>
      </x:c>
      <x:c r="L413" s="83" t="s">
        <x:v>395</x:v>
      </x:c>
      <x:c r="M413" s="83" t="n">
        <x:v>49</x:v>
      </x:c>
      <x:c r="N413" s="83" t="n">
        <x:v>80</x:v>
      </x:c>
      <x:c r="O413" s="85" t="n">
        <x:v>46274</x:v>
      </x:c>
      <x:c r="P413" s="89" t="str">
        <x:f aca="0">A413&amp;TEXT(COUNTIF($A$6:A413,A413),"00")</x:f>
        <x:v>P06806</x:v>
      </x:c>
      <x:c r="Q413" s="89" t="str">
        <x:f aca="0">IF(I413&lt;100,A413&amp;"O"&amp;COUNTIFS($A$6:A413,A413,$I$6:I413,"&lt;100"),"")</x:f>
      </x:c>
      <x:c r="R413" s="89" t="str">
        <x:f aca="0">IF(I413&lt;100,D413&amp;"O"&amp;COUNTIFS($D$6:D413,D413,$I$6:I413,"&lt;100"),"")</x:f>
      </x:c>
      <x:c r="S413" s="278" t="n">
        <x:f>IF(COUNTIF($B$6:$B$605,B413)&gt;1,1,0)</x:f>
        <x:v>0</x:v>
      </x:c>
    </x:row>
    <x:row r="414" ht="15" hidden="0">
      <x:c r="A414" s="83" t="s">
        <x:v>156</x:v>
      </x:c>
      <x:c r="B414" s="83" t="s">
        <x:v>956</x:v>
      </x:c>
      <x:c r="C414" s="83" t="s">
        <x:v>433</x:v>
      </x:c>
      <x:c r="D414" s="83" t="s">
        <x:v>455</x:v>
      </x:c>
      <x:c r="E414" s="83" t="s">
        <x:v>475</x:v>
      </x:c>
      <x:c r="F414" s="83" t="s">
        <x:v>550</x:v>
      </x:c>
      <x:c r="G414" s="85" t="n">
        <x:v>46272</x:v>
      </x:c>
      <x:c r="H414" s="85" t="n">
        <x:v>46284</x:v>
      </x:c>
      <x:c r="I414" s="87" t="n">
        <x:v>77</x:v>
      </x:c>
      <x:c r="J414" s="83" t="s">
        <x:v>543</x:v>
      </x:c>
      <x:c r="K414" s="83"/>
      <x:c r="L414" s="83" t="s">
        <x:v>395</x:v>
      </x:c>
      <x:c r="M414" s="83" t="n">
        <x:v>26</x:v>
      </x:c>
      <x:c r="N414" s="83" t="n">
        <x:v>29</x:v>
      </x:c>
      <x:c r="O414" s="85" t="n">
        <x:v>46274</x:v>
      </x:c>
      <x:c r="P414" s="89" t="str">
        <x:f aca="0">A414&amp;TEXT(COUNTIF($A$6:A414,A414),"00")</x:f>
        <x:v>P06901</x:v>
      </x:c>
      <x:c r="Q414" s="89" t="str">
        <x:f aca="0">IF(I414&lt;100,A414&amp;"O"&amp;COUNTIFS($A$6:A414,A414,$I$6:I414,"&lt;100"),"")</x:f>
        <x:v>P069O1</x:v>
      </x:c>
      <x:c r="R414" s="89" t="str">
        <x:f aca="0">IF(I414&lt;100,D414&amp;"O"&amp;COUNTIFS($D$6:D414,D414,$I$6:I414,"&lt;100"),"")</x:f>
        <x:v>RohanO35</x:v>
      </x:c>
      <x:c r="S414" s="278" t="n">
        <x:f>IF(COUNTIF($B$6:$B$605,B414)&gt;1,1,0)</x:f>
        <x:v>0</x:v>
      </x:c>
    </x:row>
    <x:row r="415" ht="15" hidden="0">
      <x:c r="A415" s="83" t="s">
        <x:v>156</x:v>
      </x:c>
      <x:c r="B415" s="83" t="s">
        <x:v>957</x:v>
      </x:c>
      <x:c r="C415" s="83" t="s">
        <x:v>440</x:v>
      </x:c>
      <x:c r="D415" s="83" t="s">
        <x:v>462</x:v>
      </x:c>
      <x:c r="E415" s="83" t="s">
        <x:v>434</x:v>
      </x:c>
      <x:c r="F415" s="83" t="s">
        <x:v>546</x:v>
      </x:c>
      <x:c r="G415" s="85" t="n">
        <x:v>46286</x:v>
      </x:c>
      <x:c r="H415" s="85" t="n">
        <x:v>46301</x:v>
      </x:c>
      <x:c r="I415" s="87" t="n">
        <x:v>65</x:v>
      </x:c>
      <x:c r="J415" s="83" t="s">
        <x:v>543</x:v>
      </x:c>
      <x:c r="K415" s="83"/>
      <x:c r="L415" s="83" t="s">
        <x:v>395</x:v>
      </x:c>
      <x:c r="M415" s="83" t="n">
        <x:v>55</x:v>
      </x:c>
      <x:c r="N415" s="83" t="n">
        <x:v>45</x:v>
      </x:c>
      <x:c r="O415" s="85" t="n">
        <x:v>46274</x:v>
      </x:c>
      <x:c r="P415" s="89" t="str">
        <x:f aca="0">A415&amp;TEXT(COUNTIF($A$6:A415,A415),"00")</x:f>
        <x:v>P06902</x:v>
      </x:c>
      <x:c r="Q415" s="89" t="str">
        <x:f aca="0">IF(I415&lt;100,A415&amp;"O"&amp;COUNTIFS($A$6:A415,A415,$I$6:I415,"&lt;100"),"")</x:f>
        <x:v>P069O2</x:v>
      </x:c>
      <x:c r="R415" s="89" t="str">
        <x:f aca="0">IF(I415&lt;100,D415&amp;"O"&amp;COUNTIFS($D$6:D415,D415,$I$6:I415,"&lt;100"),"")</x:f>
        <x:v>DeepaO35</x:v>
      </x:c>
      <x:c r="S415" s="278" t="n">
        <x:f>IF(COUNTIF($B$6:$B$605,B415)&gt;1,1,0)</x:f>
        <x:v>0</x:v>
      </x:c>
    </x:row>
    <x:row r="416" ht="15" hidden="0">
      <x:c r="A416" s="83" t="s">
        <x:v>156</x:v>
      </x:c>
      <x:c r="B416" s="83" t="s">
        <x:v>958</x:v>
      </x:c>
      <x:c r="C416" s="83" t="s">
        <x:v>444</x:v>
      </x:c>
      <x:c r="D416" s="83" t="s">
        <x:v>360</x:v>
      </x:c>
      <x:c r="E416" s="83" t="s">
        <x:v>441</x:v>
      </x:c>
      <x:c r="F416" s="83" t="s">
        <x:v>550</x:v>
      </x:c>
      <x:c r="G416" s="85" t="n">
        <x:v>46300</x:v>
      </x:c>
      <x:c r="H416" s="85" t="n">
        <x:v>46320</x:v>
      </x:c>
      <x:c r="I416" s="87" t="n">
        <x:v>76</x:v>
      </x:c>
      <x:c r="J416" s="83" t="s">
        <x:v>543</x:v>
      </x:c>
      <x:c r="K416" s="83"/>
      <x:c r="L416" s="83" t="s">
        <x:v>395</x:v>
      </x:c>
      <x:c r="M416" s="83" t="n">
        <x:v>50</x:v>
      </x:c>
      <x:c r="N416" s="83" t="n">
        <x:v>99</x:v>
      </x:c>
      <x:c r="O416" s="85" t="n">
        <x:v>46274</x:v>
      </x:c>
      <x:c r="P416" s="89" t="str">
        <x:f aca="0">A416&amp;TEXT(COUNTIF($A$6:A416,A416),"00")</x:f>
        <x:v>P06903</x:v>
      </x:c>
      <x:c r="Q416" s="89" t="str">
        <x:f aca="0">IF(I416&lt;100,A416&amp;"O"&amp;COUNTIFS($A$6:A416,A416,$I$6:I416,"&lt;100"),"")</x:f>
        <x:v>P069O3</x:v>
      </x:c>
      <x:c r="R416" s="89" t="str">
        <x:f aca="0">IF(I416&lt;100,D416&amp;"O"&amp;COUNTIFS($D$6:D416,D416,$I$6:I416,"&lt;100"),"")</x:f>
        <x:v>AmitO32</x:v>
      </x:c>
      <x:c r="S416" s="278" t="n">
        <x:f>IF(COUNTIF($B$6:$B$605,B416)&gt;1,1,0)</x:f>
        <x:v>0</x:v>
      </x:c>
    </x:row>
    <x:row r="417" ht="15" hidden="0">
      <x:c r="A417" s="83" t="s">
        <x:v>156</x:v>
      </x:c>
      <x:c r="B417" s="83" t="s">
        <x:v>959</x:v>
      </x:c>
      <x:c r="C417" s="83" t="s">
        <x:v>448</x:v>
      </x:c>
      <x:c r="D417" s="83" t="s">
        <x:v>475</x:v>
      </x:c>
      <x:c r="E417" s="83" t="s">
        <x:v>445</x:v>
      </x:c>
      <x:c r="F417" s="83" t="s">
        <x:v>557</x:v>
      </x:c>
      <x:c r="G417" s="85" t="n">
        <x:v>46314</x:v>
      </x:c>
      <x:c r="H417" s="85" t="n">
        <x:v>46328</x:v>
      </x:c>
      <x:c r="I417" s="87" t="n">
        <x:v>70</x:v>
      </x:c>
      <x:c r="J417" s="83" t="s">
        <x:v>543</x:v>
      </x:c>
      <x:c r="K417" s="83"/>
      <x:c r="L417" s="83" t="s">
        <x:v>395</x:v>
      </x:c>
      <x:c r="M417" s="83" t="n">
        <x:v>93</x:v>
      </x:c>
      <x:c r="N417" s="83" t="n">
        <x:v>88</x:v>
      </x:c>
      <x:c r="O417" s="85" t="n">
        <x:v>46274</x:v>
      </x:c>
      <x:c r="P417" s="89" t="str">
        <x:f aca="0">A417&amp;TEXT(COUNTIF($A$6:A417,A417),"00")</x:f>
        <x:v>P06904</x:v>
      </x:c>
      <x:c r="Q417" s="89" t="str">
        <x:f aca="0">IF(I417&lt;100,A417&amp;"O"&amp;COUNTIFS($A$6:A417,A417,$I$6:I417,"&lt;100"),"")</x:f>
        <x:v>P069O4</x:v>
      </x:c>
      <x:c r="R417" s="89" t="str">
        <x:f aca="0">IF(I417&lt;100,D417&amp;"O"&amp;COUNTIFS($D$6:D417,D417,$I$6:I417,"&lt;100"),"")</x:f>
        <x:v>PriyaO32</x:v>
      </x:c>
      <x:c r="S417" s="278" t="n">
        <x:f>IF(COUNTIF($B$6:$B$605,B417)&gt;1,1,0)</x:f>
        <x:v>0</x:v>
      </x:c>
    </x:row>
    <x:row r="418" ht="15" hidden="0">
      <x:c r="A418" s="83" t="s">
        <x:v>156</x:v>
      </x:c>
      <x:c r="B418" s="83" t="s">
        <x:v>960</x:v>
      </x:c>
      <x:c r="C418" s="83" t="s">
        <x:v>451</x:v>
      </x:c>
      <x:c r="D418" s="83" t="s">
        <x:v>434</x:v>
      </x:c>
      <x:c r="E418" s="83" t="s">
        <x:v>435</x:v>
      </x:c>
      <x:c r="F418" s="83" t="s">
        <x:v>546</x:v>
      </x:c>
      <x:c r="G418" s="85" t="n">
        <x:v>46328</x:v>
      </x:c>
      <x:c r="H418" s="85" t="n">
        <x:v>46350</x:v>
      </x:c>
      <x:c r="I418" s="87" t="n">
        <x:v>100</x:v>
      </x:c>
      <x:c r="J418" s="83" t="s">
        <x:v>595</x:v>
      </x:c>
      <x:c r="K418" s="83"/>
      <x:c r="L418" s="83" t="s">
        <x:v>395</x:v>
      </x:c>
      <x:c r="M418" s="83" t="n">
        <x:v>33</x:v>
      </x:c>
      <x:c r="N418" s="83" t="n">
        <x:v>46</x:v>
      </x:c>
      <x:c r="O418" s="85" t="n">
        <x:v>46274</x:v>
      </x:c>
      <x:c r="P418" s="89" t="str">
        <x:f aca="0">A418&amp;TEXT(COUNTIF($A$6:A418,A418),"00")</x:f>
        <x:v>P06905</x:v>
      </x:c>
      <x:c r="Q418" s="89" t="str">
        <x:f aca="0">IF(I418&lt;100,A418&amp;"O"&amp;COUNTIFS($A$6:A418,A418,$I$6:I418,"&lt;100"),"")</x:f>
      </x:c>
      <x:c r="R418" s="89" t="str">
        <x:f aca="0">IF(I418&lt;100,D418&amp;"O"&amp;COUNTIFS($D$6:D418,D418,$I$6:I418,"&lt;100"),"")</x:f>
      </x:c>
      <x:c r="S418" s="278" t="n">
        <x:f>IF(COUNTIF($B$6:$B$605,B418)&gt;1,1,0)</x:f>
        <x:v>0</x:v>
      </x:c>
    </x:row>
    <x:row r="419" ht="15" hidden="0">
      <x:c r="A419" s="83" t="s">
        <x:v>156</x:v>
      </x:c>
      <x:c r="B419" s="83" t="s">
        <x:v>961</x:v>
      </x:c>
      <x:c r="C419" s="83" t="s">
        <x:v>454</x:v>
      </x:c>
      <x:c r="D419" s="83" t="s">
        <x:v>441</x:v>
      </x:c>
      <x:c r="E419" s="83" t="s">
        <x:v>442</x:v>
      </x:c>
      <x:c r="F419" s="83" t="s">
        <x:v>493</x:v>
      </x:c>
      <x:c r="G419" s="85" t="n">
        <x:v>46342</x:v>
      </x:c>
      <x:c r="H419" s="85" t="n">
        <x:v>46362</x:v>
      </x:c>
      <x:c r="I419" s="87" t="n">
        <x:v>93</x:v>
      </x:c>
      <x:c r="J419" s="83" t="s">
        <x:v>543</x:v>
      </x:c>
      <x:c r="K419" s="83"/>
      <x:c r="L419" s="83" t="s">
        <x:v>395</x:v>
      </x:c>
      <x:c r="M419" s="83" t="n">
        <x:v>79</x:v>
      </x:c>
      <x:c r="N419" s="83" t="n">
        <x:v>89</x:v>
      </x:c>
      <x:c r="O419" s="85" t="n">
        <x:v>46274</x:v>
      </x:c>
      <x:c r="P419" s="89" t="str">
        <x:f aca="0">A419&amp;TEXT(COUNTIF($A$6:A419,A419),"00")</x:f>
        <x:v>P06906</x:v>
      </x:c>
      <x:c r="Q419" s="89" t="str">
        <x:f aca="0">IF(I419&lt;100,A419&amp;"O"&amp;COUNTIFS($A$6:A419,A419,$I$6:I419,"&lt;100"),"")</x:f>
        <x:v>P069O5</x:v>
      </x:c>
      <x:c r="R419" s="89" t="str">
        <x:f aca="0">IF(I419&lt;100,D419&amp;"O"&amp;COUNTIFS($D$6:D419,D419,$I$6:I419,"&lt;100"),"")</x:f>
        <x:v>KaranO33</x:v>
      </x:c>
      <x:c r="S419" s="278" t="n">
        <x:f>IF(COUNTIF($B$6:$B$605,B419)&gt;1,1,0)</x:f>
        <x:v>0</x:v>
      </x:c>
    </x:row>
    <x:row r="420" ht="15" hidden="0">
      <x:c r="A420" s="83" t="s">
        <x:v>218</x:v>
      </x:c>
      <x:c r="B420" s="83" t="s">
        <x:v>962</x:v>
      </x:c>
      <x:c r="C420" s="83" t="s">
        <x:v>433</x:v>
      </x:c>
      <x:c r="D420" s="83" t="s">
        <x:v>462</x:v>
      </x:c>
      <x:c r="E420" s="83" t="s">
        <x:v>434</x:v>
      </x:c>
      <x:c r="F420" s="83" t="s">
        <x:v>557</x:v>
      </x:c>
      <x:c r="G420" s="85" t="n">
        <x:v>46273</x:v>
      </x:c>
      <x:c r="H420" s="85" t="n">
        <x:v>46285</x:v>
      </x:c>
      <x:c r="I420" s="87" t="n">
        <x:v>26</x:v>
      </x:c>
      <x:c r="J420" s="83" t="s">
        <x:v>543</x:v>
      </x:c>
      <x:c r="K420" s="83"/>
      <x:c r="L420" s="83" t="s">
        <x:v>395</x:v>
      </x:c>
      <x:c r="M420" s="83" t="n">
        <x:v>71</x:v>
      </x:c>
      <x:c r="N420" s="83" t="n">
        <x:v>34</x:v>
      </x:c>
      <x:c r="O420" s="85" t="n">
        <x:v>46274</x:v>
      </x:c>
      <x:c r="P420" s="89" t="str">
        <x:f aca="0">A420&amp;TEXT(COUNTIF($A$6:A420,A420),"00")</x:f>
        <x:v>P07001</x:v>
      </x:c>
      <x:c r="Q420" s="89" t="str">
        <x:f aca="0">IF(I420&lt;100,A420&amp;"O"&amp;COUNTIFS($A$6:A420,A420,$I$6:I420,"&lt;100"),"")</x:f>
        <x:v>P070O1</x:v>
      </x:c>
      <x:c r="R420" s="89" t="str">
        <x:f aca="0">IF(I420&lt;100,D420&amp;"O"&amp;COUNTIFS($D$6:D420,D420,$I$6:I420,"&lt;100"),"")</x:f>
        <x:v>DeepaO36</x:v>
      </x:c>
      <x:c r="S420" s="278" t="n">
        <x:f>IF(COUNTIF($B$6:$B$605,B420)&gt;1,1,0)</x:f>
        <x:v>0</x:v>
      </x:c>
    </x:row>
    <x:row r="421" ht="15" hidden="0">
      <x:c r="A421" s="83" t="s">
        <x:v>218</x:v>
      </x:c>
      <x:c r="B421" s="83" t="s">
        <x:v>963</x:v>
      </x:c>
      <x:c r="C421" s="83" t="s">
        <x:v>440</x:v>
      </x:c>
      <x:c r="D421" s="83" t="s">
        <x:v>360</x:v>
      </x:c>
      <x:c r="E421" s="83" t="s">
        <x:v>441</x:v>
      </x:c>
      <x:c r="F421" s="83" t="s">
        <x:v>557</x:v>
      </x:c>
      <x:c r="G421" s="85" t="n">
        <x:v>46287</x:v>
      </x:c>
      <x:c r="H421" s="85" t="n">
        <x:v>46296</x:v>
      </x:c>
      <x:c r="I421" s="87" t="n">
        <x:v>52</x:v>
      </x:c>
      <x:c r="J421" s="83" t="s">
        <x:v>543</x:v>
      </x:c>
      <x:c r="K421" s="83"/>
      <x:c r="L421" s="83" t="s">
        <x:v>395</x:v>
      </x:c>
      <x:c r="M421" s="83" t="n">
        <x:v>33</x:v>
      </x:c>
      <x:c r="N421" s="83" t="n">
        <x:v>42</x:v>
      </x:c>
      <x:c r="O421" s="85" t="n">
        <x:v>46274</x:v>
      </x:c>
      <x:c r="P421" s="89" t="str">
        <x:f aca="0">A421&amp;TEXT(COUNTIF($A$6:A421,A421),"00")</x:f>
        <x:v>P07002</x:v>
      </x:c>
      <x:c r="Q421" s="89" t="str">
        <x:f aca="0">IF(I421&lt;100,A421&amp;"O"&amp;COUNTIFS($A$6:A421,A421,$I$6:I421,"&lt;100"),"")</x:f>
        <x:v>P070O2</x:v>
      </x:c>
      <x:c r="R421" s="89" t="str">
        <x:f aca="0">IF(I421&lt;100,D421&amp;"O"&amp;COUNTIFS($D$6:D421,D421,$I$6:I421,"&lt;100"),"")</x:f>
        <x:v>AmitO33</x:v>
      </x:c>
      <x:c r="S421" s="278" t="n">
        <x:f>IF(COUNTIF($B$6:$B$605,B421)&gt;1,1,0)</x:f>
        <x:v>0</x:v>
      </x:c>
    </x:row>
    <x:row r="422" ht="15" hidden="0">
      <x:c r="A422" s="83" t="s">
        <x:v>218</x:v>
      </x:c>
      <x:c r="B422" s="83" t="s">
        <x:v>964</x:v>
      </x:c>
      <x:c r="C422" s="83" t="s">
        <x:v>444</x:v>
      </x:c>
      <x:c r="D422" s="83" t="s">
        <x:v>475</x:v>
      </x:c>
      <x:c r="E422" s="83" t="s">
        <x:v>445</x:v>
      </x:c>
      <x:c r="F422" s="83" t="s">
        <x:v>557</x:v>
      </x:c>
      <x:c r="G422" s="85" t="n">
        <x:v>46301</x:v>
      </x:c>
      <x:c r="H422" s="85" t="n">
        <x:v>46311</x:v>
      </x:c>
      <x:c r="I422" s="87" t="n">
        <x:v>21</x:v>
      </x:c>
      <x:c r="J422" s="83" t="s">
        <x:v>543</x:v>
      </x:c>
      <x:c r="K422" s="83"/>
      <x:c r="L422" s="83" t="s">
        <x:v>395</x:v>
      </x:c>
      <x:c r="M422" s="83" t="n">
        <x:v>53</x:v>
      </x:c>
      <x:c r="N422" s="83" t="n">
        <x:v>92</x:v>
      </x:c>
      <x:c r="O422" s="85" t="n">
        <x:v>46274</x:v>
      </x:c>
      <x:c r="P422" s="89" t="str">
        <x:f aca="0">A422&amp;TEXT(COUNTIF($A$6:A422,A422),"00")</x:f>
        <x:v>P07003</x:v>
      </x:c>
      <x:c r="Q422" s="89" t="str">
        <x:f aca="0">IF(I422&lt;100,A422&amp;"O"&amp;COUNTIFS($A$6:A422,A422,$I$6:I422,"&lt;100"),"")</x:f>
        <x:v>P070O3</x:v>
      </x:c>
      <x:c r="R422" s="89" t="str">
        <x:f aca="0">IF(I422&lt;100,D422&amp;"O"&amp;COUNTIFS($D$6:D422,D422,$I$6:I422,"&lt;100"),"")</x:f>
        <x:v>PriyaO33</x:v>
      </x:c>
      <x:c r="S422" s="278" t="n">
        <x:f>IF(COUNTIF($B$6:$B$605,B422)&gt;1,1,0)</x:f>
        <x:v>0</x:v>
      </x:c>
    </x:row>
    <x:row r="423" ht="15" hidden="0">
      <x:c r="A423" s="83" t="s">
        <x:v>218</x:v>
      </x:c>
      <x:c r="B423" s="83" t="s">
        <x:v>965</x:v>
      </x:c>
      <x:c r="C423" s="83" t="s">
        <x:v>448</x:v>
      </x:c>
      <x:c r="D423" s="83" t="s">
        <x:v>434</x:v>
      </x:c>
      <x:c r="E423" s="83" t="s">
        <x:v>435</x:v>
      </x:c>
      <x:c r="F423" s="83" t="s">
        <x:v>493</x:v>
      </x:c>
      <x:c r="G423" s="85" t="n">
        <x:v>46315</x:v>
      </x:c>
      <x:c r="H423" s="85" t="n">
        <x:v>46338</x:v>
      </x:c>
      <x:c r="I423" s="87" t="n">
        <x:v>43</x:v>
      </x:c>
      <x:c r="J423" s="83" t="s">
        <x:v>543</x:v>
      </x:c>
      <x:c r="K423" s="83"/>
      <x:c r="L423" s="83" t="s">
        <x:v>395</x:v>
      </x:c>
      <x:c r="M423" s="83" t="n">
        <x:v>73</x:v>
      </x:c>
      <x:c r="N423" s="83" t="n">
        <x:v>102</x:v>
      </x:c>
      <x:c r="O423" s="85" t="n">
        <x:v>46274</x:v>
      </x:c>
      <x:c r="P423" s="89" t="str">
        <x:f aca="0">A423&amp;TEXT(COUNTIF($A$6:A423,A423),"00")</x:f>
        <x:v>P07004</x:v>
      </x:c>
      <x:c r="Q423" s="89" t="str">
        <x:f aca="0">IF(I423&lt;100,A423&amp;"O"&amp;COUNTIFS($A$6:A423,A423,$I$6:I423,"&lt;100"),"")</x:f>
        <x:v>P070O4</x:v>
      </x:c>
      <x:c r="R423" s="89" t="str">
        <x:f aca="0">IF(I423&lt;100,D423&amp;"O"&amp;COUNTIFS($D$6:D423,D423,$I$6:I423,"&lt;100"),"")</x:f>
        <x:v>RahulO31</x:v>
      </x:c>
      <x:c r="S423" s="278" t="n">
        <x:f>IF(COUNTIF($B$6:$B$605,B423)&gt;1,1,0)</x:f>
        <x:v>0</x:v>
      </x:c>
    </x:row>
    <x:row r="424" ht="15" hidden="0">
      <x:c r="A424" s="83" t="s">
        <x:v>218</x:v>
      </x:c>
      <x:c r="B424" s="83" t="s">
        <x:v>966</x:v>
      </x:c>
      <x:c r="C424" s="83" t="s">
        <x:v>451</x:v>
      </x:c>
      <x:c r="D424" s="83" t="s">
        <x:v>441</x:v>
      </x:c>
      <x:c r="E424" s="83" t="s">
        <x:v>442</x:v>
      </x:c>
      <x:c r="F424" s="83" t="s">
        <x:v>550</x:v>
      </x:c>
      <x:c r="G424" s="85" t="n">
        <x:v>46329</x:v>
      </x:c>
      <x:c r="H424" s="85" t="n">
        <x:v>46351</x:v>
      </x:c>
      <x:c r="I424" s="87" t="n">
        <x:v>34</x:v>
      </x:c>
      <x:c r="J424" s="83" t="s">
        <x:v>543</x:v>
      </x:c>
      <x:c r="K424" s="83"/>
      <x:c r="L424" s="83" t="s">
        <x:v>395</x:v>
      </x:c>
      <x:c r="M424" s="83" t="n">
        <x:v>94</x:v>
      </x:c>
      <x:c r="N424" s="83" t="n">
        <x:v>32</x:v>
      </x:c>
      <x:c r="O424" s="85" t="n">
        <x:v>46274</x:v>
      </x:c>
      <x:c r="P424" s="89" t="str">
        <x:f aca="0">A424&amp;TEXT(COUNTIF($A$6:A424,A424),"00")</x:f>
        <x:v>P07005</x:v>
      </x:c>
      <x:c r="Q424" s="89" t="str">
        <x:f aca="0">IF(I424&lt;100,A424&amp;"O"&amp;COUNTIFS($A$6:A424,A424,$I$6:I424,"&lt;100"),"")</x:f>
        <x:v>P070O5</x:v>
      </x:c>
      <x:c r="R424" s="89" t="str">
        <x:f aca="0">IF(I424&lt;100,D424&amp;"O"&amp;COUNTIFS($D$6:D424,D424,$I$6:I424,"&lt;100"),"")</x:f>
        <x:v>KaranO34</x:v>
      </x:c>
      <x:c r="S424" s="278" t="n">
        <x:f>IF(COUNTIF($B$6:$B$605,B424)&gt;1,1,0)</x:f>
        <x:v>0</x:v>
      </x:c>
    </x:row>
    <x:row r="425" ht="15" hidden="0">
      <x:c r="A425" s="83" t="s">
        <x:v>218</x:v>
      </x:c>
      <x:c r="B425" s="83" t="s">
        <x:v>967</x:v>
      </x:c>
      <x:c r="C425" s="83" t="s">
        <x:v>454</x:v>
      </x:c>
      <x:c r="D425" s="83" t="s">
        <x:v>445</x:v>
      </x:c>
      <x:c r="E425" s="83" t="s">
        <x:v>446</x:v>
      </x:c>
      <x:c r="F425" s="83" t="s">
        <x:v>493</x:v>
      </x:c>
      <x:c r="G425" s="85" t="n">
        <x:v>46343</x:v>
      </x:c>
      <x:c r="H425" s="85" t="n">
        <x:v>46356</x:v>
      </x:c>
      <x:c r="I425" s="87" t="n">
        <x:v>35</x:v>
      </x:c>
      <x:c r="J425" s="83" t="s">
        <x:v>543</x:v>
      </x:c>
      <x:c r="K425" s="83"/>
      <x:c r="L425" s="83" t="s">
        <x:v>395</x:v>
      </x:c>
      <x:c r="M425" s="83" t="n">
        <x:v>81</x:v>
      </x:c>
      <x:c r="N425" s="83" t="n">
        <x:v>85</x:v>
      </x:c>
      <x:c r="O425" s="85" t="n">
        <x:v>46274</x:v>
      </x:c>
      <x:c r="P425" s="89" t="str">
        <x:f aca="0">A425&amp;TEXT(COUNTIF($A$6:A425,A425),"00")</x:f>
        <x:v>P07006</x:v>
      </x:c>
      <x:c r="Q425" s="89" t="str">
        <x:f aca="0">IF(I425&lt;100,A425&amp;"O"&amp;COUNTIFS($A$6:A425,A425,$I$6:I425,"&lt;100"),"")</x:f>
        <x:v>P070O6</x:v>
      </x:c>
      <x:c r="R425" s="89" t="str">
        <x:f aca="0">IF(I425&lt;100,D425&amp;"O"&amp;COUNTIFS($D$6:D425,D425,$I$6:I425,"&lt;100"),"")</x:f>
        <x:v>MeeraO34</x:v>
      </x:c>
      <x:c r="S425" s="278" t="n">
        <x:f>IF(COUNTIF($B$6:$B$605,B425)&gt;1,1,0)</x:f>
        <x:v>0</x:v>
      </x:c>
    </x:row>
    <x:row r="426" ht="15" hidden="0">
      <x:c r="A426" s="83" t="s">
        <x:v>137</x:v>
      </x:c>
      <x:c r="B426" s="83" t="s">
        <x:v>968</x:v>
      </x:c>
      <x:c r="C426" s="83" t="s">
        <x:v>433</x:v>
      </x:c>
      <x:c r="D426" s="83" t="s">
        <x:v>360</x:v>
      </x:c>
      <x:c r="E426" s="83" t="s">
        <x:v>441</x:v>
      </x:c>
      <x:c r="F426" s="83" t="s">
        <x:v>550</x:v>
      </x:c>
      <x:c r="G426" s="85" t="n">
        <x:v>46274</x:v>
      </x:c>
      <x:c r="H426" s="85" t="n">
        <x:v>46290</x:v>
      </x:c>
      <x:c r="I426" s="87" t="n">
        <x:v>76</x:v>
      </x:c>
      <x:c r="J426" s="83" t="s">
        <x:v>543</x:v>
      </x:c>
      <x:c r="K426" s="83" t="s">
        <x:v>396</x:v>
      </x:c>
      <x:c r="L426" s="83" t="s">
        <x:v>395</x:v>
      </x:c>
      <x:c r="M426" s="83" t="n">
        <x:v>44</x:v>
      </x:c>
      <x:c r="N426" s="83" t="n">
        <x:v>58</x:v>
      </x:c>
      <x:c r="O426" s="85" t="n">
        <x:v>46274</x:v>
      </x:c>
      <x:c r="P426" s="89" t="str">
        <x:f aca="0">A426&amp;TEXT(COUNTIF($A$6:A426,A426),"00")</x:f>
        <x:v>P07101</x:v>
      </x:c>
      <x:c r="Q426" s="89" t="str">
        <x:f aca="0">IF(I426&lt;100,A426&amp;"O"&amp;COUNTIFS($A$6:A426,A426,$I$6:I426,"&lt;100"),"")</x:f>
        <x:v>P071O1</x:v>
      </x:c>
      <x:c r="R426" s="89" t="str">
        <x:f aca="0">IF(I426&lt;100,D426&amp;"O"&amp;COUNTIFS($D$6:D426,D426,$I$6:I426,"&lt;100"),"")</x:f>
        <x:v>AmitO34</x:v>
      </x:c>
      <x:c r="S426" s="278" t="n">
        <x:f>IF(COUNTIF($B$6:$B$605,B426)&gt;1,1,0)</x:f>
        <x:v>0</x:v>
      </x:c>
    </x:row>
    <x:row r="427" ht="15" hidden="0">
      <x:c r="A427" s="83" t="s">
        <x:v>137</x:v>
      </x:c>
      <x:c r="B427" s="83" t="s">
        <x:v>969</x:v>
      </x:c>
      <x:c r="C427" s="83" t="s">
        <x:v>440</x:v>
      </x:c>
      <x:c r="D427" s="83" t="s">
        <x:v>475</x:v>
      </x:c>
      <x:c r="E427" s="83" t="s">
        <x:v>445</x:v>
      </x:c>
      <x:c r="F427" s="83" t="s">
        <x:v>493</x:v>
      </x:c>
      <x:c r="G427" s="85" t="n">
        <x:v>46288</x:v>
      </x:c>
      <x:c r="H427" s="85" t="n">
        <x:v>46311</x:v>
      </x:c>
      <x:c r="I427" s="87" t="n">
        <x:v>100</x:v>
      </x:c>
      <x:c r="J427" s="83" t="s">
        <x:v>595</x:v>
      </x:c>
      <x:c r="K427" s="83"/>
      <x:c r="L427" s="83" t="s">
        <x:v>395</x:v>
      </x:c>
      <x:c r="M427" s="83" t="n">
        <x:v>56</x:v>
      </x:c>
      <x:c r="N427" s="83" t="n">
        <x:v>105</x:v>
      </x:c>
      <x:c r="O427" s="85" t="n">
        <x:v>46274</x:v>
      </x:c>
      <x:c r="P427" s="89" t="str">
        <x:f aca="0">A427&amp;TEXT(COUNTIF($A$6:A427,A427),"00")</x:f>
        <x:v>P07102</x:v>
      </x:c>
      <x:c r="Q427" s="89" t="str">
        <x:f aca="0">IF(I427&lt;100,A427&amp;"O"&amp;COUNTIFS($A$6:A427,A427,$I$6:I427,"&lt;100"),"")</x:f>
      </x:c>
      <x:c r="R427" s="89" t="str">
        <x:f aca="0">IF(I427&lt;100,D427&amp;"O"&amp;COUNTIFS($D$6:D427,D427,$I$6:I427,"&lt;100"),"")</x:f>
      </x:c>
      <x:c r="S427" s="278" t="n">
        <x:f>IF(COUNTIF($B$6:$B$605,B427)&gt;1,1,0)</x:f>
        <x:v>0</x:v>
      </x:c>
    </x:row>
    <x:row r="428" ht="15" hidden="0">
      <x:c r="A428" s="83" t="s">
        <x:v>137</x:v>
      </x:c>
      <x:c r="B428" s="83" t="s">
        <x:v>970</x:v>
      </x:c>
      <x:c r="C428" s="83" t="s">
        <x:v>444</x:v>
      </x:c>
      <x:c r="D428" s="83" t="s">
        <x:v>434</x:v>
      </x:c>
      <x:c r="E428" s="83" t="s">
        <x:v>435</x:v>
      </x:c>
      <x:c r="F428" s="83" t="s">
        <x:v>546</x:v>
      </x:c>
      <x:c r="G428" s="85" t="n">
        <x:v>46302</x:v>
      </x:c>
      <x:c r="H428" s="85" t="n">
        <x:v>46323</x:v>
      </x:c>
      <x:c r="I428" s="87" t="n">
        <x:v>82</x:v>
      </x:c>
      <x:c r="J428" s="83" t="s">
        <x:v>543</x:v>
      </x:c>
      <x:c r="K428" s="83"/>
      <x:c r="L428" s="83" t="s">
        <x:v>395</x:v>
      </x:c>
      <x:c r="M428" s="83" t="n">
        <x:v>24</x:v>
      </x:c>
      <x:c r="N428" s="83" t="n">
        <x:v>29</x:v>
      </x:c>
      <x:c r="O428" s="85" t="n">
        <x:v>46274</x:v>
      </x:c>
      <x:c r="P428" s="89" t="str">
        <x:f aca="0">A428&amp;TEXT(COUNTIF($A$6:A428,A428),"00")</x:f>
        <x:v>P07103</x:v>
      </x:c>
      <x:c r="Q428" s="89" t="str">
        <x:f aca="0">IF(I428&lt;100,A428&amp;"O"&amp;COUNTIFS($A$6:A428,A428,$I$6:I428,"&lt;100"),"")</x:f>
        <x:v>P071O2</x:v>
      </x:c>
      <x:c r="R428" s="89" t="str">
        <x:f aca="0">IF(I428&lt;100,D428&amp;"O"&amp;COUNTIFS($D$6:D428,D428,$I$6:I428,"&lt;100"),"")</x:f>
        <x:v>RahulO32</x:v>
      </x:c>
      <x:c r="S428" s="278" t="n">
        <x:f>IF(COUNTIF($B$6:$B$605,B428)&gt;1,1,0)</x:f>
        <x:v>0</x:v>
      </x:c>
    </x:row>
    <x:row r="429" ht="15" hidden="0">
      <x:c r="A429" s="83" t="s">
        <x:v>137</x:v>
      </x:c>
      <x:c r="B429" s="83" t="s">
        <x:v>971</x:v>
      </x:c>
      <x:c r="C429" s="83" t="s">
        <x:v>448</x:v>
      </x:c>
      <x:c r="D429" s="83" t="s">
        <x:v>441</x:v>
      </x:c>
      <x:c r="E429" s="83" t="s">
        <x:v>442</x:v>
      </x:c>
      <x:c r="F429" s="83" t="s">
        <x:v>546</x:v>
      </x:c>
      <x:c r="G429" s="85" t="n">
        <x:v>46316</x:v>
      </x:c>
      <x:c r="H429" s="85" t="n">
        <x:v>46338</x:v>
      </x:c>
      <x:c r="I429" s="87" t="n">
        <x:v>95</x:v>
      </x:c>
      <x:c r="J429" s="83" t="s">
        <x:v>543</x:v>
      </x:c>
      <x:c r="K429" s="83"/>
      <x:c r="L429" s="83" t="s">
        <x:v>395</x:v>
      </x:c>
      <x:c r="M429" s="83" t="n">
        <x:v>55</x:v>
      </x:c>
      <x:c r="N429" s="83" t="n">
        <x:v>73</x:v>
      </x:c>
      <x:c r="O429" s="85" t="n">
        <x:v>46274</x:v>
      </x:c>
      <x:c r="P429" s="89" t="str">
        <x:f aca="0">A429&amp;TEXT(COUNTIF($A$6:A429,A429),"00")</x:f>
        <x:v>P07104</x:v>
      </x:c>
      <x:c r="Q429" s="89" t="str">
        <x:f aca="0">IF(I429&lt;100,A429&amp;"O"&amp;COUNTIFS($A$6:A429,A429,$I$6:I429,"&lt;100"),"")</x:f>
        <x:v>P071O3</x:v>
      </x:c>
      <x:c r="R429" s="89" t="str">
        <x:f aca="0">IF(I429&lt;100,D429&amp;"O"&amp;COUNTIFS($D$6:D429,D429,$I$6:I429,"&lt;100"),"")</x:f>
        <x:v>KaranO35</x:v>
      </x:c>
      <x:c r="S429" s="278" t="n">
        <x:f>IF(COUNTIF($B$6:$B$605,B429)&gt;1,1,0)</x:f>
        <x:v>0</x:v>
      </x:c>
    </x:row>
    <x:row r="430" ht="15" hidden="0">
      <x:c r="A430" s="83" t="s">
        <x:v>137</x:v>
      </x:c>
      <x:c r="B430" s="83" t="s">
        <x:v>972</x:v>
      </x:c>
      <x:c r="C430" s="83" t="s">
        <x:v>451</x:v>
      </x:c>
      <x:c r="D430" s="83" t="s">
        <x:v>445</x:v>
      </x:c>
      <x:c r="E430" s="83" t="s">
        <x:v>446</x:v>
      </x:c>
      <x:c r="F430" s="83" t="s">
        <x:v>550</x:v>
      </x:c>
      <x:c r="G430" s="85" t="n">
        <x:v>46330</x:v>
      </x:c>
      <x:c r="H430" s="85" t="n">
        <x:v>46353</x:v>
      </x:c>
      <x:c r="I430" s="87" t="n">
        <x:v>82</x:v>
      </x:c>
      <x:c r="J430" s="83" t="s">
        <x:v>543</x:v>
      </x:c>
      <x:c r="K430" s="83" t="s">
        <x:v>396</x:v>
      </x:c>
      <x:c r="L430" s="83" t="s">
        <x:v>395</x:v>
      </x:c>
      <x:c r="M430" s="83" t="n">
        <x:v>93</x:v>
      </x:c>
      <x:c r="N430" s="83" t="n">
        <x:v>28</x:v>
      </x:c>
      <x:c r="O430" s="85" t="n">
        <x:v>46274</x:v>
      </x:c>
      <x:c r="P430" s="89" t="str">
        <x:f aca="0">A430&amp;TEXT(COUNTIF($A$6:A430,A430),"00")</x:f>
        <x:v>P07105</x:v>
      </x:c>
      <x:c r="Q430" s="89" t="str">
        <x:f aca="0">IF(I430&lt;100,A430&amp;"O"&amp;COUNTIFS($A$6:A430,A430,$I$6:I430,"&lt;100"),"")</x:f>
        <x:v>P071O4</x:v>
      </x:c>
      <x:c r="R430" s="89" t="str">
        <x:f aca="0">IF(I430&lt;100,D430&amp;"O"&amp;COUNTIFS($D$6:D430,D430,$I$6:I430,"&lt;100"),"")</x:f>
        <x:v>MeeraO35</x:v>
      </x:c>
      <x:c r="S430" s="278" t="n">
        <x:f>IF(COUNTIF($B$6:$B$605,B430)&gt;1,1,0)</x:f>
        <x:v>0</x:v>
      </x:c>
    </x:row>
    <x:row r="431" ht="15" hidden="0">
      <x:c r="A431" s="83" t="s">
        <x:v>137</x:v>
      </x:c>
      <x:c r="B431" s="83" t="s">
        <x:v>973</x:v>
      </x:c>
      <x:c r="C431" s="83" t="s">
        <x:v>454</x:v>
      </x:c>
      <x:c r="D431" s="83" t="s">
        <x:v>435</x:v>
      </x:c>
      <x:c r="E431" s="83" t="s">
        <x:v>449</x:v>
      </x:c>
      <x:c r="F431" s="83" t="s">
        <x:v>550</x:v>
      </x:c>
      <x:c r="G431" s="85" t="n">
        <x:v>46344</x:v>
      </x:c>
      <x:c r="H431" s="85" t="n">
        <x:v>46355</x:v>
      </x:c>
      <x:c r="I431" s="87" t="n">
        <x:v>93</x:v>
      </x:c>
      <x:c r="J431" s="83" t="s">
        <x:v>543</x:v>
      </x:c>
      <x:c r="K431" s="83"/>
      <x:c r="L431" s="83" t="s">
        <x:v>395</x:v>
      </x:c>
      <x:c r="M431" s="83" t="n">
        <x:v>32</x:v>
      </x:c>
      <x:c r="N431" s="83" t="n">
        <x:v>93</x:v>
      </x:c>
      <x:c r="O431" s="85" t="n">
        <x:v>46274</x:v>
      </x:c>
      <x:c r="P431" s="89" t="str">
        <x:f aca="0">A431&amp;TEXT(COUNTIF($A$6:A431,A431),"00")</x:f>
        <x:v>P07106</x:v>
      </x:c>
      <x:c r="Q431" s="89" t="str">
        <x:f aca="0">IF(I431&lt;100,A431&amp;"O"&amp;COUNTIFS($A$6:A431,A431,$I$6:I431,"&lt;100"),"")</x:f>
        <x:v>P071O5</x:v>
      </x:c>
      <x:c r="R431" s="89" t="str">
        <x:f aca="0">IF(I431&lt;100,D431&amp;"O"&amp;COUNTIFS($D$6:D431,D431,$I$6:I431,"&lt;100"),"")</x:f>
        <x:v>VivekO35</x:v>
      </x:c>
      <x:c r="S431" s="278" t="n">
        <x:f>IF(COUNTIF($B$6:$B$605,B431)&gt;1,1,0)</x:f>
        <x:v>0</x:v>
      </x:c>
    </x:row>
    <x:row r="432" ht="15" hidden="0">
      <x:c r="A432" s="83" t="s">
        <x:v>158</x:v>
      </x:c>
      <x:c r="B432" s="83" t="s">
        <x:v>974</x:v>
      </x:c>
      <x:c r="C432" s="83" t="s">
        <x:v>433</x:v>
      </x:c>
      <x:c r="D432" s="83" t="s">
        <x:v>475</x:v>
      </x:c>
      <x:c r="E432" s="83" t="s">
        <x:v>445</x:v>
      </x:c>
      <x:c r="F432" s="83" t="s">
        <x:v>493</x:v>
      </x:c>
      <x:c r="G432" s="85" t="n">
        <x:v>46275</x:v>
      </x:c>
      <x:c r="H432" s="85" t="n">
        <x:v>46295</x:v>
      </x:c>
      <x:c r="I432" s="87" t="n">
        <x:v>32</x:v>
      </x:c>
      <x:c r="J432" s="83" t="s">
        <x:v>543</x:v>
      </x:c>
      <x:c r="K432" s="83"/>
      <x:c r="L432" s="83" t="s">
        <x:v>395</x:v>
      </x:c>
      <x:c r="M432" s="83" t="n">
        <x:v>99</x:v>
      </x:c>
      <x:c r="N432" s="83" t="n">
        <x:v>85</x:v>
      </x:c>
      <x:c r="O432" s="85" t="n">
        <x:v>46274</x:v>
      </x:c>
      <x:c r="P432" s="89" t="str">
        <x:f aca="0">A432&amp;TEXT(COUNTIF($A$6:A432,A432),"00")</x:f>
        <x:v>P07201</x:v>
      </x:c>
      <x:c r="Q432" s="89" t="str">
        <x:f aca="0">IF(I432&lt;100,A432&amp;"O"&amp;COUNTIFS($A$6:A432,A432,$I$6:I432,"&lt;100"),"")</x:f>
        <x:v>P072O1</x:v>
      </x:c>
      <x:c r="R432" s="89" t="str">
        <x:f aca="0">IF(I432&lt;100,D432&amp;"O"&amp;COUNTIFS($D$6:D432,D432,$I$6:I432,"&lt;100"),"")</x:f>
        <x:v>PriyaO34</x:v>
      </x:c>
      <x:c r="S432" s="278" t="n">
        <x:f>IF(COUNTIF($B$6:$B$605,B432)&gt;1,1,0)</x:f>
        <x:v>0</x:v>
      </x:c>
    </x:row>
    <x:row r="433" ht="15" hidden="0">
      <x:c r="A433" s="83" t="s">
        <x:v>158</x:v>
      </x:c>
      <x:c r="B433" s="83" t="s">
        <x:v>975</x:v>
      </x:c>
      <x:c r="C433" s="83" t="s">
        <x:v>440</x:v>
      </x:c>
      <x:c r="D433" s="83" t="s">
        <x:v>434</x:v>
      </x:c>
      <x:c r="E433" s="83" t="s">
        <x:v>435</x:v>
      </x:c>
      <x:c r="F433" s="83" t="s">
        <x:v>493</x:v>
      </x:c>
      <x:c r="G433" s="85" t="n">
        <x:v>46289</x:v>
      </x:c>
      <x:c r="H433" s="85" t="n">
        <x:v>46302</x:v>
      </x:c>
      <x:c r="I433" s="87" t="n">
        <x:v>35</x:v>
      </x:c>
      <x:c r="J433" s="83" t="s">
        <x:v>543</x:v>
      </x:c>
      <x:c r="K433" s="83" t="s">
        <x:v>396</x:v>
      </x:c>
      <x:c r="L433" s="83" t="s">
        <x:v>395</x:v>
      </x:c>
      <x:c r="M433" s="83" t="n">
        <x:v>57</x:v>
      </x:c>
      <x:c r="N433" s="83" t="n">
        <x:v>20</x:v>
      </x:c>
      <x:c r="O433" s="85" t="n">
        <x:v>46274</x:v>
      </x:c>
      <x:c r="P433" s="89" t="str">
        <x:f aca="0">A433&amp;TEXT(COUNTIF($A$6:A433,A433),"00")</x:f>
        <x:v>P07202</x:v>
      </x:c>
      <x:c r="Q433" s="89" t="str">
        <x:f aca="0">IF(I433&lt;100,A433&amp;"O"&amp;COUNTIFS($A$6:A433,A433,$I$6:I433,"&lt;100"),"")</x:f>
        <x:v>P072O2</x:v>
      </x:c>
      <x:c r="R433" s="89" t="str">
        <x:f aca="0">IF(I433&lt;100,D433&amp;"O"&amp;COUNTIFS($D$6:D433,D433,$I$6:I433,"&lt;100"),"")</x:f>
        <x:v>RahulO33</x:v>
      </x:c>
      <x:c r="S433" s="278" t="n">
        <x:f>IF(COUNTIF($B$6:$B$605,B433)&gt;1,1,0)</x:f>
        <x:v>0</x:v>
      </x:c>
    </x:row>
    <x:row r="434" ht="15" hidden="0">
      <x:c r="A434" s="83" t="s">
        <x:v>158</x:v>
      </x:c>
      <x:c r="B434" s="83" t="s">
        <x:v>976</x:v>
      </x:c>
      <x:c r="C434" s="83" t="s">
        <x:v>444</x:v>
      </x:c>
      <x:c r="D434" s="83" t="s">
        <x:v>441</x:v>
      </x:c>
      <x:c r="E434" s="83" t="s">
        <x:v>442</x:v>
      </x:c>
      <x:c r="F434" s="83" t="s">
        <x:v>493</x:v>
      </x:c>
      <x:c r="G434" s="85" t="n">
        <x:v>46303</x:v>
      </x:c>
      <x:c r="H434" s="85" t="n">
        <x:v>46326</x:v>
      </x:c>
      <x:c r="I434" s="87" t="n">
        <x:v>28</x:v>
      </x:c>
      <x:c r="J434" s="83" t="s">
        <x:v>543</x:v>
      </x:c>
      <x:c r="K434" s="83"/>
      <x:c r="L434" s="83" t="s">
        <x:v>395</x:v>
      </x:c>
      <x:c r="M434" s="83" t="n">
        <x:v>43</x:v>
      </x:c>
      <x:c r="N434" s="83" t="n">
        <x:v>83</x:v>
      </x:c>
      <x:c r="O434" s="85" t="n">
        <x:v>46274</x:v>
      </x:c>
      <x:c r="P434" s="89" t="str">
        <x:f aca="0">A434&amp;TEXT(COUNTIF($A$6:A434,A434),"00")</x:f>
        <x:v>P07203</x:v>
      </x:c>
      <x:c r="Q434" s="89" t="str">
        <x:f aca="0">IF(I434&lt;100,A434&amp;"O"&amp;COUNTIFS($A$6:A434,A434,$I$6:I434,"&lt;100"),"")</x:f>
        <x:v>P072O3</x:v>
      </x:c>
      <x:c r="R434" s="89" t="str">
        <x:f aca="0">IF(I434&lt;100,D434&amp;"O"&amp;COUNTIFS($D$6:D434,D434,$I$6:I434,"&lt;100"),"")</x:f>
        <x:v>KaranO36</x:v>
      </x:c>
      <x:c r="S434" s="278" t="n">
        <x:f>IF(COUNTIF($B$6:$B$605,B434)&gt;1,1,0)</x:f>
        <x:v>0</x:v>
      </x:c>
    </x:row>
    <x:row r="435" ht="15" hidden="0">
      <x:c r="A435" s="83" t="s">
        <x:v>158</x:v>
      </x:c>
      <x:c r="B435" s="83" t="s">
        <x:v>977</x:v>
      </x:c>
      <x:c r="C435" s="83" t="s">
        <x:v>448</x:v>
      </x:c>
      <x:c r="D435" s="83" t="s">
        <x:v>445</x:v>
      </x:c>
      <x:c r="E435" s="83" t="s">
        <x:v>446</x:v>
      </x:c>
      <x:c r="F435" s="83" t="s">
        <x:v>550</x:v>
      </x:c>
      <x:c r="G435" s="85" t="n">
        <x:v>46317</x:v>
      </x:c>
      <x:c r="H435" s="85" t="n">
        <x:v>46337</x:v>
      </x:c>
      <x:c r="I435" s="87" t="n">
        <x:v>23</x:v>
      </x:c>
      <x:c r="J435" s="83" t="s">
        <x:v>586</x:v>
      </x:c>
      <x:c r="K435" s="83" t="s">
        <x:v>413</x:v>
      </x:c>
      <x:c r="L435" s="83" t="s">
        <x:v>412</x:v>
      </x:c>
      <x:c r="M435" s="83" t="n">
        <x:v>36</x:v>
      </x:c>
      <x:c r="N435" s="83" t="n">
        <x:v>20</x:v>
      </x:c>
      <x:c r="O435" s="85" t="n">
        <x:v>46274</x:v>
      </x:c>
      <x:c r="P435" s="89" t="str">
        <x:f aca="0">A435&amp;TEXT(COUNTIF($A$6:A435,A435),"00")</x:f>
        <x:v>P07204</x:v>
      </x:c>
      <x:c r="Q435" s="89" t="str">
        <x:f aca="0">IF(I435&lt;100,A435&amp;"O"&amp;COUNTIFS($A$6:A435,A435,$I$6:I435,"&lt;100"),"")</x:f>
        <x:v>P072O4</x:v>
      </x:c>
      <x:c r="R435" s="89" t="str">
        <x:f aca="0">IF(I435&lt;100,D435&amp;"O"&amp;COUNTIFS($D$6:D435,D435,$I$6:I435,"&lt;100"),"")</x:f>
        <x:v>MeeraO36</x:v>
      </x:c>
      <x:c r="S435" s="278" t="n">
        <x:f>IF(COUNTIF($B$6:$B$605,B435)&gt;1,1,0)</x:f>
        <x:v>0</x:v>
      </x:c>
    </x:row>
    <x:row r="436" ht="15" hidden="0">
      <x:c r="A436" s="83" t="s">
        <x:v>158</x:v>
      </x:c>
      <x:c r="B436" s="83" t="s">
        <x:v>978</x:v>
      </x:c>
      <x:c r="C436" s="83" t="s">
        <x:v>451</x:v>
      </x:c>
      <x:c r="D436" s="83" t="s">
        <x:v>435</x:v>
      </x:c>
      <x:c r="E436" s="83" t="s">
        <x:v>449</x:v>
      </x:c>
      <x:c r="F436" s="83" t="s">
        <x:v>550</x:v>
      </x:c>
      <x:c r="G436" s="85" t="n">
        <x:v>46331</x:v>
      </x:c>
      <x:c r="H436" s="85" t="n">
        <x:v>46343</x:v>
      </x:c>
      <x:c r="I436" s="87" t="n">
        <x:v>18</x:v>
      </x:c>
      <x:c r="J436" s="83" t="s">
        <x:v>586</x:v>
      </x:c>
      <x:c r="K436" s="83" t="s">
        <x:v>413</x:v>
      </x:c>
      <x:c r="L436" s="83" t="s">
        <x:v>412</x:v>
      </x:c>
      <x:c r="M436" s="83" t="n">
        <x:v>44</x:v>
      </x:c>
      <x:c r="N436" s="83" t="n">
        <x:v>36</x:v>
      </x:c>
      <x:c r="O436" s="85" t="n">
        <x:v>46274</x:v>
      </x:c>
      <x:c r="P436" s="89" t="str">
        <x:f aca="0">A436&amp;TEXT(COUNTIF($A$6:A436,A436),"00")</x:f>
        <x:v>P07205</x:v>
      </x:c>
      <x:c r="Q436" s="89" t="str">
        <x:f aca="0">IF(I436&lt;100,A436&amp;"O"&amp;COUNTIFS($A$6:A436,A436,$I$6:I436,"&lt;100"),"")</x:f>
        <x:v>P072O5</x:v>
      </x:c>
      <x:c r="R436" s="89" t="str">
        <x:f aca="0">IF(I436&lt;100,D436&amp;"O"&amp;COUNTIFS($D$6:D436,D436,$I$6:I436,"&lt;100"),"")</x:f>
        <x:v>VivekO36</x:v>
      </x:c>
      <x:c r="S436" s="278" t="n">
        <x:f>IF(COUNTIF($B$6:$B$605,B436)&gt;1,1,0)</x:f>
        <x:v>0</x:v>
      </x:c>
    </x:row>
    <x:row r="437" ht="15" hidden="0">
      <x:c r="A437" s="83" t="s">
        <x:v>158</x:v>
      </x:c>
      <x:c r="B437" s="83" t="s">
        <x:v>979</x:v>
      </x:c>
      <x:c r="C437" s="83" t="s">
        <x:v>454</x:v>
      </x:c>
      <x:c r="D437" s="83" t="s">
        <x:v>442</x:v>
      </x:c>
      <x:c r="E437" s="83" t="s">
        <x:v>452</x:v>
      </x:c>
      <x:c r="F437" s="83" t="s">
        <x:v>557</x:v>
      </x:c>
      <x:c r="G437" s="85" t="n">
        <x:v>46345</x:v>
      </x:c>
      <x:c r="H437" s="85" t="n">
        <x:v>46365</x:v>
      </x:c>
      <x:c r="I437" s="87" t="n">
        <x:v>43</x:v>
      </x:c>
      <x:c r="J437" s="83" t="s">
        <x:v>586</x:v>
      </x:c>
      <x:c r="K437" s="83" t="s">
        <x:v>413</x:v>
      </x:c>
      <x:c r="L437" s="83" t="s">
        <x:v>412</x:v>
      </x:c>
      <x:c r="M437" s="83" t="n">
        <x:v>33</x:v>
      </x:c>
      <x:c r="N437" s="83" t="n">
        <x:v>59</x:v>
      </x:c>
      <x:c r="O437" s="85" t="n">
        <x:v>46274</x:v>
      </x:c>
      <x:c r="P437" s="89" t="str">
        <x:f aca="0">A437&amp;TEXT(COUNTIF($A$6:A437,A437),"00")</x:f>
        <x:v>P07206</x:v>
      </x:c>
      <x:c r="Q437" s="89" t="str">
        <x:f aca="0">IF(I437&lt;100,A437&amp;"O"&amp;COUNTIFS($A$6:A437,A437,$I$6:I437,"&lt;100"),"")</x:f>
        <x:v>P072O6</x:v>
      </x:c>
      <x:c r="R437" s="89" t="str">
        <x:f aca="0">IF(I437&lt;100,D437&amp;"O"&amp;COUNTIFS($D$6:D437,D437,$I$6:I437,"&lt;100"),"")</x:f>
        <x:v>RituO35</x:v>
      </x:c>
      <x:c r="S437" s="278" t="n">
        <x:f>IF(COUNTIF($B$6:$B$605,B437)&gt;1,1,0)</x:f>
        <x:v>0</x:v>
      </x:c>
    </x:row>
    <x:row r="438" ht="15" hidden="0">
      <x:c r="A438" s="83" t="s">
        <x:v>290</x:v>
      </x:c>
      <x:c r="B438" s="83" t="s">
        <x:v>980</x:v>
      </x:c>
      <x:c r="C438" s="83" t="s">
        <x:v>433</x:v>
      </x:c>
      <x:c r="D438" s="83" t="s">
        <x:v>434</x:v>
      </x:c>
      <x:c r="E438" s="83" t="s">
        <x:v>435</x:v>
      </x:c>
      <x:c r="F438" s="83" t="s">
        <x:v>493</x:v>
      </x:c>
      <x:c r="G438" s="85" t="n">
        <x:v>46276</x:v>
      </x:c>
      <x:c r="H438" s="85" t="n">
        <x:v>46299</x:v>
      </x:c>
      <x:c r="I438" s="87" t="n">
        <x:v>87</x:v>
      </x:c>
      <x:c r="J438" s="83" t="s">
        <x:v>543</x:v>
      </x:c>
      <x:c r="K438" s="83" t="s">
        <x:v>396</x:v>
      </x:c>
      <x:c r="L438" s="83" t="s">
        <x:v>395</x:v>
      </x:c>
      <x:c r="M438" s="83" t="n">
        <x:v>56</x:v>
      </x:c>
      <x:c r="N438" s="83" t="n">
        <x:v>91</x:v>
      </x:c>
      <x:c r="O438" s="85" t="n">
        <x:v>46274</x:v>
      </x:c>
      <x:c r="P438" s="89" t="str">
        <x:f aca="0">A438&amp;TEXT(COUNTIF($A$6:A438,A438),"00")</x:f>
        <x:v>P07301</x:v>
      </x:c>
      <x:c r="Q438" s="89" t="str">
        <x:f aca="0">IF(I438&lt;100,A438&amp;"O"&amp;COUNTIFS($A$6:A438,A438,$I$6:I438,"&lt;100"),"")</x:f>
        <x:v>P073O1</x:v>
      </x:c>
      <x:c r="R438" s="89" t="str">
        <x:f aca="0">IF(I438&lt;100,D438&amp;"O"&amp;COUNTIFS($D$6:D438,D438,$I$6:I438,"&lt;100"),"")</x:f>
        <x:v>RahulO34</x:v>
      </x:c>
      <x:c r="S438" s="278" t="n">
        <x:f>IF(COUNTIF($B$6:$B$605,B438)&gt;1,1,0)</x:f>
        <x:v>0</x:v>
      </x:c>
    </x:row>
    <x:row r="439" ht="15" hidden="0">
      <x:c r="A439" s="83" t="s">
        <x:v>290</x:v>
      </x:c>
      <x:c r="B439" s="83" t="s">
        <x:v>981</x:v>
      </x:c>
      <x:c r="C439" s="83" t="s">
        <x:v>440</x:v>
      </x:c>
      <x:c r="D439" s="83" t="s">
        <x:v>441</x:v>
      </x:c>
      <x:c r="E439" s="83" t="s">
        <x:v>442</x:v>
      </x:c>
      <x:c r="F439" s="83" t="s">
        <x:v>557</x:v>
      </x:c>
      <x:c r="G439" s="85" t="n">
        <x:v>46290</x:v>
      </x:c>
      <x:c r="H439" s="85" t="n">
        <x:v>46306</x:v>
      </x:c>
      <x:c r="I439" s="87" t="n">
        <x:v>84</x:v>
      </x:c>
      <x:c r="J439" s="83" t="s">
        <x:v>543</x:v>
      </x:c>
      <x:c r="K439" s="83"/>
      <x:c r="L439" s="83" t="s">
        <x:v>395</x:v>
      </x:c>
      <x:c r="M439" s="83" t="n">
        <x:v>51</x:v>
      </x:c>
      <x:c r="N439" s="83" t="n">
        <x:v>41</x:v>
      </x:c>
      <x:c r="O439" s="85" t="n">
        <x:v>46274</x:v>
      </x:c>
      <x:c r="P439" s="89" t="str">
        <x:f aca="0">A439&amp;TEXT(COUNTIF($A$6:A439,A439),"00")</x:f>
        <x:v>P07302</x:v>
      </x:c>
      <x:c r="Q439" s="89" t="str">
        <x:f aca="0">IF(I439&lt;100,A439&amp;"O"&amp;COUNTIFS($A$6:A439,A439,$I$6:I439,"&lt;100"),"")</x:f>
        <x:v>P073O2</x:v>
      </x:c>
      <x:c r="R439" s="89" t="str">
        <x:f aca="0">IF(I439&lt;100,D439&amp;"O"&amp;COUNTIFS($D$6:D439,D439,$I$6:I439,"&lt;100"),"")</x:f>
        <x:v>KaranO37</x:v>
      </x:c>
      <x:c r="S439" s="278" t="n">
        <x:f>IF(COUNTIF($B$6:$B$605,B439)&gt;1,1,0)</x:f>
        <x:v>0</x:v>
      </x:c>
    </x:row>
    <x:row r="440" ht="15" hidden="0">
      <x:c r="A440" s="83" t="s">
        <x:v>290</x:v>
      </x:c>
      <x:c r="B440" s="83" t="s">
        <x:v>982</x:v>
      </x:c>
      <x:c r="C440" s="83" t="s">
        <x:v>444</x:v>
      </x:c>
      <x:c r="D440" s="83" t="s">
        <x:v>445</x:v>
      </x:c>
      <x:c r="E440" s="83" t="s">
        <x:v>446</x:v>
      </x:c>
      <x:c r="F440" s="83" t="s">
        <x:v>546</x:v>
      </x:c>
      <x:c r="G440" s="85" t="n">
        <x:v>46304</x:v>
      </x:c>
      <x:c r="H440" s="85" t="n">
        <x:v>46318</x:v>
      </x:c>
      <x:c r="I440" s="87" t="n">
        <x:v>82</x:v>
      </x:c>
      <x:c r="J440" s="83" t="s">
        <x:v>543</x:v>
      </x:c>
      <x:c r="K440" s="83"/>
      <x:c r="L440" s="83" t="s">
        <x:v>395</x:v>
      </x:c>
      <x:c r="M440" s="83" t="n">
        <x:v>62</x:v>
      </x:c>
      <x:c r="N440" s="83" t="n">
        <x:v>90</x:v>
      </x:c>
      <x:c r="O440" s="85" t="n">
        <x:v>46274</x:v>
      </x:c>
      <x:c r="P440" s="89" t="str">
        <x:f aca="0">A440&amp;TEXT(COUNTIF($A$6:A440,A440),"00")</x:f>
        <x:v>P07303</x:v>
      </x:c>
      <x:c r="Q440" s="89" t="str">
        <x:f aca="0">IF(I440&lt;100,A440&amp;"O"&amp;COUNTIFS($A$6:A440,A440,$I$6:I440,"&lt;100"),"")</x:f>
        <x:v>P073O3</x:v>
      </x:c>
      <x:c r="R440" s="89" t="str">
        <x:f aca="0">IF(I440&lt;100,D440&amp;"O"&amp;COUNTIFS($D$6:D440,D440,$I$6:I440,"&lt;100"),"")</x:f>
        <x:v>MeeraO37</x:v>
      </x:c>
      <x:c r="S440" s="278" t="n">
        <x:f>IF(COUNTIF($B$6:$B$605,B440)&gt;1,1,0)</x:f>
        <x:v>0</x:v>
      </x:c>
    </x:row>
    <x:row r="441" ht="15" hidden="0">
      <x:c r="A441" s="83" t="s">
        <x:v>290</x:v>
      </x:c>
      <x:c r="B441" s="83" t="s">
        <x:v>983</x:v>
      </x:c>
      <x:c r="C441" s="83" t="s">
        <x:v>448</x:v>
      </x:c>
      <x:c r="D441" s="83" t="s">
        <x:v>435</x:v>
      </x:c>
      <x:c r="E441" s="83" t="s">
        <x:v>449</x:v>
      </x:c>
      <x:c r="F441" s="83" t="s">
        <x:v>546</x:v>
      </x:c>
      <x:c r="G441" s="85" t="n">
        <x:v>46318</x:v>
      </x:c>
      <x:c r="H441" s="85" t="n">
        <x:v>46334</x:v>
      </x:c>
      <x:c r="I441" s="87" t="n">
        <x:v>81</x:v>
      </x:c>
      <x:c r="J441" s="83" t="s">
        <x:v>543</x:v>
      </x:c>
      <x:c r="K441" s="83" t="s">
        <x:v>396</x:v>
      </x:c>
      <x:c r="L441" s="83" t="s">
        <x:v>395</x:v>
      </x:c>
      <x:c r="M441" s="83" t="n">
        <x:v>82</x:v>
      </x:c>
      <x:c r="N441" s="83" t="n">
        <x:v>85</x:v>
      </x:c>
      <x:c r="O441" s="85" t="n">
        <x:v>46274</x:v>
      </x:c>
      <x:c r="P441" s="89" t="str">
        <x:f aca="0">A441&amp;TEXT(COUNTIF($A$6:A441,A441),"00")</x:f>
        <x:v>P07304</x:v>
      </x:c>
      <x:c r="Q441" s="89" t="str">
        <x:f aca="0">IF(I441&lt;100,A441&amp;"O"&amp;COUNTIFS($A$6:A441,A441,$I$6:I441,"&lt;100"),"")</x:f>
        <x:v>P073O4</x:v>
      </x:c>
      <x:c r="R441" s="89" t="str">
        <x:f aca="0">IF(I441&lt;100,D441&amp;"O"&amp;COUNTIFS($D$6:D441,D441,$I$6:I441,"&lt;100"),"")</x:f>
        <x:v>VivekO37</x:v>
      </x:c>
      <x:c r="S441" s="278" t="n">
        <x:f>IF(COUNTIF($B$6:$B$605,B441)&gt;1,1,0)</x:f>
        <x:v>0</x:v>
      </x:c>
    </x:row>
    <x:row r="442" ht="15" hidden="0">
      <x:c r="A442" s="83" t="s">
        <x:v>290</x:v>
      </x:c>
      <x:c r="B442" s="83" t="s">
        <x:v>984</x:v>
      </x:c>
      <x:c r="C442" s="83" t="s">
        <x:v>451</x:v>
      </x:c>
      <x:c r="D442" s="83" t="s">
        <x:v>442</x:v>
      </x:c>
      <x:c r="E442" s="83" t="s">
        <x:v>452</x:v>
      </x:c>
      <x:c r="F442" s="83" t="s">
        <x:v>550</x:v>
      </x:c>
      <x:c r="G442" s="85" t="n">
        <x:v>46332</x:v>
      </x:c>
      <x:c r="H442" s="85" t="n">
        <x:v>46345</x:v>
      </x:c>
      <x:c r="I442" s="87" t="n">
        <x:v>94</x:v>
      </x:c>
      <x:c r="J442" s="83" t="s">
        <x:v>543</x:v>
      </x:c>
      <x:c r="K442" s="83"/>
      <x:c r="L442" s="83" t="s">
        <x:v>395</x:v>
      </x:c>
      <x:c r="M442" s="83" t="n">
        <x:v>66</x:v>
      </x:c>
      <x:c r="N442" s="83" t="n">
        <x:v>29</x:v>
      </x:c>
      <x:c r="O442" s="85" t="n">
        <x:v>46274</x:v>
      </x:c>
      <x:c r="P442" s="89" t="str">
        <x:f aca="0">A442&amp;TEXT(COUNTIF($A$6:A442,A442),"00")</x:f>
        <x:v>P07305</x:v>
      </x:c>
      <x:c r="Q442" s="89" t="str">
        <x:f aca="0">IF(I442&lt;100,A442&amp;"O"&amp;COUNTIFS($A$6:A442,A442,$I$6:I442,"&lt;100"),"")</x:f>
        <x:v>P073O5</x:v>
      </x:c>
      <x:c r="R442" s="89" t="str">
        <x:f aca="0">IF(I442&lt;100,D442&amp;"O"&amp;COUNTIFS($D$6:D442,D442,$I$6:I442,"&lt;100"),"")</x:f>
        <x:v>RituO36</x:v>
      </x:c>
      <x:c r="S442" s="278" t="n">
        <x:f>IF(COUNTIF($B$6:$B$605,B442)&gt;1,1,0)</x:f>
        <x:v>0</x:v>
      </x:c>
    </x:row>
    <x:row r="443" ht="15" hidden="0">
      <x:c r="A443" s="83" t="s">
        <x:v>290</x:v>
      </x:c>
      <x:c r="B443" s="83" t="s">
        <x:v>985</x:v>
      </x:c>
      <x:c r="C443" s="83" t="s">
        <x:v>454</x:v>
      </x:c>
      <x:c r="D443" s="83" t="s">
        <x:v>446</x:v>
      </x:c>
      <x:c r="E443" s="83" t="s">
        <x:v>455</x:v>
      </x:c>
      <x:c r="F443" s="83" t="s">
        <x:v>493</x:v>
      </x:c>
      <x:c r="G443" s="85" t="n">
        <x:v>46346</x:v>
      </x:c>
      <x:c r="H443" s="85" t="n">
        <x:v>46360</x:v>
      </x:c>
      <x:c r="I443" s="87" t="n">
        <x:v>100</x:v>
      </x:c>
      <x:c r="J443" s="83" t="s">
        <x:v>595</x:v>
      </x:c>
      <x:c r="K443" s="83" t="s">
        <x:v>396</x:v>
      </x:c>
      <x:c r="L443" s="83" t="s">
        <x:v>395</x:v>
      </x:c>
      <x:c r="M443" s="83" t="n">
        <x:v>38</x:v>
      </x:c>
      <x:c r="N443" s="83" t="n">
        <x:v>83</x:v>
      </x:c>
      <x:c r="O443" s="85" t="n">
        <x:v>46274</x:v>
      </x:c>
      <x:c r="P443" s="89" t="str">
        <x:f aca="0">A443&amp;TEXT(COUNTIF($A$6:A443,A443),"00")</x:f>
        <x:v>P07306</x:v>
      </x:c>
      <x:c r="Q443" s="89" t="str">
        <x:f aca="0">IF(I443&lt;100,A443&amp;"O"&amp;COUNTIFS($A$6:A443,A443,$I$6:I443,"&lt;100"),"")</x:f>
      </x:c>
      <x:c r="R443" s="89" t="str">
        <x:f aca="0">IF(I443&lt;100,D443&amp;"O"&amp;COUNTIFS($D$6:D443,D443,$I$6:I443,"&lt;100"),"")</x:f>
      </x:c>
      <x:c r="S443" s="278" t="n">
        <x:f>IF(COUNTIF($B$6:$B$605,B443)&gt;1,1,0)</x:f>
        <x:v>0</x:v>
      </x:c>
    </x:row>
    <x:row r="444" ht="15" hidden="0">
      <x:c r="A444" s="83" t="s">
        <x:v>270</x:v>
      </x:c>
      <x:c r="B444" s="83" t="s">
        <x:v>986</x:v>
      </x:c>
      <x:c r="C444" s="83" t="s">
        <x:v>433</x:v>
      </x:c>
      <x:c r="D444" s="83" t="s">
        <x:v>441</x:v>
      </x:c>
      <x:c r="E444" s="83" t="s">
        <x:v>442</x:v>
      </x:c>
      <x:c r="F444" s="83" t="s">
        <x:v>550</x:v>
      </x:c>
      <x:c r="G444" s="85" t="n">
        <x:v>46277</x:v>
      </x:c>
      <x:c r="H444" s="85" t="n">
        <x:v>46292</x:v>
      </x:c>
      <x:c r="I444" s="87" t="n">
        <x:v>64</x:v>
      </x:c>
      <x:c r="J444" s="83" t="s">
        <x:v>543</x:v>
      </x:c>
      <x:c r="K444" s="83"/>
      <x:c r="L444" s="83" t="s">
        <x:v>395</x:v>
      </x:c>
      <x:c r="M444" s="83" t="n">
        <x:v>32</x:v>
      </x:c>
      <x:c r="N444" s="83" t="n">
        <x:v>48</x:v>
      </x:c>
      <x:c r="O444" s="85" t="n">
        <x:v>46274</x:v>
      </x:c>
      <x:c r="P444" s="89" t="str">
        <x:f aca="0">A444&amp;TEXT(COUNTIF($A$6:A444,A444),"00")</x:f>
        <x:v>P07401</x:v>
      </x:c>
      <x:c r="Q444" s="89" t="str">
        <x:f aca="0">IF(I444&lt;100,A444&amp;"O"&amp;COUNTIFS($A$6:A444,A444,$I$6:I444,"&lt;100"),"")</x:f>
        <x:v>P074O1</x:v>
      </x:c>
      <x:c r="R444" s="89" t="str">
        <x:f aca="0">IF(I444&lt;100,D444&amp;"O"&amp;COUNTIFS($D$6:D444,D444,$I$6:I444,"&lt;100"),"")</x:f>
        <x:v>KaranO38</x:v>
      </x:c>
      <x:c r="S444" s="278" t="n">
        <x:f>IF(COUNTIF($B$6:$B$605,B444)&gt;1,1,0)</x:f>
        <x:v>0</x:v>
      </x:c>
    </x:row>
    <x:row r="445" ht="15" hidden="0">
      <x:c r="A445" s="83" t="s">
        <x:v>270</x:v>
      </x:c>
      <x:c r="B445" s="83" t="s">
        <x:v>987</x:v>
      </x:c>
      <x:c r="C445" s="83" t="s">
        <x:v>440</x:v>
      </x:c>
      <x:c r="D445" s="83" t="s">
        <x:v>445</x:v>
      </x:c>
      <x:c r="E445" s="83" t="s">
        <x:v>446</x:v>
      </x:c>
      <x:c r="F445" s="83" t="s">
        <x:v>557</x:v>
      </x:c>
      <x:c r="G445" s="85" t="n">
        <x:v>46291</x:v>
      </x:c>
      <x:c r="H445" s="85" t="n">
        <x:v>46313</x:v>
      </x:c>
      <x:c r="I445" s="87" t="n">
        <x:v>52</x:v>
      </x:c>
      <x:c r="J445" s="83" t="s">
        <x:v>543</x:v>
      </x:c>
      <x:c r="K445" s="83"/>
      <x:c r="L445" s="83" t="s">
        <x:v>395</x:v>
      </x:c>
      <x:c r="M445" s="83" t="n">
        <x:v>83</x:v>
      </x:c>
      <x:c r="N445" s="83" t="n">
        <x:v>32</x:v>
      </x:c>
      <x:c r="O445" s="85" t="n">
        <x:v>46274</x:v>
      </x:c>
      <x:c r="P445" s="89" t="str">
        <x:f aca="0">A445&amp;TEXT(COUNTIF($A$6:A445,A445),"00")</x:f>
        <x:v>P07402</x:v>
      </x:c>
      <x:c r="Q445" s="89" t="str">
        <x:f aca="0">IF(I445&lt;100,A445&amp;"O"&amp;COUNTIFS($A$6:A445,A445,$I$6:I445,"&lt;100"),"")</x:f>
        <x:v>P074O2</x:v>
      </x:c>
      <x:c r="R445" s="89" t="str">
        <x:f aca="0">IF(I445&lt;100,D445&amp;"O"&amp;COUNTIFS($D$6:D445,D445,$I$6:I445,"&lt;100"),"")</x:f>
        <x:v>MeeraO38</x:v>
      </x:c>
      <x:c r="S445" s="278" t="n">
        <x:f>IF(COUNTIF($B$6:$B$605,B445)&gt;1,1,0)</x:f>
        <x:v>0</x:v>
      </x:c>
    </x:row>
    <x:row r="446" ht="15" hidden="0">
      <x:c r="A446" s="83" t="s">
        <x:v>270</x:v>
      </x:c>
      <x:c r="B446" s="83" t="s">
        <x:v>988</x:v>
      </x:c>
      <x:c r="C446" s="83" t="s">
        <x:v>444</x:v>
      </x:c>
      <x:c r="D446" s="83" t="s">
        <x:v>435</x:v>
      </x:c>
      <x:c r="E446" s="83" t="s">
        <x:v>449</x:v>
      </x:c>
      <x:c r="F446" s="83" t="s">
        <x:v>493</x:v>
      </x:c>
      <x:c r="G446" s="85" t="n">
        <x:v>46305</x:v>
      </x:c>
      <x:c r="H446" s="85" t="n">
        <x:v>46319</x:v>
      </x:c>
      <x:c r="I446" s="87" t="n">
        <x:v>64</x:v>
      </x:c>
      <x:c r="J446" s="83" t="s">
        <x:v>543</x:v>
      </x:c>
      <x:c r="K446" s="83"/>
      <x:c r="L446" s="83" t="s">
        <x:v>395</x:v>
      </x:c>
      <x:c r="M446" s="83" t="n">
        <x:v>91</x:v>
      </x:c>
      <x:c r="N446" s="83" t="n">
        <x:v>65</x:v>
      </x:c>
      <x:c r="O446" s="85" t="n">
        <x:v>46274</x:v>
      </x:c>
      <x:c r="P446" s="89" t="str">
        <x:f aca="0">A446&amp;TEXT(COUNTIF($A$6:A446,A446),"00")</x:f>
        <x:v>P07403</x:v>
      </x:c>
      <x:c r="Q446" s="89" t="str">
        <x:f aca="0">IF(I446&lt;100,A446&amp;"O"&amp;COUNTIFS($A$6:A446,A446,$I$6:I446,"&lt;100"),"")</x:f>
        <x:v>P074O3</x:v>
      </x:c>
      <x:c r="R446" s="89" t="str">
        <x:f aca="0">IF(I446&lt;100,D446&amp;"O"&amp;COUNTIFS($D$6:D446,D446,$I$6:I446,"&lt;100"),"")</x:f>
        <x:v>VivekO38</x:v>
      </x:c>
      <x:c r="S446" s="278" t="n">
        <x:f>IF(COUNTIF($B$6:$B$605,B446)&gt;1,1,0)</x:f>
        <x:v>0</x:v>
      </x:c>
    </x:row>
    <x:row r="447" ht="15" hidden="0">
      <x:c r="A447" s="83" t="s">
        <x:v>270</x:v>
      </x:c>
      <x:c r="B447" s="83" t="s">
        <x:v>989</x:v>
      </x:c>
      <x:c r="C447" s="83" t="s">
        <x:v>448</x:v>
      </x:c>
      <x:c r="D447" s="83" t="s">
        <x:v>442</x:v>
      </x:c>
      <x:c r="E447" s="83" t="s">
        <x:v>452</x:v>
      </x:c>
      <x:c r="F447" s="83" t="s">
        <x:v>493</x:v>
      </x:c>
      <x:c r="G447" s="85" t="n">
        <x:v>46319</x:v>
      </x:c>
      <x:c r="H447" s="85" t="n">
        <x:v>46334</x:v>
      </x:c>
      <x:c r="I447" s="87" t="n">
        <x:v>59</x:v>
      </x:c>
      <x:c r="J447" s="83" t="s">
        <x:v>543</x:v>
      </x:c>
      <x:c r="K447" s="83"/>
      <x:c r="L447" s="83" t="s">
        <x:v>395</x:v>
      </x:c>
      <x:c r="M447" s="83" t="n">
        <x:v>83</x:v>
      </x:c>
      <x:c r="N447" s="83" t="n">
        <x:v>57</x:v>
      </x:c>
      <x:c r="O447" s="85" t="n">
        <x:v>46274</x:v>
      </x:c>
      <x:c r="P447" s="89" t="str">
        <x:f aca="0">A447&amp;TEXT(COUNTIF($A$6:A447,A447),"00")</x:f>
        <x:v>P07404</x:v>
      </x:c>
      <x:c r="Q447" s="89" t="str">
        <x:f aca="0">IF(I447&lt;100,A447&amp;"O"&amp;COUNTIFS($A$6:A447,A447,$I$6:I447,"&lt;100"),"")</x:f>
        <x:v>P074O4</x:v>
      </x:c>
      <x:c r="R447" s="89" t="str">
        <x:f aca="0">IF(I447&lt;100,D447&amp;"O"&amp;COUNTIFS($D$6:D447,D447,$I$6:I447,"&lt;100"),"")</x:f>
        <x:v>RituO37</x:v>
      </x:c>
      <x:c r="S447" s="278" t="n">
        <x:f>IF(COUNTIF($B$6:$B$605,B447)&gt;1,1,0)</x:f>
        <x:v>0</x:v>
      </x:c>
    </x:row>
    <x:row r="448" ht="15" hidden="0">
      <x:c r="A448" s="83" t="s">
        <x:v>270</x:v>
      </x:c>
      <x:c r="B448" s="83" t="s">
        <x:v>990</x:v>
      </x:c>
      <x:c r="C448" s="83" t="s">
        <x:v>451</x:v>
      </x:c>
      <x:c r="D448" s="83" t="s">
        <x:v>446</x:v>
      </x:c>
      <x:c r="E448" s="83" t="s">
        <x:v>455</x:v>
      </x:c>
      <x:c r="F448" s="83" t="s">
        <x:v>557</x:v>
      </x:c>
      <x:c r="G448" s="85" t="n">
        <x:v>46333</x:v>
      </x:c>
      <x:c r="H448" s="85" t="n">
        <x:v>46357</x:v>
      </x:c>
      <x:c r="I448" s="87" t="n">
        <x:v>69</x:v>
      </x:c>
      <x:c r="J448" s="83" t="s">
        <x:v>543</x:v>
      </x:c>
      <x:c r="K448" s="83"/>
      <x:c r="L448" s="83" t="s">
        <x:v>395</x:v>
      </x:c>
      <x:c r="M448" s="83" t="n">
        <x:v>70</x:v>
      </x:c>
      <x:c r="N448" s="83" t="n">
        <x:v>100</x:v>
      </x:c>
      <x:c r="O448" s="85" t="n">
        <x:v>46274</x:v>
      </x:c>
      <x:c r="P448" s="89" t="str">
        <x:f aca="0">A448&amp;TEXT(COUNTIF($A$6:A448,A448),"00")</x:f>
        <x:v>P07405</x:v>
      </x:c>
      <x:c r="Q448" s="89" t="str">
        <x:f aca="0">IF(I448&lt;100,A448&amp;"O"&amp;COUNTIFS($A$6:A448,A448,$I$6:I448,"&lt;100"),"")</x:f>
        <x:v>P074O5</x:v>
      </x:c>
      <x:c r="R448" s="89" t="str">
        <x:f aca="0">IF(I448&lt;100,D448&amp;"O"&amp;COUNTIFS($D$6:D448,D448,$I$6:I448,"&lt;100"),"")</x:f>
        <x:v>SanjayO37</x:v>
      </x:c>
      <x:c r="S448" s="278" t="n">
        <x:f>IF(COUNTIF($B$6:$B$605,B448)&gt;1,1,0)</x:f>
        <x:v>0</x:v>
      </x:c>
    </x:row>
    <x:row r="449" ht="15" hidden="0">
      <x:c r="A449" s="83" t="s">
        <x:v>270</x:v>
      </x:c>
      <x:c r="B449" s="83" t="s">
        <x:v>991</x:v>
      </x:c>
      <x:c r="C449" s="83" t="s">
        <x:v>454</x:v>
      </x:c>
      <x:c r="D449" s="83" t="s">
        <x:v>449</x:v>
      </x:c>
      <x:c r="E449" s="83" t="s">
        <x:v>462</x:v>
      </x:c>
      <x:c r="F449" s="83" t="s">
        <x:v>546</x:v>
      </x:c>
      <x:c r="G449" s="85" t="n">
        <x:v>46347</x:v>
      </x:c>
      <x:c r="H449" s="85" t="n">
        <x:v>46365</x:v>
      </x:c>
      <x:c r="I449" s="87" t="n">
        <x:v>73</x:v>
      </x:c>
      <x:c r="J449" s="83" t="s">
        <x:v>543</x:v>
      </x:c>
      <x:c r="K449" s="83"/>
      <x:c r="L449" s="83" t="s">
        <x:v>395</x:v>
      </x:c>
      <x:c r="M449" s="83" t="n">
        <x:v>52</x:v>
      </x:c>
      <x:c r="N449" s="83" t="n">
        <x:v>32</x:v>
      </x:c>
      <x:c r="O449" s="85" t="n">
        <x:v>46274</x:v>
      </x:c>
      <x:c r="P449" s="89" t="str">
        <x:f aca="0">A449&amp;TEXT(COUNTIF($A$6:A449,A449),"00")</x:f>
        <x:v>P07406</x:v>
      </x:c>
      <x:c r="Q449" s="89" t="str">
        <x:f aca="0">IF(I449&lt;100,A449&amp;"O"&amp;COUNTIFS($A$6:A449,A449,$I$6:I449,"&lt;100"),"")</x:f>
        <x:v>P074O6</x:v>
      </x:c>
      <x:c r="R449" s="89" t="str">
        <x:f aca="0">IF(I449&lt;100,D449&amp;"O"&amp;COUNTIFS($D$6:D449,D449,$I$6:I449,"&lt;100"),"")</x:f>
        <x:v>AnilO35</x:v>
      </x:c>
      <x:c r="S449" s="278" t="n">
        <x:f>IF(COUNTIF($B$6:$B$605,B449)&gt;1,1,0)</x:f>
        <x:v>0</x:v>
      </x:c>
    </x:row>
    <x:row r="450" ht="15" hidden="0">
      <x:c r="A450" s="83" t="s">
        <x:v>124</x:v>
      </x:c>
      <x:c r="B450" s="83" t="s">
        <x:v>992</x:v>
      </x:c>
      <x:c r="C450" s="83" t="s">
        <x:v>433</x:v>
      </x:c>
      <x:c r="D450" s="83" t="s">
        <x:v>445</x:v>
      </x:c>
      <x:c r="E450" s="83" t="s">
        <x:v>446</x:v>
      </x:c>
      <x:c r="F450" s="83" t="s">
        <x:v>550</x:v>
      </x:c>
      <x:c r="G450" s="85" t="n">
        <x:v>46278</x:v>
      </x:c>
      <x:c r="H450" s="85" t="n">
        <x:v>46292</x:v>
      </x:c>
      <x:c r="I450" s="87" t="n">
        <x:v>24</x:v>
      </x:c>
      <x:c r="J450" s="83" t="s">
        <x:v>543</x:v>
      </x:c>
      <x:c r="K450" s="83"/>
      <x:c r="L450" s="83" t="s">
        <x:v>395</x:v>
      </x:c>
      <x:c r="M450" s="83" t="n">
        <x:v>76</x:v>
      </x:c>
      <x:c r="N450" s="83" t="n">
        <x:v>81</x:v>
      </x:c>
      <x:c r="O450" s="85" t="n">
        <x:v>46274</x:v>
      </x:c>
      <x:c r="P450" s="89" t="str">
        <x:f aca="0">A450&amp;TEXT(COUNTIF($A$6:A450,A450),"00")</x:f>
        <x:v>P07501</x:v>
      </x:c>
      <x:c r="Q450" s="89" t="str">
        <x:f aca="0">IF(I450&lt;100,A450&amp;"O"&amp;COUNTIFS($A$6:A450,A450,$I$6:I450,"&lt;100"),"")</x:f>
        <x:v>P075O1</x:v>
      </x:c>
      <x:c r="R450" s="89" t="str">
        <x:f aca="0">IF(I450&lt;100,D450&amp;"O"&amp;COUNTIFS($D$6:D450,D450,$I$6:I450,"&lt;100"),"")</x:f>
        <x:v>MeeraO39</x:v>
      </x:c>
      <x:c r="S450" s="278" t="n">
        <x:f>IF(COUNTIF($B$6:$B$605,B450)&gt;1,1,0)</x:f>
        <x:v>0</x:v>
      </x:c>
    </x:row>
    <x:row r="451" ht="15" hidden="0">
      <x:c r="A451" s="83" t="s">
        <x:v>124</x:v>
      </x:c>
      <x:c r="B451" s="83" t="s">
        <x:v>993</x:v>
      </x:c>
      <x:c r="C451" s="83" t="s">
        <x:v>440</x:v>
      </x:c>
      <x:c r="D451" s="83" t="s">
        <x:v>435</x:v>
      </x:c>
      <x:c r="E451" s="83" t="s">
        <x:v>449</x:v>
      </x:c>
      <x:c r="F451" s="83" t="s">
        <x:v>546</x:v>
      </x:c>
      <x:c r="G451" s="85" t="n">
        <x:v>46292</x:v>
      </x:c>
      <x:c r="H451" s="85" t="n">
        <x:v>46315</x:v>
      </x:c>
      <x:c r="I451" s="87" t="n">
        <x:v>49</x:v>
      </x:c>
      <x:c r="J451" s="83" t="s">
        <x:v>543</x:v>
      </x:c>
      <x:c r="K451" s="83"/>
      <x:c r="L451" s="83" t="s">
        <x:v>395</x:v>
      </x:c>
      <x:c r="M451" s="83" t="n">
        <x:v>93</x:v>
      </x:c>
      <x:c r="N451" s="83" t="n">
        <x:v>46</x:v>
      </x:c>
      <x:c r="O451" s="85" t="n">
        <x:v>46274</x:v>
      </x:c>
      <x:c r="P451" s="89" t="str">
        <x:f aca="0">A451&amp;TEXT(COUNTIF($A$6:A451,A451),"00")</x:f>
        <x:v>P07502</x:v>
      </x:c>
      <x:c r="Q451" s="89" t="str">
        <x:f aca="0">IF(I451&lt;100,A451&amp;"O"&amp;COUNTIFS($A$6:A451,A451,$I$6:I451,"&lt;100"),"")</x:f>
        <x:v>P075O2</x:v>
      </x:c>
      <x:c r="R451" s="89" t="str">
        <x:f aca="0">IF(I451&lt;100,D451&amp;"O"&amp;COUNTIFS($D$6:D451,D451,$I$6:I451,"&lt;100"),"")</x:f>
        <x:v>VivekO39</x:v>
      </x:c>
      <x:c r="S451" s="278" t="n">
        <x:f>IF(COUNTIF($B$6:$B$605,B451)&gt;1,1,0)</x:f>
        <x:v>0</x:v>
      </x:c>
    </x:row>
    <x:row r="452" ht="15" hidden="0">
      <x:c r="A452" s="83" t="s">
        <x:v>124</x:v>
      </x:c>
      <x:c r="B452" s="83" t="s">
        <x:v>994</x:v>
      </x:c>
      <x:c r="C452" s="83" t="s">
        <x:v>444</x:v>
      </x:c>
      <x:c r="D452" s="83" t="s">
        <x:v>442</x:v>
      </x:c>
      <x:c r="E452" s="83" t="s">
        <x:v>452</x:v>
      </x:c>
      <x:c r="F452" s="83" t="s">
        <x:v>557</x:v>
      </x:c>
      <x:c r="G452" s="85" t="n">
        <x:v>46306</x:v>
      </x:c>
      <x:c r="H452" s="85" t="n">
        <x:v>46317</x:v>
      </x:c>
      <x:c r="I452" s="87" t="n">
        <x:v>50</x:v>
      </x:c>
      <x:c r="J452" s="83" t="s">
        <x:v>543</x:v>
      </x:c>
      <x:c r="K452" s="83" t="s">
        <x:v>396</x:v>
      </x:c>
      <x:c r="L452" s="83" t="s">
        <x:v>395</x:v>
      </x:c>
      <x:c r="M452" s="83" t="n">
        <x:v>67</x:v>
      </x:c>
      <x:c r="N452" s="83" t="n">
        <x:v>101</x:v>
      </x:c>
      <x:c r="O452" s="85" t="n">
        <x:v>46274</x:v>
      </x:c>
      <x:c r="P452" s="89" t="str">
        <x:f aca="0">A452&amp;TEXT(COUNTIF($A$6:A452,A452),"00")</x:f>
        <x:v>P07503</x:v>
      </x:c>
      <x:c r="Q452" s="89" t="str">
        <x:f aca="0">IF(I452&lt;100,A452&amp;"O"&amp;COUNTIFS($A$6:A452,A452,$I$6:I452,"&lt;100"),"")</x:f>
        <x:v>P075O3</x:v>
      </x:c>
      <x:c r="R452" s="89" t="str">
        <x:f aca="0">IF(I452&lt;100,D452&amp;"O"&amp;COUNTIFS($D$6:D452,D452,$I$6:I452,"&lt;100"),"")</x:f>
        <x:v>RituO38</x:v>
      </x:c>
      <x:c r="S452" s="278" t="n">
        <x:f>IF(COUNTIF($B$6:$B$605,B452)&gt;1,1,0)</x:f>
        <x:v>0</x:v>
      </x:c>
    </x:row>
    <x:row r="453" ht="15" hidden="0">
      <x:c r="A453" s="83" t="s">
        <x:v>124</x:v>
      </x:c>
      <x:c r="B453" s="83" t="s">
        <x:v>995</x:v>
      </x:c>
      <x:c r="C453" s="83" t="s">
        <x:v>448</x:v>
      </x:c>
      <x:c r="D453" s="83" t="s">
        <x:v>446</x:v>
      </x:c>
      <x:c r="E453" s="83" t="s">
        <x:v>455</x:v>
      </x:c>
      <x:c r="F453" s="83" t="s">
        <x:v>550</x:v>
      </x:c>
      <x:c r="G453" s="85" t="n">
        <x:v>46320</x:v>
      </x:c>
      <x:c r="H453" s="85" t="n">
        <x:v>46334</x:v>
      </x:c>
      <x:c r="I453" s="87" t="n">
        <x:v>44</x:v>
      </x:c>
      <x:c r="J453" s="83" t="s">
        <x:v>586</x:v>
      </x:c>
      <x:c r="K453" s="83" t="s">
        <x:v>413</x:v>
      </x:c>
      <x:c r="L453" s="83" t="s">
        <x:v>412</x:v>
      </x:c>
      <x:c r="M453" s="83" t="n">
        <x:v>46</x:v>
      </x:c>
      <x:c r="N453" s="83" t="n">
        <x:v>54</x:v>
      </x:c>
      <x:c r="O453" s="85" t="n">
        <x:v>46274</x:v>
      </x:c>
      <x:c r="P453" s="89" t="str">
        <x:f aca="0">A453&amp;TEXT(COUNTIF($A$6:A453,A453),"00")</x:f>
        <x:v>P07504</x:v>
      </x:c>
      <x:c r="Q453" s="89" t="str">
        <x:f aca="0">IF(I453&lt;100,A453&amp;"O"&amp;COUNTIFS($A$6:A453,A453,$I$6:I453,"&lt;100"),"")</x:f>
        <x:v>P075O4</x:v>
      </x:c>
      <x:c r="R453" s="89" t="str">
        <x:f aca="0">IF(I453&lt;100,D453&amp;"O"&amp;COUNTIFS($D$6:D453,D453,$I$6:I453,"&lt;100"),"")</x:f>
        <x:v>SanjayO38</x:v>
      </x:c>
      <x:c r="S453" s="278" t="n">
        <x:f>IF(COUNTIF($B$6:$B$605,B453)&gt;1,1,0)</x:f>
        <x:v>0</x:v>
      </x:c>
    </x:row>
    <x:row r="454" ht="15" hidden="0">
      <x:c r="A454" s="83" t="s">
        <x:v>124</x:v>
      </x:c>
      <x:c r="B454" s="83" t="s">
        <x:v>996</x:v>
      </x:c>
      <x:c r="C454" s="83" t="s">
        <x:v>451</x:v>
      </x:c>
      <x:c r="D454" s="83" t="s">
        <x:v>449</x:v>
      </x:c>
      <x:c r="E454" s="83" t="s">
        <x:v>462</x:v>
      </x:c>
      <x:c r="F454" s="83" t="s">
        <x:v>557</x:v>
      </x:c>
      <x:c r="G454" s="85" t="n">
        <x:v>46334</x:v>
      </x:c>
      <x:c r="H454" s="85" t="n">
        <x:v>46356</x:v>
      </x:c>
      <x:c r="I454" s="87" t="n">
        <x:v>24</x:v>
      </x:c>
      <x:c r="J454" s="83" t="s">
        <x:v>586</x:v>
      </x:c>
      <x:c r="K454" s="83" t="s">
        <x:v>413</x:v>
      </x:c>
      <x:c r="L454" s="83" t="s">
        <x:v>412</x:v>
      </x:c>
      <x:c r="M454" s="83" t="n">
        <x:v>48</x:v>
      </x:c>
      <x:c r="N454" s="83" t="n">
        <x:v>104</x:v>
      </x:c>
      <x:c r="O454" s="85" t="n">
        <x:v>46274</x:v>
      </x:c>
      <x:c r="P454" s="89" t="str">
        <x:f aca="0">A454&amp;TEXT(COUNTIF($A$6:A454,A454),"00")</x:f>
        <x:v>P07505</x:v>
      </x:c>
      <x:c r="Q454" s="89" t="str">
        <x:f aca="0">IF(I454&lt;100,A454&amp;"O"&amp;COUNTIFS($A$6:A454,A454,$I$6:I454,"&lt;100"),"")</x:f>
        <x:v>P075O5</x:v>
      </x:c>
      <x:c r="R454" s="89" t="str">
        <x:f aca="0">IF(I454&lt;100,D454&amp;"O"&amp;COUNTIFS($D$6:D454,D454,$I$6:I454,"&lt;100"),"")</x:f>
        <x:v>AnilO36</x:v>
      </x:c>
      <x:c r="S454" s="278" t="n">
        <x:f>IF(COUNTIF($B$6:$B$605,B454)&gt;1,1,0)</x:f>
        <x:v>0</x:v>
      </x:c>
    </x:row>
    <x:row r="455" ht="15" hidden="0">
      <x:c r="A455" s="83" t="s">
        <x:v>124</x:v>
      </x:c>
      <x:c r="B455" s="83" t="s">
        <x:v>997</x:v>
      </x:c>
      <x:c r="C455" s="83" t="s">
        <x:v>454</x:v>
      </x:c>
      <x:c r="D455" s="83" t="s">
        <x:v>452</x:v>
      </x:c>
      <x:c r="E455" s="83" t="s">
        <x:v>360</x:v>
      </x:c>
      <x:c r="F455" s="83" t="s">
        <x:v>550</x:v>
      </x:c>
      <x:c r="G455" s="85" t="n">
        <x:v>46348</x:v>
      </x:c>
      <x:c r="H455" s="85" t="n">
        <x:v>46365</x:v>
      </x:c>
      <x:c r="I455" s="87" t="n">
        <x:v>46</x:v>
      </x:c>
      <x:c r="J455" s="83" t="s">
        <x:v>586</x:v>
      </x:c>
      <x:c r="K455" s="83" t="s">
        <x:v>413</x:v>
      </x:c>
      <x:c r="L455" s="83" t="s">
        <x:v>412</x:v>
      </x:c>
      <x:c r="M455" s="83" t="n">
        <x:v>51</x:v>
      </x:c>
      <x:c r="N455" s="83" t="n">
        <x:v>32</x:v>
      </x:c>
      <x:c r="O455" s="85" t="n">
        <x:v>46274</x:v>
      </x:c>
      <x:c r="P455" s="89" t="str">
        <x:f aca="0">A455&amp;TEXT(COUNTIF($A$6:A455,A455),"00")</x:f>
        <x:v>P07506</x:v>
      </x:c>
      <x:c r="Q455" s="89" t="str">
        <x:f aca="0">IF(I455&lt;100,A455&amp;"O"&amp;COUNTIFS($A$6:A455,A455,$I$6:I455,"&lt;100"),"")</x:f>
        <x:v>P075O6</x:v>
      </x:c>
      <x:c r="R455" s="89" t="str">
        <x:f aca="0">IF(I455&lt;100,D455&amp;"O"&amp;COUNTIFS($D$6:D455,D455,$I$6:I455,"&lt;100"),"")</x:f>
        <x:v>KavyaO36</x:v>
      </x:c>
      <x:c r="S455" s="278" t="n">
        <x:f>IF(COUNTIF($B$6:$B$605,B455)&gt;1,1,0)</x:f>
        <x:v>0</x:v>
      </x:c>
    </x:row>
    <x:row r="456" ht="15" hidden="0">
      <x:c r="A456" s="83" t="s">
        <x:v>284</x:v>
      </x:c>
      <x:c r="B456" s="83" t="s">
        <x:v>998</x:v>
      </x:c>
      <x:c r="C456" s="83" t="s">
        <x:v>433</x:v>
      </x:c>
      <x:c r="D456" s="83" t="s">
        <x:v>435</x:v>
      </x:c>
      <x:c r="E456" s="83" t="s">
        <x:v>449</x:v>
      </x:c>
      <x:c r="F456" s="83" t="s">
        <x:v>557</x:v>
      </x:c>
      <x:c r="G456" s="85" t="n">
        <x:v>46279</x:v>
      </x:c>
      <x:c r="H456" s="85" t="n">
        <x:v>46301</x:v>
      </x:c>
      <x:c r="I456" s="87" t="n">
        <x:v>69</x:v>
      </x:c>
      <x:c r="J456" s="83" t="s">
        <x:v>543</x:v>
      </x:c>
      <x:c r="K456" s="83"/>
      <x:c r="L456" s="83" t="s">
        <x:v>395</x:v>
      </x:c>
      <x:c r="M456" s="83" t="n">
        <x:v>90</x:v>
      </x:c>
      <x:c r="N456" s="83" t="n">
        <x:v>96</x:v>
      </x:c>
      <x:c r="O456" s="85" t="n">
        <x:v>46274</x:v>
      </x:c>
      <x:c r="P456" s="89" t="str">
        <x:f aca="0">A456&amp;TEXT(COUNTIF($A$6:A456,A456),"00")</x:f>
        <x:v>P07601</x:v>
      </x:c>
      <x:c r="Q456" s="89" t="str">
        <x:f aca="0">IF(I456&lt;100,A456&amp;"O"&amp;COUNTIFS($A$6:A456,A456,$I$6:I456,"&lt;100"),"")</x:f>
        <x:v>P076O1</x:v>
      </x:c>
      <x:c r="R456" s="89" t="str">
        <x:f aca="0">IF(I456&lt;100,D456&amp;"O"&amp;COUNTIFS($D$6:D456,D456,$I$6:I456,"&lt;100"),"")</x:f>
        <x:v>VivekO40</x:v>
      </x:c>
      <x:c r="S456" s="278" t="n">
        <x:f>IF(COUNTIF($B$6:$B$605,B456)&gt;1,1,0)</x:f>
        <x:v>0</x:v>
      </x:c>
    </x:row>
    <x:row r="457" ht="15" hidden="0">
      <x:c r="A457" s="83" t="s">
        <x:v>284</x:v>
      </x:c>
      <x:c r="B457" s="83" t="s">
        <x:v>999</x:v>
      </x:c>
      <x:c r="C457" s="83" t="s">
        <x:v>440</x:v>
      </x:c>
      <x:c r="D457" s="83" t="s">
        <x:v>442</x:v>
      </x:c>
      <x:c r="E457" s="83" t="s">
        <x:v>452</x:v>
      </x:c>
      <x:c r="F457" s="83" t="s">
        <x:v>557</x:v>
      </x:c>
      <x:c r="G457" s="85" t="n">
        <x:v>46293</x:v>
      </x:c>
      <x:c r="H457" s="85" t="n">
        <x:v>46305</x:v>
      </x:c>
      <x:c r="I457" s="87" t="n">
        <x:v>100</x:v>
      </x:c>
      <x:c r="J457" s="83" t="s">
        <x:v>595</x:v>
      </x:c>
      <x:c r="K457" s="83"/>
      <x:c r="L457" s="83" t="s">
        <x:v>395</x:v>
      </x:c>
      <x:c r="M457" s="83" t="n">
        <x:v>99</x:v>
      </x:c>
      <x:c r="N457" s="83" t="n">
        <x:v>50</x:v>
      </x:c>
      <x:c r="O457" s="85" t="n">
        <x:v>46274</x:v>
      </x:c>
      <x:c r="P457" s="89" t="str">
        <x:f aca="0">A457&amp;TEXT(COUNTIF($A$6:A457,A457),"00")</x:f>
        <x:v>P07602</x:v>
      </x:c>
      <x:c r="Q457" s="89" t="str">
        <x:f aca="0">IF(I457&lt;100,A457&amp;"O"&amp;COUNTIFS($A$6:A457,A457,$I$6:I457,"&lt;100"),"")</x:f>
      </x:c>
      <x:c r="R457" s="89" t="str">
        <x:f aca="0">IF(I457&lt;100,D457&amp;"O"&amp;COUNTIFS($D$6:D457,D457,$I$6:I457,"&lt;100"),"")</x:f>
      </x:c>
      <x:c r="S457" s="278" t="n">
        <x:f>IF(COUNTIF($B$6:$B$605,B457)&gt;1,1,0)</x:f>
        <x:v>0</x:v>
      </x:c>
    </x:row>
    <x:row r="458" ht="15" hidden="0">
      <x:c r="A458" s="83" t="s">
        <x:v>284</x:v>
      </x:c>
      <x:c r="B458" s="83" t="s">
        <x:v>1000</x:v>
      </x:c>
      <x:c r="C458" s="83" t="s">
        <x:v>444</x:v>
      </x:c>
      <x:c r="D458" s="83" t="s">
        <x:v>446</x:v>
      </x:c>
      <x:c r="E458" s="83" t="s">
        <x:v>455</x:v>
      </x:c>
      <x:c r="F458" s="83" t="s">
        <x:v>550</x:v>
      </x:c>
      <x:c r="G458" s="85" t="n">
        <x:v>46307</x:v>
      </x:c>
      <x:c r="H458" s="85" t="n">
        <x:v>46317</x:v>
      </x:c>
      <x:c r="I458" s="87" t="n">
        <x:v>78</x:v>
      </x:c>
      <x:c r="J458" s="83" t="s">
        <x:v>543</x:v>
      </x:c>
      <x:c r="K458" s="83"/>
      <x:c r="L458" s="83" t="s">
        <x:v>395</x:v>
      </x:c>
      <x:c r="M458" s="83" t="n">
        <x:v>30</x:v>
      </x:c>
      <x:c r="N458" s="83" t="n">
        <x:v>76</x:v>
      </x:c>
      <x:c r="O458" s="85" t="n">
        <x:v>46274</x:v>
      </x:c>
      <x:c r="P458" s="89" t="str">
        <x:f aca="0">A458&amp;TEXT(COUNTIF($A$6:A458,A458),"00")</x:f>
        <x:v>P07603</x:v>
      </x:c>
      <x:c r="Q458" s="89" t="str">
        <x:f aca="0">IF(I458&lt;100,A458&amp;"O"&amp;COUNTIFS($A$6:A458,A458,$I$6:I458,"&lt;100"),"")</x:f>
        <x:v>P076O2</x:v>
      </x:c>
      <x:c r="R458" s="89" t="str">
        <x:f aca="0">IF(I458&lt;100,D458&amp;"O"&amp;COUNTIFS($D$6:D458,D458,$I$6:I458,"&lt;100"),"")</x:f>
        <x:v>SanjayO39</x:v>
      </x:c>
      <x:c r="S458" s="278" t="n">
        <x:f>IF(COUNTIF($B$6:$B$605,B458)&gt;1,1,0)</x:f>
        <x:v>0</x:v>
      </x:c>
    </x:row>
    <x:row r="459" ht="15" hidden="0">
      <x:c r="A459" s="83" t="s">
        <x:v>284</x:v>
      </x:c>
      <x:c r="B459" s="83" t="s">
        <x:v>1001</x:v>
      </x:c>
      <x:c r="C459" s="83" t="s">
        <x:v>448</x:v>
      </x:c>
      <x:c r="D459" s="83" t="s">
        <x:v>449</x:v>
      </x:c>
      <x:c r="E459" s="83" t="s">
        <x:v>462</x:v>
      </x:c>
      <x:c r="F459" s="83" t="s">
        <x:v>557</x:v>
      </x:c>
      <x:c r="G459" s="85" t="n">
        <x:v>46321</x:v>
      </x:c>
      <x:c r="H459" s="85" t="n">
        <x:v>46340</x:v>
      </x:c>
      <x:c r="I459" s="87" t="n">
        <x:v>85</x:v>
      </x:c>
      <x:c r="J459" s="83" t="s">
        <x:v>543</x:v>
      </x:c>
      <x:c r="K459" s="83" t="s">
        <x:v>396</x:v>
      </x:c>
      <x:c r="L459" s="83" t="s">
        <x:v>395</x:v>
      </x:c>
      <x:c r="M459" s="83" t="n">
        <x:v>75</x:v>
      </x:c>
      <x:c r="N459" s="83" t="n">
        <x:v>74</x:v>
      </x:c>
      <x:c r="O459" s="85" t="n">
        <x:v>46274</x:v>
      </x:c>
      <x:c r="P459" s="89" t="str">
        <x:f aca="0">A459&amp;TEXT(COUNTIF($A$6:A459,A459),"00")</x:f>
        <x:v>P07604</x:v>
      </x:c>
      <x:c r="Q459" s="89" t="str">
        <x:f aca="0">IF(I459&lt;100,A459&amp;"O"&amp;COUNTIFS($A$6:A459,A459,$I$6:I459,"&lt;100"),"")</x:f>
        <x:v>P076O3</x:v>
      </x:c>
      <x:c r="R459" s="89" t="str">
        <x:f aca="0">IF(I459&lt;100,D459&amp;"O"&amp;COUNTIFS($D$6:D459,D459,$I$6:I459,"&lt;100"),"")</x:f>
        <x:v>AnilO37</x:v>
      </x:c>
      <x:c r="S459" s="278" t="n">
        <x:f>IF(COUNTIF($B$6:$B$605,B459)&gt;1,1,0)</x:f>
        <x:v>0</x:v>
      </x:c>
    </x:row>
    <x:row r="460" ht="15" hidden="0">
      <x:c r="A460" s="83" t="s">
        <x:v>284</x:v>
      </x:c>
      <x:c r="B460" s="83" t="s">
        <x:v>1002</x:v>
      </x:c>
      <x:c r="C460" s="83" t="s">
        <x:v>451</x:v>
      </x:c>
      <x:c r="D460" s="83" t="s">
        <x:v>452</x:v>
      </x:c>
      <x:c r="E460" s="83" t="s">
        <x:v>360</x:v>
      </x:c>
      <x:c r="F460" s="83" t="s">
        <x:v>557</x:v>
      </x:c>
      <x:c r="G460" s="85" t="n">
        <x:v>46335</x:v>
      </x:c>
      <x:c r="H460" s="85" t="n">
        <x:v>46355</x:v>
      </x:c>
      <x:c r="I460" s="87" t="n">
        <x:v>100</x:v>
      </x:c>
      <x:c r="J460" s="83" t="s">
        <x:v>595</x:v>
      </x:c>
      <x:c r="K460" s="83"/>
      <x:c r="L460" s="83" t="s">
        <x:v>395</x:v>
      </x:c>
      <x:c r="M460" s="83" t="n">
        <x:v>63</x:v>
      </x:c>
      <x:c r="N460" s="83" t="n">
        <x:v>100</x:v>
      </x:c>
      <x:c r="O460" s="85" t="n">
        <x:v>46274</x:v>
      </x:c>
      <x:c r="P460" s="89" t="str">
        <x:f aca="0">A460&amp;TEXT(COUNTIF($A$6:A460,A460),"00")</x:f>
        <x:v>P07605</x:v>
      </x:c>
      <x:c r="Q460" s="89" t="str">
        <x:f aca="0">IF(I460&lt;100,A460&amp;"O"&amp;COUNTIFS($A$6:A460,A460,$I$6:I460,"&lt;100"),"")</x:f>
      </x:c>
      <x:c r="R460" s="89" t="str">
        <x:f aca="0">IF(I460&lt;100,D460&amp;"O"&amp;COUNTIFS($D$6:D460,D460,$I$6:I460,"&lt;100"),"")</x:f>
      </x:c>
      <x:c r="S460" s="278" t="n">
        <x:f>IF(COUNTIF($B$6:$B$605,B460)&gt;1,1,0)</x:f>
        <x:v>0</x:v>
      </x:c>
    </x:row>
    <x:row r="461" ht="15" hidden="0">
      <x:c r="A461" s="83" t="s">
        <x:v>284</x:v>
      </x:c>
      <x:c r="B461" s="83" t="s">
        <x:v>1003</x:v>
      </x:c>
      <x:c r="C461" s="83" t="s">
        <x:v>454</x:v>
      </x:c>
      <x:c r="D461" s="83" t="s">
        <x:v>455</x:v>
      </x:c>
      <x:c r="E461" s="83" t="s">
        <x:v>475</x:v>
      </x:c>
      <x:c r="F461" s="83" t="s">
        <x:v>546</x:v>
      </x:c>
      <x:c r="G461" s="85" t="n">
        <x:v>46349</x:v>
      </x:c>
      <x:c r="H461" s="85" t="n">
        <x:v>46361</x:v>
      </x:c>
      <x:c r="I461" s="87" t="n">
        <x:v>96</x:v>
      </x:c>
      <x:c r="J461" s="83" t="s">
        <x:v>543</x:v>
      </x:c>
      <x:c r="K461" s="83"/>
      <x:c r="L461" s="83" t="s">
        <x:v>395</x:v>
      </x:c>
      <x:c r="M461" s="83" t="n">
        <x:v>29</x:v>
      </x:c>
      <x:c r="N461" s="83" t="n">
        <x:v>34</x:v>
      </x:c>
      <x:c r="O461" s="85" t="n">
        <x:v>46274</x:v>
      </x:c>
      <x:c r="P461" s="89" t="str">
        <x:f aca="0">A461&amp;TEXT(COUNTIF($A$6:A461,A461),"00")</x:f>
        <x:v>P07606</x:v>
      </x:c>
      <x:c r="Q461" s="89" t="str">
        <x:f aca="0">IF(I461&lt;100,A461&amp;"O"&amp;COUNTIFS($A$6:A461,A461,$I$6:I461,"&lt;100"),"")</x:f>
        <x:v>P076O4</x:v>
      </x:c>
      <x:c r="R461" s="89" t="str">
        <x:f aca="0">IF(I461&lt;100,D461&amp;"O"&amp;COUNTIFS($D$6:D461,D461,$I$6:I461,"&lt;100"),"")</x:f>
        <x:v>RohanO36</x:v>
      </x:c>
      <x:c r="S461" s="278" t="n">
        <x:f>IF(COUNTIF($B$6:$B$605,B461)&gt;1,1,0)</x:f>
        <x:v>0</x:v>
      </x:c>
    </x:row>
    <x:row r="462" ht="15" hidden="0">
      <x:c r="A462" s="83" t="s">
        <x:v>268</x:v>
      </x:c>
      <x:c r="B462" s="83" t="s">
        <x:v>1004</x:v>
      </x:c>
      <x:c r="C462" s="83" t="s">
        <x:v>433</x:v>
      </x:c>
      <x:c r="D462" s="83" t="s">
        <x:v>442</x:v>
      </x:c>
      <x:c r="E462" s="83" t="s">
        <x:v>452</x:v>
      </x:c>
      <x:c r="F462" s="83" t="s">
        <x:v>546</x:v>
      </x:c>
      <x:c r="G462" s="85" t="n">
        <x:v>46280</x:v>
      </x:c>
      <x:c r="H462" s="85" t="n">
        <x:v>46291</x:v>
      </x:c>
      <x:c r="I462" s="87" t="n">
        <x:v>65</x:v>
      </x:c>
      <x:c r="J462" s="83" t="s">
        <x:v>543</x:v>
      </x:c>
      <x:c r="K462" s="83"/>
      <x:c r="L462" s="83" t="s">
        <x:v>395</x:v>
      </x:c>
      <x:c r="M462" s="83" t="n">
        <x:v>89</x:v>
      </x:c>
      <x:c r="N462" s="83" t="n">
        <x:v>24</x:v>
      </x:c>
      <x:c r="O462" s="85" t="n">
        <x:v>46274</x:v>
      </x:c>
      <x:c r="P462" s="89" t="str">
        <x:f aca="0">A462&amp;TEXT(COUNTIF($A$6:A462,A462),"00")</x:f>
        <x:v>P07701</x:v>
      </x:c>
      <x:c r="Q462" s="89" t="str">
        <x:f aca="0">IF(I462&lt;100,A462&amp;"O"&amp;COUNTIFS($A$6:A462,A462,$I$6:I462,"&lt;100"),"")</x:f>
        <x:v>P077O1</x:v>
      </x:c>
      <x:c r="R462" s="89" t="str">
        <x:f aca="0">IF(I462&lt;100,D462&amp;"O"&amp;COUNTIFS($D$6:D462,D462,$I$6:I462,"&lt;100"),"")</x:f>
        <x:v>RituO39</x:v>
      </x:c>
      <x:c r="S462" s="278" t="n">
        <x:f>IF(COUNTIF($B$6:$B$605,B462)&gt;1,1,0)</x:f>
        <x:v>0</x:v>
      </x:c>
    </x:row>
    <x:row r="463" ht="15" hidden="0">
      <x:c r="A463" s="83" t="s">
        <x:v>268</x:v>
      </x:c>
      <x:c r="B463" s="83" t="s">
        <x:v>1005</x:v>
      </x:c>
      <x:c r="C463" s="83" t="s">
        <x:v>440</x:v>
      </x:c>
      <x:c r="D463" s="83" t="s">
        <x:v>446</x:v>
      </x:c>
      <x:c r="E463" s="83" t="s">
        <x:v>455</x:v>
      </x:c>
      <x:c r="F463" s="83" t="s">
        <x:v>557</x:v>
      </x:c>
      <x:c r="G463" s="85" t="n">
        <x:v>46294</x:v>
      </x:c>
      <x:c r="H463" s="85" t="n">
        <x:v>46308</x:v>
      </x:c>
      <x:c r="I463" s="87" t="n">
        <x:v>83</x:v>
      </x:c>
      <x:c r="J463" s="83" t="s">
        <x:v>543</x:v>
      </x:c>
      <x:c r="K463" s="83"/>
      <x:c r="L463" s="83" t="s">
        <x:v>395</x:v>
      </x:c>
      <x:c r="M463" s="83" t="n">
        <x:v>72</x:v>
      </x:c>
      <x:c r="N463" s="83" t="n">
        <x:v>50</x:v>
      </x:c>
      <x:c r="O463" s="85" t="n">
        <x:v>46274</x:v>
      </x:c>
      <x:c r="P463" s="89" t="str">
        <x:f aca="0">A463&amp;TEXT(COUNTIF($A$6:A463,A463),"00")</x:f>
        <x:v>P07702</x:v>
      </x:c>
      <x:c r="Q463" s="89" t="str">
        <x:f aca="0">IF(I463&lt;100,A463&amp;"O"&amp;COUNTIFS($A$6:A463,A463,$I$6:I463,"&lt;100"),"")</x:f>
        <x:v>P077O2</x:v>
      </x:c>
      <x:c r="R463" s="89" t="str">
        <x:f aca="0">IF(I463&lt;100,D463&amp;"O"&amp;COUNTIFS($D$6:D463,D463,$I$6:I463,"&lt;100"),"")</x:f>
        <x:v>SanjayO40</x:v>
      </x:c>
      <x:c r="S463" s="278" t="n">
        <x:f>IF(COUNTIF($B$6:$B$605,B463)&gt;1,1,0)</x:f>
        <x:v>0</x:v>
      </x:c>
    </x:row>
    <x:row r="464" ht="15" hidden="0">
      <x:c r="A464" s="83" t="s">
        <x:v>268</x:v>
      </x:c>
      <x:c r="B464" s="83" t="s">
        <x:v>1006</x:v>
      </x:c>
      <x:c r="C464" s="83" t="s">
        <x:v>444</x:v>
      </x:c>
      <x:c r="D464" s="83" t="s">
        <x:v>449</x:v>
      </x:c>
      <x:c r="E464" s="83" t="s">
        <x:v>462</x:v>
      </x:c>
      <x:c r="F464" s="83" t="s">
        <x:v>546</x:v>
      </x:c>
      <x:c r="G464" s="85" t="n">
        <x:v>46308</x:v>
      </x:c>
      <x:c r="H464" s="85" t="n">
        <x:v>46321</x:v>
      </x:c>
      <x:c r="I464" s="87" t="n">
        <x:v>65</x:v>
      </x:c>
      <x:c r="J464" s="83" t="s">
        <x:v>543</x:v>
      </x:c>
      <x:c r="K464" s="83"/>
      <x:c r="L464" s="83" t="s">
        <x:v>395</x:v>
      </x:c>
      <x:c r="M464" s="83" t="n">
        <x:v>92</x:v>
      </x:c>
      <x:c r="N464" s="83" t="n">
        <x:v>31</x:v>
      </x:c>
      <x:c r="O464" s="85" t="n">
        <x:v>46274</x:v>
      </x:c>
      <x:c r="P464" s="89" t="str">
        <x:f aca="0">A464&amp;TEXT(COUNTIF($A$6:A464,A464),"00")</x:f>
        <x:v>P07703</x:v>
      </x:c>
      <x:c r="Q464" s="89" t="str">
        <x:f aca="0">IF(I464&lt;100,A464&amp;"O"&amp;COUNTIFS($A$6:A464,A464,$I$6:I464,"&lt;100"),"")</x:f>
        <x:v>P077O3</x:v>
      </x:c>
      <x:c r="R464" s="89" t="str">
        <x:f aca="0">IF(I464&lt;100,D464&amp;"O"&amp;COUNTIFS($D$6:D464,D464,$I$6:I464,"&lt;100"),"")</x:f>
        <x:v>AnilO38</x:v>
      </x:c>
      <x:c r="S464" s="278" t="n">
        <x:f>IF(COUNTIF($B$6:$B$605,B464)&gt;1,1,0)</x:f>
        <x:v>0</x:v>
      </x:c>
    </x:row>
    <x:row r="465" ht="15" hidden="0">
      <x:c r="A465" s="83" t="s">
        <x:v>268</x:v>
      </x:c>
      <x:c r="B465" s="83" t="s">
        <x:v>1007</x:v>
      </x:c>
      <x:c r="C465" s="83" t="s">
        <x:v>448</x:v>
      </x:c>
      <x:c r="D465" s="83" t="s">
        <x:v>452</x:v>
      </x:c>
      <x:c r="E465" s="83" t="s">
        <x:v>360</x:v>
      </x:c>
      <x:c r="F465" s="83" t="s">
        <x:v>493</x:v>
      </x:c>
      <x:c r="G465" s="85" t="n">
        <x:v>46322</x:v>
      </x:c>
      <x:c r="H465" s="85" t="n">
        <x:v>46345</x:v>
      </x:c>
      <x:c r="I465" s="87" t="n">
        <x:v>79</x:v>
      </x:c>
      <x:c r="J465" s="83" t="s">
        <x:v>543</x:v>
      </x:c>
      <x:c r="K465" s="83"/>
      <x:c r="L465" s="83" t="s">
        <x:v>395</x:v>
      </x:c>
      <x:c r="M465" s="83" t="n">
        <x:v>47</x:v>
      </x:c>
      <x:c r="N465" s="83" t="n">
        <x:v>102</x:v>
      </x:c>
      <x:c r="O465" s="85" t="n">
        <x:v>46274</x:v>
      </x:c>
      <x:c r="P465" s="89" t="str">
        <x:f aca="0">A465&amp;TEXT(COUNTIF($A$6:A465,A465),"00")</x:f>
        <x:v>P07704</x:v>
      </x:c>
      <x:c r="Q465" s="89" t="str">
        <x:f aca="0">IF(I465&lt;100,A465&amp;"O"&amp;COUNTIFS($A$6:A465,A465,$I$6:I465,"&lt;100"),"")</x:f>
        <x:v>P077O4</x:v>
      </x:c>
      <x:c r="R465" s="89" t="str">
        <x:f aca="0">IF(I465&lt;100,D465&amp;"O"&amp;COUNTIFS($D$6:D465,D465,$I$6:I465,"&lt;100"),"")</x:f>
        <x:v>KavyaO37</x:v>
      </x:c>
      <x:c r="S465" s="278" t="n">
        <x:f>IF(COUNTIF($B$6:$B$605,B465)&gt;1,1,0)</x:f>
        <x:v>0</x:v>
      </x:c>
    </x:row>
    <x:row r="466" ht="15" hidden="0">
      <x:c r="A466" s="83" t="s">
        <x:v>268</x:v>
      </x:c>
      <x:c r="B466" s="83" t="s">
        <x:v>1008</x:v>
      </x:c>
      <x:c r="C466" s="83" t="s">
        <x:v>451</x:v>
      </x:c>
      <x:c r="D466" s="83" t="s">
        <x:v>455</x:v>
      </x:c>
      <x:c r="E466" s="83" t="s">
        <x:v>475</x:v>
      </x:c>
      <x:c r="F466" s="83" t="s">
        <x:v>493</x:v>
      </x:c>
      <x:c r="G466" s="85" t="n">
        <x:v>46336</x:v>
      </x:c>
      <x:c r="H466" s="85" t="n">
        <x:v>46353</x:v>
      </x:c>
      <x:c r="I466" s="87" t="n">
        <x:v>75</x:v>
      </x:c>
      <x:c r="J466" s="83" t="s">
        <x:v>543</x:v>
      </x:c>
      <x:c r="K466" s="83"/>
      <x:c r="L466" s="83" t="s">
        <x:v>395</x:v>
      </x:c>
      <x:c r="M466" s="83" t="n">
        <x:v>90</x:v>
      </x:c>
      <x:c r="N466" s="83" t="n">
        <x:v>80</x:v>
      </x:c>
      <x:c r="O466" s="85" t="n">
        <x:v>46274</x:v>
      </x:c>
      <x:c r="P466" s="89" t="str">
        <x:f aca="0">A466&amp;TEXT(COUNTIF($A$6:A466,A466),"00")</x:f>
        <x:v>P07705</x:v>
      </x:c>
      <x:c r="Q466" s="89" t="str">
        <x:f aca="0">IF(I466&lt;100,A466&amp;"O"&amp;COUNTIFS($A$6:A466,A466,$I$6:I466,"&lt;100"),"")</x:f>
        <x:v>P077O5</x:v>
      </x:c>
      <x:c r="R466" s="89" t="str">
        <x:f aca="0">IF(I466&lt;100,D466&amp;"O"&amp;COUNTIFS($D$6:D466,D466,$I$6:I466,"&lt;100"),"")</x:f>
        <x:v>RohanO37</x:v>
      </x:c>
      <x:c r="S466" s="278" t="n">
        <x:f>IF(COUNTIF($B$6:$B$605,B466)&gt;1,1,0)</x:f>
        <x:v>0</x:v>
      </x:c>
    </x:row>
    <x:row r="467" ht="15" hidden="0">
      <x:c r="A467" s="83" t="s">
        <x:v>268</x:v>
      </x:c>
      <x:c r="B467" s="83" t="s">
        <x:v>1009</x:v>
      </x:c>
      <x:c r="C467" s="83" t="s">
        <x:v>454</x:v>
      </x:c>
      <x:c r="D467" s="83" t="s">
        <x:v>462</x:v>
      </x:c>
      <x:c r="E467" s="83" t="s">
        <x:v>434</x:v>
      </x:c>
      <x:c r="F467" s="83" t="s">
        <x:v>557</x:v>
      </x:c>
      <x:c r="G467" s="85" t="n">
        <x:v>46350</x:v>
      </x:c>
      <x:c r="H467" s="85" t="n">
        <x:v>46363</x:v>
      </x:c>
      <x:c r="I467" s="87" t="n">
        <x:v>88</x:v>
      </x:c>
      <x:c r="J467" s="83" t="s">
        <x:v>543</x:v>
      </x:c>
      <x:c r="K467" s="83"/>
      <x:c r="L467" s="83" t="s">
        <x:v>395</x:v>
      </x:c>
      <x:c r="M467" s="83" t="n">
        <x:v>96</x:v>
      </x:c>
      <x:c r="N467" s="83" t="n">
        <x:v>31</x:v>
      </x:c>
      <x:c r="O467" s="85" t="n">
        <x:v>46274</x:v>
      </x:c>
      <x:c r="P467" s="89" t="str">
        <x:f aca="0">A467&amp;TEXT(COUNTIF($A$6:A467,A467),"00")</x:f>
        <x:v>P07706</x:v>
      </x:c>
      <x:c r="Q467" s="89" t="str">
        <x:f aca="0">IF(I467&lt;100,A467&amp;"O"&amp;COUNTIFS($A$6:A467,A467,$I$6:I467,"&lt;100"),"")</x:f>
        <x:v>P077O6</x:v>
      </x:c>
      <x:c r="R467" s="89" t="str">
        <x:f aca="0">IF(I467&lt;100,D467&amp;"O"&amp;COUNTIFS($D$6:D467,D467,$I$6:I467,"&lt;100"),"")</x:f>
        <x:v>DeepaO37</x:v>
      </x:c>
      <x:c r="S467" s="278" t="n">
        <x:f>IF(COUNTIF($B$6:$B$605,B467)&gt;1,1,0)</x:f>
        <x:v>0</x:v>
      </x:c>
    </x:row>
    <x:row r="468" ht="15" hidden="0">
      <x:c r="A468" s="83" t="s">
        <x:v>306</x:v>
      </x:c>
      <x:c r="B468" s="83" t="s">
        <x:v>1010</x:v>
      </x:c>
      <x:c r="C468" s="83" t="s">
        <x:v>433</x:v>
      </x:c>
      <x:c r="D468" s="83" t="s">
        <x:v>446</x:v>
      </x:c>
      <x:c r="E468" s="83" t="s">
        <x:v>455</x:v>
      </x:c>
      <x:c r="F468" s="83" t="s">
        <x:v>557</x:v>
      </x:c>
      <x:c r="G468" s="85" t="n">
        <x:v>46281</x:v>
      </x:c>
      <x:c r="H468" s="85" t="n">
        <x:v>46298</x:v>
      </x:c>
      <x:c r="I468" s="87" t="n">
        <x:v>72</x:v>
      </x:c>
      <x:c r="J468" s="83" t="s">
        <x:v>543</x:v>
      </x:c>
      <x:c r="K468" s="83"/>
      <x:c r="L468" s="83" t="s">
        <x:v>395</x:v>
      </x:c>
      <x:c r="M468" s="83" t="n">
        <x:v>81</x:v>
      </x:c>
      <x:c r="N468" s="83" t="n">
        <x:v>48</x:v>
      </x:c>
      <x:c r="O468" s="85" t="n">
        <x:v>46274</x:v>
      </x:c>
      <x:c r="P468" s="89" t="str">
        <x:f aca="0">A468&amp;TEXT(COUNTIF($A$6:A468,A468),"00")</x:f>
        <x:v>P07801</x:v>
      </x:c>
      <x:c r="Q468" s="89" t="str">
        <x:f aca="0">IF(I468&lt;100,A468&amp;"O"&amp;COUNTIFS($A$6:A468,A468,$I$6:I468,"&lt;100"),"")</x:f>
        <x:v>P078O1</x:v>
      </x:c>
      <x:c r="R468" s="89" t="str">
        <x:f aca="0">IF(I468&lt;100,D468&amp;"O"&amp;COUNTIFS($D$6:D468,D468,$I$6:I468,"&lt;100"),"")</x:f>
        <x:v>SanjayO41</x:v>
      </x:c>
      <x:c r="S468" s="278" t="n">
        <x:f>IF(COUNTIF($B$6:$B$605,B468)&gt;1,1,0)</x:f>
        <x:v>0</x:v>
      </x:c>
    </x:row>
    <x:row r="469" ht="15" hidden="0">
      <x:c r="A469" s="83" t="s">
        <x:v>306</x:v>
      </x:c>
      <x:c r="B469" s="83" t="s">
        <x:v>1011</x:v>
      </x:c>
      <x:c r="C469" s="83" t="s">
        <x:v>440</x:v>
      </x:c>
      <x:c r="D469" s="83" t="s">
        <x:v>449</x:v>
      </x:c>
      <x:c r="E469" s="83" t="s">
        <x:v>462</x:v>
      </x:c>
      <x:c r="F469" s="83" t="s">
        <x:v>550</x:v>
      </x:c>
      <x:c r="G469" s="85" t="n">
        <x:v>46295</x:v>
      </x:c>
      <x:c r="H469" s="85" t="n">
        <x:v>46318</x:v>
      </x:c>
      <x:c r="I469" s="87" t="n">
        <x:v>83</x:v>
      </x:c>
      <x:c r="J469" s="83" t="s">
        <x:v>543</x:v>
      </x:c>
      <x:c r="K469" s="83" t="s">
        <x:v>396</x:v>
      </x:c>
      <x:c r="L469" s="83" t="s">
        <x:v>395</x:v>
      </x:c>
      <x:c r="M469" s="83" t="n">
        <x:v>53</x:v>
      </x:c>
      <x:c r="N469" s="83" t="n">
        <x:v>36</x:v>
      </x:c>
      <x:c r="O469" s="85" t="n">
        <x:v>46274</x:v>
      </x:c>
      <x:c r="P469" s="89" t="str">
        <x:f aca="0">A469&amp;TEXT(COUNTIF($A$6:A469,A469),"00")</x:f>
        <x:v>P07802</x:v>
      </x:c>
      <x:c r="Q469" s="89" t="str">
        <x:f aca="0">IF(I469&lt;100,A469&amp;"O"&amp;COUNTIFS($A$6:A469,A469,$I$6:I469,"&lt;100"),"")</x:f>
        <x:v>P078O2</x:v>
      </x:c>
      <x:c r="R469" s="89" t="str">
        <x:f aca="0">IF(I469&lt;100,D469&amp;"O"&amp;COUNTIFS($D$6:D469,D469,$I$6:I469,"&lt;100"),"")</x:f>
        <x:v>AnilO39</x:v>
      </x:c>
      <x:c r="S469" s="278" t="n">
        <x:f>IF(COUNTIF($B$6:$B$605,B469)&gt;1,1,0)</x:f>
        <x:v>0</x:v>
      </x:c>
    </x:row>
    <x:row r="470" ht="15" hidden="0">
      <x:c r="A470" s="83" t="s">
        <x:v>306</x:v>
      </x:c>
      <x:c r="B470" s="83" t="s">
        <x:v>1012</x:v>
      </x:c>
      <x:c r="C470" s="83" t="s">
        <x:v>444</x:v>
      </x:c>
      <x:c r="D470" s="83" t="s">
        <x:v>452</x:v>
      </x:c>
      <x:c r="E470" s="83" t="s">
        <x:v>360</x:v>
      </x:c>
      <x:c r="F470" s="83" t="s">
        <x:v>557</x:v>
      </x:c>
      <x:c r="G470" s="85" t="n">
        <x:v>46309</x:v>
      </x:c>
      <x:c r="H470" s="85" t="n">
        <x:v>46321</x:v>
      </x:c>
      <x:c r="I470" s="87" t="n">
        <x:v>86</x:v>
      </x:c>
      <x:c r="J470" s="83" t="s">
        <x:v>543</x:v>
      </x:c>
      <x:c r="K470" s="83"/>
      <x:c r="L470" s="83" t="s">
        <x:v>395</x:v>
      </x:c>
      <x:c r="M470" s="83" t="n">
        <x:v>22</x:v>
      </x:c>
      <x:c r="N470" s="83" t="n">
        <x:v>92</x:v>
      </x:c>
      <x:c r="O470" s="85" t="n">
        <x:v>46274</x:v>
      </x:c>
      <x:c r="P470" s="89" t="str">
        <x:f aca="0">A470&amp;TEXT(COUNTIF($A$6:A470,A470),"00")</x:f>
        <x:v>P07803</x:v>
      </x:c>
      <x:c r="Q470" s="89" t="str">
        <x:f aca="0">IF(I470&lt;100,A470&amp;"O"&amp;COUNTIFS($A$6:A470,A470,$I$6:I470,"&lt;100"),"")</x:f>
        <x:v>P078O3</x:v>
      </x:c>
      <x:c r="R470" s="89" t="str">
        <x:f aca="0">IF(I470&lt;100,D470&amp;"O"&amp;COUNTIFS($D$6:D470,D470,$I$6:I470,"&lt;100"),"")</x:f>
        <x:v>KavyaO38</x:v>
      </x:c>
      <x:c r="S470" s="278" t="n">
        <x:f>IF(COUNTIF($B$6:$B$605,B470)&gt;1,1,0)</x:f>
        <x:v>0</x:v>
      </x:c>
    </x:row>
    <x:row r="471" ht="15" hidden="0">
      <x:c r="A471" s="83" t="s">
        <x:v>306</x:v>
      </x:c>
      <x:c r="B471" s="83" t="s">
        <x:v>1013</x:v>
      </x:c>
      <x:c r="C471" s="83" t="s">
        <x:v>448</x:v>
      </x:c>
      <x:c r="D471" s="83" t="s">
        <x:v>455</x:v>
      </x:c>
      <x:c r="E471" s="83" t="s">
        <x:v>475</x:v>
      </x:c>
      <x:c r="F471" s="83" t="s">
        <x:v>546</x:v>
      </x:c>
      <x:c r="G471" s="85" t="n">
        <x:v>46323</x:v>
      </x:c>
      <x:c r="H471" s="85" t="n">
        <x:v>46334</x:v>
      </x:c>
      <x:c r="I471" s="87" t="n">
        <x:v>75</x:v>
      </x:c>
      <x:c r="J471" s="83" t="s">
        <x:v>543</x:v>
      </x:c>
      <x:c r="K471" s="83"/>
      <x:c r="L471" s="83" t="s">
        <x:v>395</x:v>
      </x:c>
      <x:c r="M471" s="83" t="n">
        <x:v>24</x:v>
      </x:c>
      <x:c r="N471" s="83" t="n">
        <x:v>46</x:v>
      </x:c>
      <x:c r="O471" s="85" t="n">
        <x:v>46274</x:v>
      </x:c>
      <x:c r="P471" s="89" t="str">
        <x:f aca="0">A471&amp;TEXT(COUNTIF($A$6:A471,A471),"00")</x:f>
        <x:v>P07804</x:v>
      </x:c>
      <x:c r="Q471" s="89" t="str">
        <x:f aca="0">IF(I471&lt;100,A471&amp;"O"&amp;COUNTIFS($A$6:A471,A471,$I$6:I471,"&lt;100"),"")</x:f>
        <x:v>P078O4</x:v>
      </x:c>
      <x:c r="R471" s="89" t="str">
        <x:f aca="0">IF(I471&lt;100,D471&amp;"O"&amp;COUNTIFS($D$6:D471,D471,$I$6:I471,"&lt;100"),"")</x:f>
        <x:v>RohanO38</x:v>
      </x:c>
      <x:c r="S471" s="278" t="n">
        <x:f>IF(COUNTIF($B$6:$B$605,B471)&gt;1,1,0)</x:f>
        <x:v>0</x:v>
      </x:c>
    </x:row>
    <x:row r="472" ht="15" hidden="0">
      <x:c r="A472" s="83" t="s">
        <x:v>306</x:v>
      </x:c>
      <x:c r="B472" s="83" t="s">
        <x:v>1014</x:v>
      </x:c>
      <x:c r="C472" s="83" t="s">
        <x:v>451</x:v>
      </x:c>
      <x:c r="D472" s="83" t="s">
        <x:v>462</x:v>
      </x:c>
      <x:c r="E472" s="83" t="s">
        <x:v>434</x:v>
      </x:c>
      <x:c r="F472" s="83" t="s">
        <x:v>550</x:v>
      </x:c>
      <x:c r="G472" s="85" t="n">
        <x:v>46337</x:v>
      </x:c>
      <x:c r="H472" s="85" t="n">
        <x:v>46357</x:v>
      </x:c>
      <x:c r="I472" s="87" t="n">
        <x:v>75</x:v>
      </x:c>
      <x:c r="J472" s="83" t="s">
        <x:v>543</x:v>
      </x:c>
      <x:c r="K472" s="83"/>
      <x:c r="L472" s="83" t="s">
        <x:v>395</x:v>
      </x:c>
      <x:c r="M472" s="83" t="n">
        <x:v>94</x:v>
      </x:c>
      <x:c r="N472" s="83" t="n">
        <x:v>74</x:v>
      </x:c>
      <x:c r="O472" s="85" t="n">
        <x:v>46274</x:v>
      </x:c>
      <x:c r="P472" s="89" t="str">
        <x:f aca="0">A472&amp;TEXT(COUNTIF($A$6:A472,A472),"00")</x:f>
        <x:v>P07805</x:v>
      </x:c>
      <x:c r="Q472" s="89" t="str">
        <x:f aca="0">IF(I472&lt;100,A472&amp;"O"&amp;COUNTIFS($A$6:A472,A472,$I$6:I472,"&lt;100"),"")</x:f>
        <x:v>P078O5</x:v>
      </x:c>
      <x:c r="R472" s="89" t="str">
        <x:f aca="0">IF(I472&lt;100,D472&amp;"O"&amp;COUNTIFS($D$6:D472,D472,$I$6:I472,"&lt;100"),"")</x:f>
        <x:v>DeepaO38</x:v>
      </x:c>
      <x:c r="S472" s="278" t="n">
        <x:f>IF(COUNTIF($B$6:$B$605,B472)&gt;1,1,0)</x:f>
        <x:v>0</x:v>
      </x:c>
    </x:row>
    <x:row r="473" ht="15" hidden="0">
      <x:c r="A473" s="83" t="s">
        <x:v>306</x:v>
      </x:c>
      <x:c r="B473" s="83" t="s">
        <x:v>1015</x:v>
      </x:c>
      <x:c r="C473" s="83" t="s">
        <x:v>454</x:v>
      </x:c>
      <x:c r="D473" s="83" t="s">
        <x:v>360</x:v>
      </x:c>
      <x:c r="E473" s="83" t="s">
        <x:v>441</x:v>
      </x:c>
      <x:c r="F473" s="83" t="s">
        <x:v>557</x:v>
      </x:c>
      <x:c r="G473" s="85" t="n">
        <x:v>46351</x:v>
      </x:c>
      <x:c r="H473" s="85" t="n">
        <x:v>46366</x:v>
      </x:c>
      <x:c r="I473" s="87" t="n">
        <x:v>64</x:v>
      </x:c>
      <x:c r="J473" s="83" t="s">
        <x:v>543</x:v>
      </x:c>
      <x:c r="K473" s="83" t="s">
        <x:v>396</x:v>
      </x:c>
      <x:c r="L473" s="83" t="s">
        <x:v>395</x:v>
      </x:c>
      <x:c r="M473" s="83" t="n">
        <x:v>99</x:v>
      </x:c>
      <x:c r="N473" s="83" t="n">
        <x:v>34</x:v>
      </x:c>
      <x:c r="O473" s="85" t="n">
        <x:v>46274</x:v>
      </x:c>
      <x:c r="P473" s="89" t="str">
        <x:f aca="0">A473&amp;TEXT(COUNTIF($A$6:A473,A473),"00")</x:f>
        <x:v>P07806</x:v>
      </x:c>
      <x:c r="Q473" s="89" t="str">
        <x:f aca="0">IF(I473&lt;100,A473&amp;"O"&amp;COUNTIFS($A$6:A473,A473,$I$6:I473,"&lt;100"),"")</x:f>
        <x:v>P078O6</x:v>
      </x:c>
      <x:c r="R473" s="89" t="str">
        <x:f aca="0">IF(I473&lt;100,D473&amp;"O"&amp;COUNTIFS($D$6:D473,D473,$I$6:I473,"&lt;100"),"")</x:f>
        <x:v>AmitO35</x:v>
      </x:c>
      <x:c r="S473" s="278" t="n">
        <x:f>IF(COUNTIF($B$6:$B$605,B473)&gt;1,1,0)</x:f>
        <x:v>0</x:v>
      </x:c>
    </x:row>
    <x:row r="474" ht="15" hidden="0">
      <x:c r="A474" s="83" t="s">
        <x:v>121</x:v>
      </x:c>
      <x:c r="B474" s="83" t="s">
        <x:v>1016</x:v>
      </x:c>
      <x:c r="C474" s="83" t="s">
        <x:v>433</x:v>
      </x:c>
      <x:c r="D474" s="83" t="s">
        <x:v>449</x:v>
      </x:c>
      <x:c r="E474" s="83" t="s">
        <x:v>462</x:v>
      </x:c>
      <x:c r="F474" s="83" t="s">
        <x:v>550</x:v>
      </x:c>
      <x:c r="G474" s="85" t="n">
        <x:v>46282</x:v>
      </x:c>
      <x:c r="H474" s="85" t="n">
        <x:v>46299</x:v>
      </x:c>
      <x:c r="I474" s="87" t="n">
        <x:v>18</x:v>
      </x:c>
      <x:c r="J474" s="83" t="s">
        <x:v>543</x:v>
      </x:c>
      <x:c r="K474" s="83"/>
      <x:c r="L474" s="83" t="s">
        <x:v>395</x:v>
      </x:c>
      <x:c r="M474" s="83" t="n">
        <x:v>70</x:v>
      </x:c>
      <x:c r="N474" s="83" t="n">
        <x:v>63</x:v>
      </x:c>
      <x:c r="O474" s="85" t="n">
        <x:v>46274</x:v>
      </x:c>
      <x:c r="P474" s="89" t="str">
        <x:f aca="0">A474&amp;TEXT(COUNTIF($A$6:A474,A474),"00")</x:f>
        <x:v>P07901</x:v>
      </x:c>
      <x:c r="Q474" s="89" t="str">
        <x:f aca="0">IF(I474&lt;100,A474&amp;"O"&amp;COUNTIFS($A$6:A474,A474,$I$6:I474,"&lt;100"),"")</x:f>
        <x:v>P079O1</x:v>
      </x:c>
      <x:c r="R474" s="89" t="str">
        <x:f aca="0">IF(I474&lt;100,D474&amp;"O"&amp;COUNTIFS($D$6:D474,D474,$I$6:I474,"&lt;100"),"")</x:f>
        <x:v>AnilO40</x:v>
      </x:c>
      <x:c r="S474" s="278" t="n">
        <x:f>IF(COUNTIF($B$6:$B$605,B474)&gt;1,1,0)</x:f>
        <x:v>0</x:v>
      </x:c>
    </x:row>
    <x:row r="475" ht="15" hidden="0">
      <x:c r="A475" s="83" t="s">
        <x:v>121</x:v>
      </x:c>
      <x:c r="B475" s="83" t="s">
        <x:v>1017</x:v>
      </x:c>
      <x:c r="C475" s="83" t="s">
        <x:v>440</x:v>
      </x:c>
      <x:c r="D475" s="83" t="s">
        <x:v>452</x:v>
      </x:c>
      <x:c r="E475" s="83" t="s">
        <x:v>360</x:v>
      </x:c>
      <x:c r="F475" s="83" t="s">
        <x:v>557</x:v>
      </x:c>
      <x:c r="G475" s="85" t="n">
        <x:v>46296</x:v>
      </x:c>
      <x:c r="H475" s="85" t="n">
        <x:v>46312</x:v>
      </x:c>
      <x:c r="I475" s="87" t="n">
        <x:v>26</x:v>
      </x:c>
      <x:c r="J475" s="83" t="s">
        <x:v>543</x:v>
      </x:c>
      <x:c r="K475" s="83"/>
      <x:c r="L475" s="83" t="s">
        <x:v>395</x:v>
      </x:c>
      <x:c r="M475" s="83" t="n">
        <x:v>73</x:v>
      </x:c>
      <x:c r="N475" s="83" t="n">
        <x:v>71</x:v>
      </x:c>
      <x:c r="O475" s="85" t="n">
        <x:v>46274</x:v>
      </x:c>
      <x:c r="P475" s="89" t="str">
        <x:f aca="0">A475&amp;TEXT(COUNTIF($A$6:A475,A475),"00")</x:f>
        <x:v>P07902</x:v>
      </x:c>
      <x:c r="Q475" s="89" t="str">
        <x:f aca="0">IF(I475&lt;100,A475&amp;"O"&amp;COUNTIFS($A$6:A475,A475,$I$6:I475,"&lt;100"),"")</x:f>
        <x:v>P079O2</x:v>
      </x:c>
      <x:c r="R475" s="89" t="str">
        <x:f aca="0">IF(I475&lt;100,D475&amp;"O"&amp;COUNTIFS($D$6:D475,D475,$I$6:I475,"&lt;100"),"")</x:f>
        <x:v>KavyaO39</x:v>
      </x:c>
      <x:c r="S475" s="278" t="n">
        <x:f>IF(COUNTIF($B$6:$B$605,B475)&gt;1,1,0)</x:f>
        <x:v>0</x:v>
      </x:c>
    </x:row>
    <x:row r="476" ht="15" hidden="0">
      <x:c r="A476" s="83" t="s">
        <x:v>121</x:v>
      </x:c>
      <x:c r="B476" s="83" t="s">
        <x:v>1018</x:v>
      </x:c>
      <x:c r="C476" s="83" t="s">
        <x:v>444</x:v>
      </x:c>
      <x:c r="D476" s="83" t="s">
        <x:v>455</x:v>
      </x:c>
      <x:c r="E476" s="83" t="s">
        <x:v>475</x:v>
      </x:c>
      <x:c r="F476" s="83" t="s">
        <x:v>550</x:v>
      </x:c>
      <x:c r="G476" s="85" t="n">
        <x:v>46310</x:v>
      </x:c>
      <x:c r="H476" s="85" t="n">
        <x:v>46327</x:v>
      </x:c>
      <x:c r="I476" s="87" t="n">
        <x:v>26</x:v>
      </x:c>
      <x:c r="J476" s="83" t="s">
        <x:v>543</x:v>
      </x:c>
      <x:c r="K476" s="83"/>
      <x:c r="L476" s="83" t="s">
        <x:v>395</x:v>
      </x:c>
      <x:c r="M476" s="83" t="n">
        <x:v>23</x:v>
      </x:c>
      <x:c r="N476" s="83" t="n">
        <x:v>93</x:v>
      </x:c>
      <x:c r="O476" s="85" t="n">
        <x:v>46274</x:v>
      </x:c>
      <x:c r="P476" s="89" t="str">
        <x:f aca="0">A476&amp;TEXT(COUNTIF($A$6:A476,A476),"00")</x:f>
        <x:v>P07903</x:v>
      </x:c>
      <x:c r="Q476" s="89" t="str">
        <x:f aca="0">IF(I476&lt;100,A476&amp;"O"&amp;COUNTIFS($A$6:A476,A476,$I$6:I476,"&lt;100"),"")</x:f>
        <x:v>P079O3</x:v>
      </x:c>
      <x:c r="R476" s="89" t="str">
        <x:f aca="0">IF(I476&lt;100,D476&amp;"O"&amp;COUNTIFS($D$6:D476,D476,$I$6:I476,"&lt;100"),"")</x:f>
        <x:v>RohanO39</x:v>
      </x:c>
      <x:c r="S476" s="278" t="n">
        <x:f>IF(COUNTIF($B$6:$B$605,B476)&gt;1,1,0)</x:f>
        <x:v>0</x:v>
      </x:c>
    </x:row>
    <x:row r="477" ht="15" hidden="0">
      <x:c r="A477" s="83" t="s">
        <x:v>121</x:v>
      </x:c>
      <x:c r="B477" s="83" t="s">
        <x:v>1019</x:v>
      </x:c>
      <x:c r="C477" s="83" t="s">
        <x:v>448</x:v>
      </x:c>
      <x:c r="D477" s="83" t="s">
        <x:v>462</x:v>
      </x:c>
      <x:c r="E477" s="83" t="s">
        <x:v>434</x:v>
      </x:c>
      <x:c r="F477" s="83" t="s">
        <x:v>557</x:v>
      </x:c>
      <x:c r="G477" s="85" t="n">
        <x:v>46324</x:v>
      </x:c>
      <x:c r="H477" s="85" t="n">
        <x:v>46334</x:v>
      </x:c>
      <x:c r="I477" s="87" t="n">
        <x:v>7</x:v>
      </x:c>
      <x:c r="J477" s="83" t="s">
        <x:v>586</x:v>
      </x:c>
      <x:c r="K477" s="83" t="s">
        <x:v>413</x:v>
      </x:c>
      <x:c r="L477" s="83" t="s">
        <x:v>412</x:v>
      </x:c>
      <x:c r="M477" s="83" t="n">
        <x:v>46</x:v>
      </x:c>
      <x:c r="N477" s="83" t="n">
        <x:v>24</x:v>
      </x:c>
      <x:c r="O477" s="85" t="n">
        <x:v>46274</x:v>
      </x:c>
      <x:c r="P477" s="89" t="str">
        <x:f aca="0">A477&amp;TEXT(COUNTIF($A$6:A477,A477),"00")</x:f>
        <x:v>P07904</x:v>
      </x:c>
      <x:c r="Q477" s="89" t="str">
        <x:f aca="0">IF(I477&lt;100,A477&amp;"O"&amp;COUNTIFS($A$6:A477,A477,$I$6:I477,"&lt;100"),"")</x:f>
        <x:v>P079O4</x:v>
      </x:c>
      <x:c r="R477" s="89" t="str">
        <x:f aca="0">IF(I477&lt;100,D477&amp;"O"&amp;COUNTIFS($D$6:D477,D477,$I$6:I477,"&lt;100"),"")</x:f>
        <x:v>DeepaO39</x:v>
      </x:c>
      <x:c r="S477" s="278" t="n">
        <x:f>IF(COUNTIF($B$6:$B$605,B477)&gt;1,1,0)</x:f>
        <x:v>0</x:v>
      </x:c>
    </x:row>
    <x:row r="478" ht="15" hidden="0">
      <x:c r="A478" s="83" t="s">
        <x:v>121</x:v>
      </x:c>
      <x:c r="B478" s="83" t="s">
        <x:v>1020</x:v>
      </x:c>
      <x:c r="C478" s="83" t="s">
        <x:v>451</x:v>
      </x:c>
      <x:c r="D478" s="83" t="s">
        <x:v>360</x:v>
      </x:c>
      <x:c r="E478" s="83" t="s">
        <x:v>441</x:v>
      </x:c>
      <x:c r="F478" s="83" t="s">
        <x:v>550</x:v>
      </x:c>
      <x:c r="G478" s="85" t="n">
        <x:v>46338</x:v>
      </x:c>
      <x:c r="H478" s="85" t="n">
        <x:v>46351</x:v>
      </x:c>
      <x:c r="I478" s="87" t="n">
        <x:v>35</x:v>
      </x:c>
      <x:c r="J478" s="83" t="s">
        <x:v>586</x:v>
      </x:c>
      <x:c r="K478" s="83" t="s">
        <x:v>413</x:v>
      </x:c>
      <x:c r="L478" s="83" t="s">
        <x:v>412</x:v>
      </x:c>
      <x:c r="M478" s="83" t="n">
        <x:v>76</x:v>
      </x:c>
      <x:c r="N478" s="83" t="n">
        <x:v>25</x:v>
      </x:c>
      <x:c r="O478" s="85" t="n">
        <x:v>46274</x:v>
      </x:c>
      <x:c r="P478" s="89" t="str">
        <x:f aca="0">A478&amp;TEXT(COUNTIF($A$6:A478,A478),"00")</x:f>
        <x:v>P07905</x:v>
      </x:c>
      <x:c r="Q478" s="89" t="str">
        <x:f aca="0">IF(I478&lt;100,A478&amp;"O"&amp;COUNTIFS($A$6:A478,A478,$I$6:I478,"&lt;100"),"")</x:f>
        <x:v>P079O5</x:v>
      </x:c>
      <x:c r="R478" s="89" t="str">
        <x:f aca="0">IF(I478&lt;100,D478&amp;"O"&amp;COUNTIFS($D$6:D478,D478,$I$6:I478,"&lt;100"),"")</x:f>
        <x:v>AmitO36</x:v>
      </x:c>
      <x:c r="S478" s="278" t="n">
        <x:f>IF(COUNTIF($B$6:$B$605,B478)&gt;1,1,0)</x:f>
        <x:v>0</x:v>
      </x:c>
    </x:row>
    <x:row r="479" ht="15" hidden="0">
      <x:c r="A479" s="83" t="s">
        <x:v>121</x:v>
      </x:c>
      <x:c r="B479" s="83" t="s">
        <x:v>1021</x:v>
      </x:c>
      <x:c r="C479" s="83" t="s">
        <x:v>454</x:v>
      </x:c>
      <x:c r="D479" s="83" t="s">
        <x:v>475</x:v>
      </x:c>
      <x:c r="E479" s="83" t="s">
        <x:v>445</x:v>
      </x:c>
      <x:c r="F479" s="83" t="s">
        <x:v>557</x:v>
      </x:c>
      <x:c r="G479" s="85" t="n">
        <x:v>46352</x:v>
      </x:c>
      <x:c r="H479" s="85" t="n">
        <x:v>46365</x:v>
      </x:c>
      <x:c r="I479" s="87" t="n">
        <x:v>27</x:v>
      </x:c>
      <x:c r="J479" s="83" t="s">
        <x:v>586</x:v>
      </x:c>
      <x:c r="K479" s="83" t="s">
        <x:v>413</x:v>
      </x:c>
      <x:c r="L479" s="83" t="s">
        <x:v>412</x:v>
      </x:c>
      <x:c r="M479" s="83" t="n">
        <x:v>63</x:v>
      </x:c>
      <x:c r="N479" s="83" t="n">
        <x:v>94</x:v>
      </x:c>
      <x:c r="O479" s="85" t="n">
        <x:v>46274</x:v>
      </x:c>
      <x:c r="P479" s="89" t="str">
        <x:f aca="0">A479&amp;TEXT(COUNTIF($A$6:A479,A479),"00")</x:f>
        <x:v>P07906</x:v>
      </x:c>
      <x:c r="Q479" s="89" t="str">
        <x:f aca="0">IF(I479&lt;100,A479&amp;"O"&amp;COUNTIFS($A$6:A479,A479,$I$6:I479,"&lt;100"),"")</x:f>
        <x:v>P079O6</x:v>
      </x:c>
      <x:c r="R479" s="89" t="str">
        <x:f aca="0">IF(I479&lt;100,D479&amp;"O"&amp;COUNTIFS($D$6:D479,D479,$I$6:I479,"&lt;100"),"")</x:f>
        <x:v>PriyaO35</x:v>
      </x:c>
      <x:c r="S479" s="278" t="n">
        <x:f>IF(COUNTIF($B$6:$B$605,B479)&gt;1,1,0)</x:f>
        <x:v>0</x:v>
      </x:c>
    </x:row>
    <x:row r="480" ht="15" hidden="0">
      <x:c r="A480" s="83" t="s">
        <x:v>254</x:v>
      </x:c>
      <x:c r="B480" s="83" t="s">
        <x:v>1022</x:v>
      </x:c>
      <x:c r="C480" s="83" t="s">
        <x:v>433</x:v>
      </x:c>
      <x:c r="D480" s="83" t="s">
        <x:v>452</x:v>
      </x:c>
      <x:c r="E480" s="83" t="s">
        <x:v>360</x:v>
      </x:c>
      <x:c r="F480" s="83" t="s">
        <x:v>546</x:v>
      </x:c>
      <x:c r="G480" s="85" t="n">
        <x:v>46283</x:v>
      </x:c>
      <x:c r="H480" s="85" t="n">
        <x:v>46301</x:v>
      </x:c>
      <x:c r="I480" s="87" t="n">
        <x:v>91</x:v>
      </x:c>
      <x:c r="J480" s="83" t="s">
        <x:v>543</x:v>
      </x:c>
      <x:c r="K480" s="83"/>
      <x:c r="L480" s="83" t="s">
        <x:v>395</x:v>
      </x:c>
      <x:c r="M480" s="83" t="n">
        <x:v>100</x:v>
      </x:c>
      <x:c r="N480" s="83" t="n">
        <x:v>61</x:v>
      </x:c>
      <x:c r="O480" s="85" t="n">
        <x:v>46274</x:v>
      </x:c>
      <x:c r="P480" s="89" t="str">
        <x:f aca="0">A480&amp;TEXT(COUNTIF($A$6:A480,A480),"00")</x:f>
        <x:v>P08001</x:v>
      </x:c>
      <x:c r="Q480" s="89" t="str">
        <x:f aca="0">IF(I480&lt;100,A480&amp;"O"&amp;COUNTIFS($A$6:A480,A480,$I$6:I480,"&lt;100"),"")</x:f>
        <x:v>P080O1</x:v>
      </x:c>
      <x:c r="R480" s="89" t="str">
        <x:f aca="0">IF(I480&lt;100,D480&amp;"O"&amp;COUNTIFS($D$6:D480,D480,$I$6:I480,"&lt;100"),"")</x:f>
        <x:v>KavyaO40</x:v>
      </x:c>
      <x:c r="S480" s="278" t="n">
        <x:f>IF(COUNTIF($B$6:$B$605,B480)&gt;1,1,0)</x:f>
        <x:v>0</x:v>
      </x:c>
    </x:row>
    <x:row r="481" ht="15" hidden="0">
      <x:c r="A481" s="83" t="s">
        <x:v>254</x:v>
      </x:c>
      <x:c r="B481" s="83" t="s">
        <x:v>1023</x:v>
      </x:c>
      <x:c r="C481" s="83" t="s">
        <x:v>440</x:v>
      </x:c>
      <x:c r="D481" s="83" t="s">
        <x:v>455</x:v>
      </x:c>
      <x:c r="E481" s="83" t="s">
        <x:v>475</x:v>
      </x:c>
      <x:c r="F481" s="83" t="s">
        <x:v>546</x:v>
      </x:c>
      <x:c r="G481" s="85" t="n">
        <x:v>46297</x:v>
      </x:c>
      <x:c r="H481" s="85" t="n">
        <x:v>46312</x:v>
      </x:c>
      <x:c r="I481" s="87" t="n">
        <x:v>82</x:v>
      </x:c>
      <x:c r="J481" s="83" t="s">
        <x:v>543</x:v>
      </x:c>
      <x:c r="K481" s="83"/>
      <x:c r="L481" s="83" t="s">
        <x:v>395</x:v>
      </x:c>
      <x:c r="M481" s="83" t="n">
        <x:v>71</x:v>
      </x:c>
      <x:c r="N481" s="83" t="n">
        <x:v>17</x:v>
      </x:c>
      <x:c r="O481" s="85" t="n">
        <x:v>46274</x:v>
      </x:c>
      <x:c r="P481" s="89" t="str">
        <x:f aca="0">A481&amp;TEXT(COUNTIF($A$6:A481,A481),"00")</x:f>
        <x:v>P08002</x:v>
      </x:c>
      <x:c r="Q481" s="89" t="str">
        <x:f aca="0">IF(I481&lt;100,A481&amp;"O"&amp;COUNTIFS($A$6:A481,A481,$I$6:I481,"&lt;100"),"")</x:f>
        <x:v>P080O2</x:v>
      </x:c>
      <x:c r="R481" s="89" t="str">
        <x:f aca="0">IF(I481&lt;100,D481&amp;"O"&amp;COUNTIFS($D$6:D481,D481,$I$6:I481,"&lt;100"),"")</x:f>
        <x:v>RohanO40</x:v>
      </x:c>
      <x:c r="S481" s="278" t="n">
        <x:f>IF(COUNTIF($B$6:$B$605,B481)&gt;1,1,0)</x:f>
        <x:v>0</x:v>
      </x:c>
    </x:row>
    <x:row r="482" ht="15" hidden="0">
      <x:c r="A482" s="83" t="s">
        <x:v>254</x:v>
      </x:c>
      <x:c r="B482" s="83" t="s">
        <x:v>1024</x:v>
      </x:c>
      <x:c r="C482" s="83" t="s">
        <x:v>444</x:v>
      </x:c>
      <x:c r="D482" s="83" t="s">
        <x:v>462</x:v>
      </x:c>
      <x:c r="E482" s="83" t="s">
        <x:v>434</x:v>
      </x:c>
      <x:c r="F482" s="83" t="s">
        <x:v>550</x:v>
      </x:c>
      <x:c r="G482" s="85" t="n">
        <x:v>46311</x:v>
      </x:c>
      <x:c r="H482" s="85" t="n">
        <x:v>46329</x:v>
      </x:c>
      <x:c r="I482" s="87" t="n">
        <x:v>88</x:v>
      </x:c>
      <x:c r="J482" s="83" t="s">
        <x:v>543</x:v>
      </x:c>
      <x:c r="K482" s="83"/>
      <x:c r="L482" s="83" t="s">
        <x:v>395</x:v>
      </x:c>
      <x:c r="M482" s="83" t="n">
        <x:v>92</x:v>
      </x:c>
      <x:c r="N482" s="83" t="n">
        <x:v>61</x:v>
      </x:c>
      <x:c r="O482" s="85" t="n">
        <x:v>46274</x:v>
      </x:c>
      <x:c r="P482" s="89" t="str">
        <x:f aca="0">A482&amp;TEXT(COUNTIF($A$6:A482,A482),"00")</x:f>
        <x:v>P08003</x:v>
      </x:c>
      <x:c r="Q482" s="89" t="str">
        <x:f aca="0">IF(I482&lt;100,A482&amp;"O"&amp;COUNTIFS($A$6:A482,A482,$I$6:I482,"&lt;100"),"")</x:f>
        <x:v>P080O3</x:v>
      </x:c>
      <x:c r="R482" s="89" t="str">
        <x:f aca="0">IF(I482&lt;100,D482&amp;"O"&amp;COUNTIFS($D$6:D482,D482,$I$6:I482,"&lt;100"),"")</x:f>
        <x:v>DeepaO40</x:v>
      </x:c>
      <x:c r="S482" s="278" t="n">
        <x:f>IF(COUNTIF($B$6:$B$605,B482)&gt;1,1,0)</x:f>
        <x:v>0</x:v>
      </x:c>
    </x:row>
    <x:row r="483" ht="15" hidden="0">
      <x:c r="A483" s="83" t="s">
        <x:v>254</x:v>
      </x:c>
      <x:c r="B483" s="83" t="s">
        <x:v>1025</x:v>
      </x:c>
      <x:c r="C483" s="83" t="s">
        <x:v>448</x:v>
      </x:c>
      <x:c r="D483" s="83" t="s">
        <x:v>360</x:v>
      </x:c>
      <x:c r="E483" s="83" t="s">
        <x:v>441</x:v>
      </x:c>
      <x:c r="F483" s="83" t="s">
        <x:v>546</x:v>
      </x:c>
      <x:c r="G483" s="85" t="n">
        <x:v>46325</x:v>
      </x:c>
      <x:c r="H483" s="85" t="n">
        <x:v>46342</x:v>
      </x:c>
      <x:c r="I483" s="87" t="n">
        <x:v>58</x:v>
      </x:c>
      <x:c r="J483" s="83" t="s">
        <x:v>543</x:v>
      </x:c>
      <x:c r="K483" s="83"/>
      <x:c r="L483" s="83" t="s">
        <x:v>395</x:v>
      </x:c>
      <x:c r="M483" s="83" t="n">
        <x:v>98</x:v>
      </x:c>
      <x:c r="N483" s="83" t="n">
        <x:v>62</x:v>
      </x:c>
      <x:c r="O483" s="85" t="n">
        <x:v>46274</x:v>
      </x:c>
      <x:c r="P483" s="89" t="str">
        <x:f aca="0">A483&amp;TEXT(COUNTIF($A$6:A483,A483),"00")</x:f>
        <x:v>P08004</x:v>
      </x:c>
      <x:c r="Q483" s="89" t="str">
        <x:f aca="0">IF(I483&lt;100,A483&amp;"O"&amp;COUNTIFS($A$6:A483,A483,$I$6:I483,"&lt;100"),"")</x:f>
        <x:v>P080O4</x:v>
      </x:c>
      <x:c r="R483" s="89" t="str">
        <x:f aca="0">IF(I483&lt;100,D483&amp;"O"&amp;COUNTIFS($D$6:D483,D483,$I$6:I483,"&lt;100"),"")</x:f>
        <x:v>AmitO37</x:v>
      </x:c>
      <x:c r="S483" s="278" t="n">
        <x:f>IF(COUNTIF($B$6:$B$605,B483)&gt;1,1,0)</x:f>
        <x:v>0</x:v>
      </x:c>
    </x:row>
    <x:row r="484" ht="15" hidden="0">
      <x:c r="A484" s="83" t="s">
        <x:v>254</x:v>
      </x:c>
      <x:c r="B484" s="83" t="s">
        <x:v>1026</x:v>
      </x:c>
      <x:c r="C484" s="83" t="s">
        <x:v>451</x:v>
      </x:c>
      <x:c r="D484" s="83" t="s">
        <x:v>475</x:v>
      </x:c>
      <x:c r="E484" s="83" t="s">
        <x:v>445</x:v>
      </x:c>
      <x:c r="F484" s="83" t="s">
        <x:v>550</x:v>
      </x:c>
      <x:c r="G484" s="85" t="n">
        <x:v>46339</x:v>
      </x:c>
      <x:c r="H484" s="85" t="n">
        <x:v>46358</x:v>
      </x:c>
      <x:c r="I484" s="87" t="n">
        <x:v>80</x:v>
      </x:c>
      <x:c r="J484" s="83" t="s">
        <x:v>543</x:v>
      </x:c>
      <x:c r="K484" s="83"/>
      <x:c r="L484" s="83" t="s">
        <x:v>395</x:v>
      </x:c>
      <x:c r="M484" s="83" t="n">
        <x:v>55</x:v>
      </x:c>
      <x:c r="N484" s="83" t="n">
        <x:v>68</x:v>
      </x:c>
      <x:c r="O484" s="85" t="n">
        <x:v>46274</x:v>
      </x:c>
      <x:c r="P484" s="89" t="str">
        <x:f aca="0">A484&amp;TEXT(COUNTIF($A$6:A484,A484),"00")</x:f>
        <x:v>P08005</x:v>
      </x:c>
      <x:c r="Q484" s="89" t="str">
        <x:f aca="0">IF(I484&lt;100,A484&amp;"O"&amp;COUNTIFS($A$6:A484,A484,$I$6:I484,"&lt;100"),"")</x:f>
        <x:v>P080O5</x:v>
      </x:c>
      <x:c r="R484" s="89" t="str">
        <x:f aca="0">IF(I484&lt;100,D484&amp;"O"&amp;COUNTIFS($D$6:D484,D484,$I$6:I484,"&lt;100"),"")</x:f>
        <x:v>PriyaO36</x:v>
      </x:c>
      <x:c r="S484" s="278" t="n">
        <x:f>IF(COUNTIF($B$6:$B$605,B484)&gt;1,1,0)</x:f>
        <x:v>0</x:v>
      </x:c>
    </x:row>
    <x:row r="485" ht="15" hidden="0">
      <x:c r="A485" s="83" t="s">
        <x:v>254</x:v>
      </x:c>
      <x:c r="B485" s="83" t="s">
        <x:v>1027</x:v>
      </x:c>
      <x:c r="C485" s="83" t="s">
        <x:v>454</x:v>
      </x:c>
      <x:c r="D485" s="83" t="s">
        <x:v>434</x:v>
      </x:c>
      <x:c r="E485" s="83" t="s">
        <x:v>435</x:v>
      </x:c>
      <x:c r="F485" s="83" t="s">
        <x:v>546</x:v>
      </x:c>
      <x:c r="G485" s="85" t="n">
        <x:v>46353</x:v>
      </x:c>
      <x:c r="H485" s="85" t="n">
        <x:v>46377</x:v>
      </x:c>
      <x:c r="I485" s="87" t="n">
        <x:v>88</x:v>
      </x:c>
      <x:c r="J485" s="83" t="s">
        <x:v>543</x:v>
      </x:c>
      <x:c r="K485" s="83"/>
      <x:c r="L485" s="83" t="s">
        <x:v>395</x:v>
      </x:c>
      <x:c r="M485" s="83" t="n">
        <x:v>71</x:v>
      </x:c>
      <x:c r="N485" s="83" t="n">
        <x:v>69</x:v>
      </x:c>
      <x:c r="O485" s="85" t="n">
        <x:v>46274</x:v>
      </x:c>
      <x:c r="P485" s="89" t="str">
        <x:f aca="0">A485&amp;TEXT(COUNTIF($A$6:A485,A485),"00")</x:f>
        <x:v>P08006</x:v>
      </x:c>
      <x:c r="Q485" s="89" t="str">
        <x:f aca="0">IF(I485&lt;100,A485&amp;"O"&amp;COUNTIFS($A$6:A485,A485,$I$6:I485,"&lt;100"),"")</x:f>
        <x:v>P080O6</x:v>
      </x:c>
      <x:c r="R485" s="89" t="str">
        <x:f aca="0">IF(I485&lt;100,D485&amp;"O"&amp;COUNTIFS($D$6:D485,D485,$I$6:I485,"&lt;100"),"")</x:f>
        <x:v>RahulO35</x:v>
      </x:c>
      <x:c r="S485" s="278" t="n">
        <x:f>IF(COUNTIF($B$6:$B$605,B485)&gt;1,1,0)</x:f>
        <x:v>0</x:v>
      </x:c>
    </x:row>
    <x:row r="486" ht="15" hidden="0">
      <x:c r="A486" s="83" t="s">
        <x:v>183</x:v>
      </x:c>
      <x:c r="B486" s="83" t="s">
        <x:v>1028</x:v>
      </x:c>
      <x:c r="C486" s="83" t="s">
        <x:v>433</x:v>
      </x:c>
      <x:c r="D486" s="83" t="s">
        <x:v>455</x:v>
      </x:c>
      <x:c r="E486" s="83" t="s">
        <x:v>475</x:v>
      </x:c>
      <x:c r="F486" s="83" t="s">
        <x:v>557</x:v>
      </x:c>
      <x:c r="G486" s="85" t="n">
        <x:v>46284</x:v>
      </x:c>
      <x:c r="H486" s="85" t="n">
        <x:v>46306</x:v>
      </x:c>
      <x:c r="I486" s="87" t="n">
        <x:v>22</x:v>
      </x:c>
      <x:c r="J486" s="83" t="s">
        <x:v>543</x:v>
      </x:c>
      <x:c r="K486" s="83"/>
      <x:c r="L486" s="83" t="s">
        <x:v>395</x:v>
      </x:c>
      <x:c r="M486" s="83" t="n">
        <x:v>66</x:v>
      </x:c>
      <x:c r="N486" s="83" t="n">
        <x:v>39</x:v>
      </x:c>
      <x:c r="O486" s="85" t="n">
        <x:v>46274</x:v>
      </x:c>
      <x:c r="P486" s="89" t="str">
        <x:f aca="0">A486&amp;TEXT(COUNTIF($A$6:A486,A486),"00")</x:f>
        <x:v>P08101</x:v>
      </x:c>
      <x:c r="Q486" s="89" t="str">
        <x:f aca="0">IF(I486&lt;100,A486&amp;"O"&amp;COUNTIFS($A$6:A486,A486,$I$6:I486,"&lt;100"),"")</x:f>
        <x:v>P081O1</x:v>
      </x:c>
      <x:c r="R486" s="89" t="str">
        <x:f aca="0">IF(I486&lt;100,D486&amp;"O"&amp;COUNTIFS($D$6:D486,D486,$I$6:I486,"&lt;100"),"")</x:f>
        <x:v>RohanO41</x:v>
      </x:c>
      <x:c r="S486" s="278" t="n">
        <x:f>IF(COUNTIF($B$6:$B$605,B486)&gt;1,1,0)</x:f>
        <x:v>0</x:v>
      </x:c>
    </x:row>
    <x:row r="487" ht="15" hidden="0">
      <x:c r="A487" s="83" t="s">
        <x:v>183</x:v>
      </x:c>
      <x:c r="B487" s="83" t="s">
        <x:v>1029</x:v>
      </x:c>
      <x:c r="C487" s="83" t="s">
        <x:v>440</x:v>
      </x:c>
      <x:c r="D487" s="83" t="s">
        <x:v>462</x:v>
      </x:c>
      <x:c r="E487" s="83" t="s">
        <x:v>434</x:v>
      </x:c>
      <x:c r="F487" s="83" t="s">
        <x:v>550</x:v>
      </x:c>
      <x:c r="G487" s="85" t="n">
        <x:v>46298</x:v>
      </x:c>
      <x:c r="H487" s="85" t="n">
        <x:v>46313</x:v>
      </x:c>
      <x:c r="I487" s="87" t="n">
        <x:v>49</x:v>
      </x:c>
      <x:c r="J487" s="83" t="s">
        <x:v>543</x:v>
      </x:c>
      <x:c r="K487" s="83"/>
      <x:c r="L487" s="83" t="s">
        <x:v>395</x:v>
      </x:c>
      <x:c r="M487" s="83" t="n">
        <x:v>82</x:v>
      </x:c>
      <x:c r="N487" s="83" t="n">
        <x:v>67</x:v>
      </x:c>
      <x:c r="O487" s="85" t="n">
        <x:v>46274</x:v>
      </x:c>
      <x:c r="P487" s="89" t="str">
        <x:f aca="0">A487&amp;TEXT(COUNTIF($A$6:A487,A487),"00")</x:f>
        <x:v>P08102</x:v>
      </x:c>
      <x:c r="Q487" s="89" t="str">
        <x:f aca="0">IF(I487&lt;100,A487&amp;"O"&amp;COUNTIFS($A$6:A487,A487,$I$6:I487,"&lt;100"),"")</x:f>
        <x:v>P081O2</x:v>
      </x:c>
      <x:c r="R487" s="89" t="str">
        <x:f aca="0">IF(I487&lt;100,D487&amp;"O"&amp;COUNTIFS($D$6:D487,D487,$I$6:I487,"&lt;100"),"")</x:f>
        <x:v>DeepaO41</x:v>
      </x:c>
      <x:c r="S487" s="278" t="n">
        <x:f>IF(COUNTIF($B$6:$B$605,B487)&gt;1,1,0)</x:f>
        <x:v>0</x:v>
      </x:c>
    </x:row>
    <x:row r="488" ht="15" hidden="0">
      <x:c r="A488" s="83" t="s">
        <x:v>183</x:v>
      </x:c>
      <x:c r="B488" s="83" t="s">
        <x:v>1030</x:v>
      </x:c>
      <x:c r="C488" s="83" t="s">
        <x:v>444</x:v>
      </x:c>
      <x:c r="D488" s="83" t="s">
        <x:v>360</x:v>
      </x:c>
      <x:c r="E488" s="83" t="s">
        <x:v>441</x:v>
      </x:c>
      <x:c r="F488" s="83" t="s">
        <x:v>557</x:v>
      </x:c>
      <x:c r="G488" s="85" t="n">
        <x:v>46312</x:v>
      </x:c>
      <x:c r="H488" s="85" t="n">
        <x:v>46327</x:v>
      </x:c>
      <x:c r="I488" s="87" t="n">
        <x:v>57</x:v>
      </x:c>
      <x:c r="J488" s="83" t="s">
        <x:v>543</x:v>
      </x:c>
      <x:c r="K488" s="83"/>
      <x:c r="L488" s="83" t="s">
        <x:v>395</x:v>
      </x:c>
      <x:c r="M488" s="83" t="n">
        <x:v>43</x:v>
      </x:c>
      <x:c r="N488" s="83" t="n">
        <x:v>67</x:v>
      </x:c>
      <x:c r="O488" s="85" t="n">
        <x:v>46274</x:v>
      </x:c>
      <x:c r="P488" s="89" t="str">
        <x:f aca="0">A488&amp;TEXT(COUNTIF($A$6:A488,A488),"00")</x:f>
        <x:v>P08103</x:v>
      </x:c>
      <x:c r="Q488" s="89" t="str">
        <x:f aca="0">IF(I488&lt;100,A488&amp;"O"&amp;COUNTIFS($A$6:A488,A488,$I$6:I488,"&lt;100"),"")</x:f>
        <x:v>P081O3</x:v>
      </x:c>
      <x:c r="R488" s="89" t="str">
        <x:f aca="0">IF(I488&lt;100,D488&amp;"O"&amp;COUNTIFS($D$6:D488,D488,$I$6:I488,"&lt;100"),"")</x:f>
        <x:v>AmitO38</x:v>
      </x:c>
      <x:c r="S488" s="278" t="n">
        <x:f>IF(COUNTIF($B$6:$B$605,B488)&gt;1,1,0)</x:f>
        <x:v>0</x:v>
      </x:c>
    </x:row>
    <x:row r="489" ht="15" hidden="0">
      <x:c r="A489" s="83" t="s">
        <x:v>183</x:v>
      </x:c>
      <x:c r="B489" s="83" t="s">
        <x:v>1031</x:v>
      </x:c>
      <x:c r="C489" s="83" t="s">
        <x:v>448</x:v>
      </x:c>
      <x:c r="D489" s="83" t="s">
        <x:v>475</x:v>
      </x:c>
      <x:c r="E489" s="83" t="s">
        <x:v>445</x:v>
      </x:c>
      <x:c r="F489" s="83" t="s">
        <x:v>550</x:v>
      </x:c>
      <x:c r="G489" s="85" t="n">
        <x:v>46326</x:v>
      </x:c>
      <x:c r="H489" s="85" t="n">
        <x:v>46342</x:v>
      </x:c>
      <x:c r="I489" s="87" t="n">
        <x:v>34</x:v>
      </x:c>
      <x:c r="J489" s="83" t="s">
        <x:v>543</x:v>
      </x:c>
      <x:c r="K489" s="83" t="s">
        <x:v>396</x:v>
      </x:c>
      <x:c r="L489" s="83" t="s">
        <x:v>395</x:v>
      </x:c>
      <x:c r="M489" s="83" t="n">
        <x:v>22</x:v>
      </x:c>
      <x:c r="N489" s="83" t="n">
        <x:v>66</x:v>
      </x:c>
      <x:c r="O489" s="85" t="n">
        <x:v>46274</x:v>
      </x:c>
      <x:c r="P489" s="89" t="str">
        <x:f aca="0">A489&amp;TEXT(COUNTIF($A$6:A489,A489),"00")</x:f>
        <x:v>P08104</x:v>
      </x:c>
      <x:c r="Q489" s="89" t="str">
        <x:f aca="0">IF(I489&lt;100,A489&amp;"O"&amp;COUNTIFS($A$6:A489,A489,$I$6:I489,"&lt;100"),"")</x:f>
        <x:v>P081O4</x:v>
      </x:c>
      <x:c r="R489" s="89" t="str">
        <x:f aca="0">IF(I489&lt;100,D489&amp;"O"&amp;COUNTIFS($D$6:D489,D489,$I$6:I489,"&lt;100"),"")</x:f>
        <x:v>PriyaO37</x:v>
      </x:c>
      <x:c r="S489" s="278" t="n">
        <x:f>IF(COUNTIF($B$6:$B$605,B489)&gt;1,1,0)</x:f>
        <x:v>0</x:v>
      </x:c>
    </x:row>
    <x:row r="490" ht="15" hidden="0">
      <x:c r="A490" s="83" t="s">
        <x:v>183</x:v>
      </x:c>
      <x:c r="B490" s="83" t="s">
        <x:v>1032</x:v>
      </x:c>
      <x:c r="C490" s="83" t="s">
        <x:v>451</x:v>
      </x:c>
      <x:c r="D490" s="83" t="s">
        <x:v>434</x:v>
      </x:c>
      <x:c r="E490" s="83" t="s">
        <x:v>435</x:v>
      </x:c>
      <x:c r="F490" s="83" t="s">
        <x:v>557</x:v>
      </x:c>
      <x:c r="G490" s="85" t="n">
        <x:v>46340</x:v>
      </x:c>
      <x:c r="H490" s="85" t="n">
        <x:v>46363</x:v>
      </x:c>
      <x:c r="I490" s="87" t="n">
        <x:v>53</x:v>
      </x:c>
      <x:c r="J490" s="83" t="s">
        <x:v>543</x:v>
      </x:c>
      <x:c r="K490" s="83"/>
      <x:c r="L490" s="83" t="s">
        <x:v>395</x:v>
      </x:c>
      <x:c r="M490" s="83" t="n">
        <x:v>83</x:v>
      </x:c>
      <x:c r="N490" s="83" t="n">
        <x:v>56</x:v>
      </x:c>
      <x:c r="O490" s="85" t="n">
        <x:v>46274</x:v>
      </x:c>
      <x:c r="P490" s="89" t="str">
        <x:f aca="0">A490&amp;TEXT(COUNTIF($A$6:A490,A490),"00")</x:f>
        <x:v>P08105</x:v>
      </x:c>
      <x:c r="Q490" s="89" t="str">
        <x:f aca="0">IF(I490&lt;100,A490&amp;"O"&amp;COUNTIFS($A$6:A490,A490,$I$6:I490,"&lt;100"),"")</x:f>
        <x:v>P081O5</x:v>
      </x:c>
      <x:c r="R490" s="89" t="str">
        <x:f aca="0">IF(I490&lt;100,D490&amp;"O"&amp;COUNTIFS($D$6:D490,D490,$I$6:I490,"&lt;100"),"")</x:f>
        <x:v>RahulO36</x:v>
      </x:c>
      <x:c r="S490" s="278" t="n">
        <x:f>IF(COUNTIF($B$6:$B$605,B490)&gt;1,1,0)</x:f>
        <x:v>0</x:v>
      </x:c>
    </x:row>
    <x:row r="491" ht="15" hidden="0">
      <x:c r="A491" s="83" t="s">
        <x:v>183</x:v>
      </x:c>
      <x:c r="B491" s="83" t="s">
        <x:v>1033</x:v>
      </x:c>
      <x:c r="C491" s="83" t="s">
        <x:v>454</x:v>
      </x:c>
      <x:c r="D491" s="83" t="s">
        <x:v>441</x:v>
      </x:c>
      <x:c r="E491" s="83" t="s">
        <x:v>442</x:v>
      </x:c>
      <x:c r="F491" s="83" t="s">
        <x:v>557</x:v>
      </x:c>
      <x:c r="G491" s="85" t="n">
        <x:v>46354</x:v>
      </x:c>
      <x:c r="H491" s="85" t="n">
        <x:v>46374</x:v>
      </x:c>
      <x:c r="I491" s="87" t="n">
        <x:v>41</x:v>
      </x:c>
      <x:c r="J491" s="83" t="s">
        <x:v>543</x:v>
      </x:c>
      <x:c r="K491" s="83"/>
      <x:c r="L491" s="83" t="s">
        <x:v>395</x:v>
      </x:c>
      <x:c r="M491" s="83" t="n">
        <x:v>32</x:v>
      </x:c>
      <x:c r="N491" s="83" t="n">
        <x:v>57</x:v>
      </x:c>
      <x:c r="O491" s="85" t="n">
        <x:v>46274</x:v>
      </x:c>
      <x:c r="P491" s="89" t="str">
        <x:f aca="0">A491&amp;TEXT(COUNTIF($A$6:A491,A491),"00")</x:f>
        <x:v>P08106</x:v>
      </x:c>
      <x:c r="Q491" s="89" t="str">
        <x:f aca="0">IF(I491&lt;100,A491&amp;"O"&amp;COUNTIFS($A$6:A491,A491,$I$6:I491,"&lt;100"),"")</x:f>
        <x:v>P081O6</x:v>
      </x:c>
      <x:c r="R491" s="89" t="str">
        <x:f aca="0">IF(I491&lt;100,D491&amp;"O"&amp;COUNTIFS($D$6:D491,D491,$I$6:I491,"&lt;100"),"")</x:f>
        <x:v>KaranO39</x:v>
      </x:c>
      <x:c r="S491" s="278" t="n">
        <x:f>IF(COUNTIF($B$6:$B$605,B491)&gt;1,1,0)</x:f>
        <x:v>0</x:v>
      </x:c>
    </x:row>
    <x:row r="492" ht="15" hidden="0">
      <x:c r="A492" s="83" t="s">
        <x:v>196</x:v>
      </x:c>
      <x:c r="B492" s="83" t="s">
        <x:v>1034</x:v>
      </x:c>
      <x:c r="C492" s="83" t="s">
        <x:v>433</x:v>
      </x:c>
      <x:c r="D492" s="83" t="s">
        <x:v>462</x:v>
      </x:c>
      <x:c r="E492" s="83" t="s">
        <x:v>434</x:v>
      </x:c>
      <x:c r="F492" s="83" t="s">
        <x:v>557</x:v>
      </x:c>
      <x:c r="G492" s="85" t="n">
        <x:v>46285</x:v>
      </x:c>
      <x:c r="H492" s="85" t="n">
        <x:v>46298</x:v>
      </x:c>
      <x:c r="I492" s="87" t="n">
        <x:v>47</x:v>
      </x:c>
      <x:c r="J492" s="83" t="s">
        <x:v>543</x:v>
      </x:c>
      <x:c r="K492" s="83"/>
      <x:c r="L492" s="83" t="s">
        <x:v>395</x:v>
      </x:c>
      <x:c r="M492" s="83" t="n">
        <x:v>50</x:v>
      </x:c>
      <x:c r="N492" s="83" t="n">
        <x:v>61</x:v>
      </x:c>
      <x:c r="O492" s="85" t="n">
        <x:v>46274</x:v>
      </x:c>
      <x:c r="P492" s="89" t="str">
        <x:f aca="0">A492&amp;TEXT(COUNTIF($A$6:A492,A492),"00")</x:f>
        <x:v>P08201</x:v>
      </x:c>
      <x:c r="Q492" s="89" t="str">
        <x:f aca="0">IF(I492&lt;100,A492&amp;"O"&amp;COUNTIFS($A$6:A492,A492,$I$6:I492,"&lt;100"),"")</x:f>
        <x:v>P082O1</x:v>
      </x:c>
      <x:c r="R492" s="89" t="str">
        <x:f aca="0">IF(I492&lt;100,D492&amp;"O"&amp;COUNTIFS($D$6:D492,D492,$I$6:I492,"&lt;100"),"")</x:f>
        <x:v>DeepaO42</x:v>
      </x:c>
      <x:c r="S492" s="278" t="n">
        <x:f>IF(COUNTIF($B$6:$B$605,B492)&gt;1,1,0)</x:f>
        <x:v>0</x:v>
      </x:c>
    </x:row>
    <x:row r="493" ht="15" hidden="0">
      <x:c r="A493" s="83" t="s">
        <x:v>196</x:v>
      </x:c>
      <x:c r="B493" s="83" t="s">
        <x:v>1035</x:v>
      </x:c>
      <x:c r="C493" s="83" t="s">
        <x:v>440</x:v>
      </x:c>
      <x:c r="D493" s="83" t="s">
        <x:v>360</x:v>
      </x:c>
      <x:c r="E493" s="83" t="s">
        <x:v>441</x:v>
      </x:c>
      <x:c r="F493" s="83" t="s">
        <x:v>493</x:v>
      </x:c>
      <x:c r="G493" s="85" t="n">
        <x:v>46299</x:v>
      </x:c>
      <x:c r="H493" s="85" t="n">
        <x:v>46319</x:v>
      </x:c>
      <x:c r="I493" s="87" t="n">
        <x:v>29</x:v>
      </x:c>
      <x:c r="J493" s="83" t="s">
        <x:v>543</x:v>
      </x:c>
      <x:c r="K493" s="83"/>
      <x:c r="L493" s="83" t="s">
        <x:v>395</x:v>
      </x:c>
      <x:c r="M493" s="83" t="n">
        <x:v>86</x:v>
      </x:c>
      <x:c r="N493" s="83" t="n">
        <x:v>82</x:v>
      </x:c>
      <x:c r="O493" s="85" t="n">
        <x:v>46274</x:v>
      </x:c>
      <x:c r="P493" s="89" t="str">
        <x:f aca="0">A493&amp;TEXT(COUNTIF($A$6:A493,A493),"00")</x:f>
        <x:v>P08202</x:v>
      </x:c>
      <x:c r="Q493" s="89" t="str">
        <x:f aca="0">IF(I493&lt;100,A493&amp;"O"&amp;COUNTIFS($A$6:A493,A493,$I$6:I493,"&lt;100"),"")</x:f>
        <x:v>P082O2</x:v>
      </x:c>
      <x:c r="R493" s="89" t="str">
        <x:f aca="0">IF(I493&lt;100,D493&amp;"O"&amp;COUNTIFS($D$6:D493,D493,$I$6:I493,"&lt;100"),"")</x:f>
        <x:v>AmitO39</x:v>
      </x:c>
      <x:c r="S493" s="278" t="n">
        <x:f>IF(COUNTIF($B$6:$B$605,B493)&gt;1,1,0)</x:f>
        <x:v>0</x:v>
      </x:c>
    </x:row>
    <x:row r="494" ht="15" hidden="0">
      <x:c r="A494" s="83" t="s">
        <x:v>196</x:v>
      </x:c>
      <x:c r="B494" s="83" t="s">
        <x:v>1036</x:v>
      </x:c>
      <x:c r="C494" s="83" t="s">
        <x:v>444</x:v>
      </x:c>
      <x:c r="D494" s="83" t="s">
        <x:v>475</x:v>
      </x:c>
      <x:c r="E494" s="83" t="s">
        <x:v>445</x:v>
      </x:c>
      <x:c r="F494" s="83" t="s">
        <x:v>546</x:v>
      </x:c>
      <x:c r="G494" s="85" t="n">
        <x:v>46313</x:v>
      </x:c>
      <x:c r="H494" s="85" t="n">
        <x:v>46332</x:v>
      </x:c>
      <x:c r="I494" s="87" t="n">
        <x:v>36</x:v>
      </x:c>
      <x:c r="J494" s="83" t="s">
        <x:v>543</x:v>
      </x:c>
      <x:c r="K494" s="83"/>
      <x:c r="L494" s="83" t="s">
        <x:v>395</x:v>
      </x:c>
      <x:c r="M494" s="83" t="n">
        <x:v>56</x:v>
      </x:c>
      <x:c r="N494" s="83" t="n">
        <x:v>56</x:v>
      </x:c>
      <x:c r="O494" s="85" t="n">
        <x:v>46274</x:v>
      </x:c>
      <x:c r="P494" s="89" t="str">
        <x:f aca="0">A494&amp;TEXT(COUNTIF($A$6:A494,A494),"00")</x:f>
        <x:v>P08203</x:v>
      </x:c>
      <x:c r="Q494" s="89" t="str">
        <x:f aca="0">IF(I494&lt;100,A494&amp;"O"&amp;COUNTIFS($A$6:A494,A494,$I$6:I494,"&lt;100"),"")</x:f>
        <x:v>P082O3</x:v>
      </x:c>
      <x:c r="R494" s="89" t="str">
        <x:f aca="0">IF(I494&lt;100,D494&amp;"O"&amp;COUNTIFS($D$6:D494,D494,$I$6:I494,"&lt;100"),"")</x:f>
        <x:v>PriyaO38</x:v>
      </x:c>
      <x:c r="S494" s="278" t="n">
        <x:f>IF(COUNTIF($B$6:$B$605,B494)&gt;1,1,0)</x:f>
        <x:v>0</x:v>
      </x:c>
    </x:row>
    <x:row r="495" ht="15" hidden="0">
      <x:c r="A495" s="83" t="s">
        <x:v>196</x:v>
      </x:c>
      <x:c r="B495" s="83" t="s">
        <x:v>1037</x:v>
      </x:c>
      <x:c r="C495" s="83" t="s">
        <x:v>448</x:v>
      </x:c>
      <x:c r="D495" s="83" t="s">
        <x:v>434</x:v>
      </x:c>
      <x:c r="E495" s="83" t="s">
        <x:v>435</x:v>
      </x:c>
      <x:c r="F495" s="83" t="s">
        <x:v>493</x:v>
      </x:c>
      <x:c r="G495" s="85" t="n">
        <x:v>46327</x:v>
      </x:c>
      <x:c r="H495" s="85" t="n">
        <x:v>46343</x:v>
      </x:c>
      <x:c r="I495" s="87" t="n">
        <x:v>30</x:v>
      </x:c>
      <x:c r="J495" s="83" t="s">
        <x:v>543</x:v>
      </x:c>
      <x:c r="K495" s="83"/>
      <x:c r="L495" s="83" t="s">
        <x:v>395</x:v>
      </x:c>
      <x:c r="M495" s="83" t="n">
        <x:v>94</x:v>
      </x:c>
      <x:c r="N495" s="83" t="n">
        <x:v>38</x:v>
      </x:c>
      <x:c r="O495" s="85" t="n">
        <x:v>46274</x:v>
      </x:c>
      <x:c r="P495" s="89" t="str">
        <x:f aca="0">A495&amp;TEXT(COUNTIF($A$6:A495,A495),"00")</x:f>
        <x:v>P08204</x:v>
      </x:c>
      <x:c r="Q495" s="89" t="str">
        <x:f aca="0">IF(I495&lt;100,A495&amp;"O"&amp;COUNTIFS($A$6:A495,A495,$I$6:I495,"&lt;100"),"")</x:f>
        <x:v>P082O4</x:v>
      </x:c>
      <x:c r="R495" s="89" t="str">
        <x:f aca="0">IF(I495&lt;100,D495&amp;"O"&amp;COUNTIFS($D$6:D495,D495,$I$6:I495,"&lt;100"),"")</x:f>
        <x:v>RahulO37</x:v>
      </x:c>
      <x:c r="S495" s="278" t="n">
        <x:f>IF(COUNTIF($B$6:$B$605,B495)&gt;1,1,0)</x:f>
        <x:v>0</x:v>
      </x:c>
    </x:row>
    <x:row r="496" ht="15" hidden="0">
      <x:c r="A496" s="83" t="s">
        <x:v>196</x:v>
      </x:c>
      <x:c r="B496" s="83" t="s">
        <x:v>1038</x:v>
      </x:c>
      <x:c r="C496" s="83" t="s">
        <x:v>451</x:v>
      </x:c>
      <x:c r="D496" s="83" t="s">
        <x:v>441</x:v>
      </x:c>
      <x:c r="E496" s="83" t="s">
        <x:v>442</x:v>
      </x:c>
      <x:c r="F496" s="83" t="s">
        <x:v>546</x:v>
      </x:c>
      <x:c r="G496" s="85" t="n">
        <x:v>46341</x:v>
      </x:c>
      <x:c r="H496" s="85" t="n">
        <x:v>46353</x:v>
      </x:c>
      <x:c r="I496" s="87" t="n">
        <x:v>49</x:v>
      </x:c>
      <x:c r="J496" s="83" t="s">
        <x:v>543</x:v>
      </x:c>
      <x:c r="K496" s="83"/>
      <x:c r="L496" s="83" t="s">
        <x:v>395</x:v>
      </x:c>
      <x:c r="M496" s="83" t="n">
        <x:v>67</x:v>
      </x:c>
      <x:c r="N496" s="83" t="n">
        <x:v>97</x:v>
      </x:c>
      <x:c r="O496" s="85" t="n">
        <x:v>46274</x:v>
      </x:c>
      <x:c r="P496" s="89" t="str">
        <x:f aca="0">A496&amp;TEXT(COUNTIF($A$6:A496,A496),"00")</x:f>
        <x:v>P08205</x:v>
      </x:c>
      <x:c r="Q496" s="89" t="str">
        <x:f aca="0">IF(I496&lt;100,A496&amp;"O"&amp;COUNTIFS($A$6:A496,A496,$I$6:I496,"&lt;100"),"")</x:f>
        <x:v>P082O5</x:v>
      </x:c>
      <x:c r="R496" s="89" t="str">
        <x:f aca="0">IF(I496&lt;100,D496&amp;"O"&amp;COUNTIFS($D$6:D496,D496,$I$6:I496,"&lt;100"),"")</x:f>
        <x:v>KaranO40</x:v>
      </x:c>
      <x:c r="S496" s="278" t="n">
        <x:f>IF(COUNTIF($B$6:$B$605,B496)&gt;1,1,0)</x:f>
        <x:v>0</x:v>
      </x:c>
    </x:row>
    <x:row r="497" ht="15" hidden="0">
      <x:c r="A497" s="83" t="s">
        <x:v>196</x:v>
      </x:c>
      <x:c r="B497" s="83" t="s">
        <x:v>1039</x:v>
      </x:c>
      <x:c r="C497" s="83" t="s">
        <x:v>454</x:v>
      </x:c>
      <x:c r="D497" s="83" t="s">
        <x:v>445</x:v>
      </x:c>
      <x:c r="E497" s="83" t="s">
        <x:v>446</x:v>
      </x:c>
      <x:c r="F497" s="83" t="s">
        <x:v>557</x:v>
      </x:c>
      <x:c r="G497" s="85" t="n">
        <x:v>46355</x:v>
      </x:c>
      <x:c r="H497" s="85" t="n">
        <x:v>46371</x:v>
      </x:c>
      <x:c r="I497" s="87" t="n">
        <x:v>31</x:v>
      </x:c>
      <x:c r="J497" s="83" t="s">
        <x:v>543</x:v>
      </x:c>
      <x:c r="K497" s="83" t="s">
        <x:v>396</x:v>
      </x:c>
      <x:c r="L497" s="83" t="s">
        <x:v>395</x:v>
      </x:c>
      <x:c r="M497" s="83" t="n">
        <x:v>77</x:v>
      </x:c>
      <x:c r="N497" s="83" t="n">
        <x:v>15</x:v>
      </x:c>
      <x:c r="O497" s="85" t="n">
        <x:v>46274</x:v>
      </x:c>
      <x:c r="P497" s="89" t="str">
        <x:f aca="0">A497&amp;TEXT(COUNTIF($A$6:A497,A497),"00")</x:f>
        <x:v>P08206</x:v>
      </x:c>
      <x:c r="Q497" s="89" t="str">
        <x:f aca="0">IF(I497&lt;100,A497&amp;"O"&amp;COUNTIFS($A$6:A497,A497,$I$6:I497,"&lt;100"),"")</x:f>
        <x:v>P082O6</x:v>
      </x:c>
      <x:c r="R497" s="89" t="str">
        <x:f aca="0">IF(I497&lt;100,D497&amp;"O"&amp;COUNTIFS($D$6:D497,D497,$I$6:I497,"&lt;100"),"")</x:f>
        <x:v>MeeraO40</x:v>
      </x:c>
      <x:c r="S497" s="278" t="n">
        <x:f>IF(COUNTIF($B$6:$B$605,B497)&gt;1,1,0)</x:f>
        <x:v>0</x:v>
      </x:c>
    </x:row>
    <x:row r="498" ht="15" hidden="0">
      <x:c r="A498" s="83" t="s">
        <x:v>161</x:v>
      </x:c>
      <x:c r="B498" s="83" t="s">
        <x:v>1040</x:v>
      </x:c>
      <x:c r="C498" s="83" t="s">
        <x:v>433</x:v>
      </x:c>
      <x:c r="D498" s="83" t="s">
        <x:v>360</x:v>
      </x:c>
      <x:c r="E498" s="83" t="s">
        <x:v>441</x:v>
      </x:c>
      <x:c r="F498" s="83" t="s">
        <x:v>493</x:v>
      </x:c>
      <x:c r="G498" s="85" t="n">
        <x:v>46286</x:v>
      </x:c>
      <x:c r="H498" s="85" t="n">
        <x:v>46306</x:v>
      </x:c>
      <x:c r="I498" s="87" t="n">
        <x:v>27</x:v>
      </x:c>
      <x:c r="J498" s="83" t="s">
        <x:v>543</x:v>
      </x:c>
      <x:c r="K498" s="83"/>
      <x:c r="L498" s="83" t="s">
        <x:v>395</x:v>
      </x:c>
      <x:c r="M498" s="83" t="n">
        <x:v>53</x:v>
      </x:c>
      <x:c r="N498" s="83" t="n">
        <x:v>20</x:v>
      </x:c>
      <x:c r="O498" s="85" t="n">
        <x:v>46274</x:v>
      </x:c>
      <x:c r="P498" s="89" t="str">
        <x:f aca="0">A498&amp;TEXT(COUNTIF($A$6:A498,A498),"00")</x:f>
        <x:v>P08301</x:v>
      </x:c>
      <x:c r="Q498" s="89" t="str">
        <x:f aca="0">IF(I498&lt;100,A498&amp;"O"&amp;COUNTIFS($A$6:A498,A498,$I$6:I498,"&lt;100"),"")</x:f>
        <x:v>P083O1</x:v>
      </x:c>
      <x:c r="R498" s="89" t="str">
        <x:f aca="0">IF(I498&lt;100,D498&amp;"O"&amp;COUNTIFS($D$6:D498,D498,$I$6:I498,"&lt;100"),"")</x:f>
        <x:v>AmitO40</x:v>
      </x:c>
      <x:c r="S498" s="278" t="n">
        <x:f>IF(COUNTIF($B$6:$B$605,B498)&gt;1,1,0)</x:f>
        <x:v>0</x:v>
      </x:c>
    </x:row>
    <x:row r="499" ht="15" hidden="0">
      <x:c r="A499" s="83" t="s">
        <x:v>161</x:v>
      </x:c>
      <x:c r="B499" s="83" t="s">
        <x:v>1041</x:v>
      </x:c>
      <x:c r="C499" s="83" t="s">
        <x:v>440</x:v>
      </x:c>
      <x:c r="D499" s="83" t="s">
        <x:v>475</x:v>
      </x:c>
      <x:c r="E499" s="83" t="s">
        <x:v>445</x:v>
      </x:c>
      <x:c r="F499" s="83" t="s">
        <x:v>557</x:v>
      </x:c>
      <x:c r="G499" s="85" t="n">
        <x:v>46300</x:v>
      </x:c>
      <x:c r="H499" s="85" t="n">
        <x:v>46316</x:v>
      </x:c>
      <x:c r="I499" s="87" t="n">
        <x:v>47</x:v>
      </x:c>
      <x:c r="J499" s="83" t="s">
        <x:v>543</x:v>
      </x:c>
      <x:c r="K499" s="83"/>
      <x:c r="L499" s="83" t="s">
        <x:v>395</x:v>
      </x:c>
      <x:c r="M499" s="83" t="n">
        <x:v>30</x:v>
      </x:c>
      <x:c r="N499" s="83" t="n">
        <x:v>93</x:v>
      </x:c>
      <x:c r="O499" s="85" t="n">
        <x:v>46274</x:v>
      </x:c>
      <x:c r="P499" s="89" t="str">
        <x:f aca="0">A499&amp;TEXT(COUNTIF($A$6:A499,A499),"00")</x:f>
        <x:v>P08302</x:v>
      </x:c>
      <x:c r="Q499" s="89" t="str">
        <x:f aca="0">IF(I499&lt;100,A499&amp;"O"&amp;COUNTIFS($A$6:A499,A499,$I$6:I499,"&lt;100"),"")</x:f>
        <x:v>P083O2</x:v>
      </x:c>
      <x:c r="R499" s="89" t="str">
        <x:f aca="0">IF(I499&lt;100,D499&amp;"O"&amp;COUNTIFS($D$6:D499,D499,$I$6:I499,"&lt;100"),"")</x:f>
        <x:v>PriyaO39</x:v>
      </x:c>
      <x:c r="S499" s="278" t="n">
        <x:f>IF(COUNTIF($B$6:$B$605,B499)&gt;1,1,0)</x:f>
        <x:v>0</x:v>
      </x:c>
    </x:row>
    <x:row r="500" ht="15" hidden="0">
      <x:c r="A500" s="83" t="s">
        <x:v>161</x:v>
      </x:c>
      <x:c r="B500" s="83" t="s">
        <x:v>1042</x:v>
      </x:c>
      <x:c r="C500" s="83" t="s">
        <x:v>444</x:v>
      </x:c>
      <x:c r="D500" s="83" t="s">
        <x:v>434</x:v>
      </x:c>
      <x:c r="E500" s="83" t="s">
        <x:v>435</x:v>
      </x:c>
      <x:c r="F500" s="83" t="s">
        <x:v>546</x:v>
      </x:c>
      <x:c r="G500" s="85" t="n">
        <x:v>46314</x:v>
      </x:c>
      <x:c r="H500" s="85" t="n">
        <x:v>46327</x:v>
      </x:c>
      <x:c r="I500" s="87" t="n">
        <x:v>64</x:v>
      </x:c>
      <x:c r="J500" s="83" t="s">
        <x:v>543</x:v>
      </x:c>
      <x:c r="K500" s="83" t="s">
        <x:v>396</x:v>
      </x:c>
      <x:c r="L500" s="83" t="s">
        <x:v>395</x:v>
      </x:c>
      <x:c r="M500" s="83" t="n">
        <x:v>60</x:v>
      </x:c>
      <x:c r="N500" s="83" t="n">
        <x:v>48</x:v>
      </x:c>
      <x:c r="O500" s="85" t="n">
        <x:v>46274</x:v>
      </x:c>
      <x:c r="P500" s="89" t="str">
        <x:f aca="0">A500&amp;TEXT(COUNTIF($A$6:A500,A500),"00")</x:f>
        <x:v>P08303</x:v>
      </x:c>
      <x:c r="Q500" s="89" t="str">
        <x:f aca="0">IF(I500&lt;100,A500&amp;"O"&amp;COUNTIFS($A$6:A500,A500,$I$6:I500,"&lt;100"),"")</x:f>
        <x:v>P083O3</x:v>
      </x:c>
      <x:c r="R500" s="89" t="str">
        <x:f aca="0">IF(I500&lt;100,D500&amp;"O"&amp;COUNTIFS($D$6:D500,D500,$I$6:I500,"&lt;100"),"")</x:f>
        <x:v>RahulO38</x:v>
      </x:c>
      <x:c r="S500" s="278" t="n">
        <x:f>IF(COUNTIF($B$6:$B$605,B500)&gt;1,1,0)</x:f>
        <x:v>0</x:v>
      </x:c>
    </x:row>
    <x:row r="501" ht="15" hidden="0">
      <x:c r="A501" s="83" t="s">
        <x:v>161</x:v>
      </x:c>
      <x:c r="B501" s="83" t="s">
        <x:v>1043</x:v>
      </x:c>
      <x:c r="C501" s="83" t="s">
        <x:v>448</x:v>
      </x:c>
      <x:c r="D501" s="83" t="s">
        <x:v>441</x:v>
      </x:c>
      <x:c r="E501" s="83" t="s">
        <x:v>442</x:v>
      </x:c>
      <x:c r="F501" s="83" t="s">
        <x:v>550</x:v>
      </x:c>
      <x:c r="G501" s="85" t="n">
        <x:v>46328</x:v>
      </x:c>
      <x:c r="H501" s="85" t="n">
        <x:v>46343</x:v>
      </x:c>
      <x:c r="I501" s="87" t="n">
        <x:v>52</x:v>
      </x:c>
      <x:c r="J501" s="83" t="s">
        <x:v>543</x:v>
      </x:c>
      <x:c r="K501" s="83"/>
      <x:c r="L501" s="83" t="s">
        <x:v>395</x:v>
      </x:c>
      <x:c r="M501" s="83" t="n">
        <x:v>94</x:v>
      </x:c>
      <x:c r="N501" s="83" t="n">
        <x:v>42</x:v>
      </x:c>
      <x:c r="O501" s="85" t="n">
        <x:v>46274</x:v>
      </x:c>
      <x:c r="P501" s="89" t="str">
        <x:f aca="0">A501&amp;TEXT(COUNTIF($A$6:A501,A501),"00")</x:f>
        <x:v>P08304</x:v>
      </x:c>
      <x:c r="Q501" s="89" t="str">
        <x:f aca="0">IF(I501&lt;100,A501&amp;"O"&amp;COUNTIFS($A$6:A501,A501,$I$6:I501,"&lt;100"),"")</x:f>
        <x:v>P083O4</x:v>
      </x:c>
      <x:c r="R501" s="89" t="str">
        <x:f aca="0">IF(I501&lt;100,D501&amp;"O"&amp;COUNTIFS($D$6:D501,D501,$I$6:I501,"&lt;100"),"")</x:f>
        <x:v>KaranO41</x:v>
      </x:c>
      <x:c r="S501" s="278" t="n">
        <x:f>IF(COUNTIF($B$6:$B$605,B501)&gt;1,1,0)</x:f>
        <x:v>0</x:v>
      </x:c>
    </x:row>
    <x:row r="502" ht="15" hidden="0">
      <x:c r="A502" s="83" t="s">
        <x:v>161</x:v>
      </x:c>
      <x:c r="B502" s="83" t="s">
        <x:v>1044</x:v>
      </x:c>
      <x:c r="C502" s="83" t="s">
        <x:v>451</x:v>
      </x:c>
      <x:c r="D502" s="83" t="s">
        <x:v>445</x:v>
      </x:c>
      <x:c r="E502" s="83" t="s">
        <x:v>446</x:v>
      </x:c>
      <x:c r="F502" s="83" t="s">
        <x:v>557</x:v>
      </x:c>
      <x:c r="G502" s="85" t="n">
        <x:v>46342</x:v>
      </x:c>
      <x:c r="H502" s="85" t="n">
        <x:v>46351</x:v>
      </x:c>
      <x:c r="I502" s="87" t="n">
        <x:v>35</x:v>
      </x:c>
      <x:c r="J502" s="83" t="s">
        <x:v>586</x:v>
      </x:c>
      <x:c r="K502" s="83" t="s">
        <x:v>413</x:v>
      </x:c>
      <x:c r="L502" s="83" t="s">
        <x:v>412</x:v>
      </x:c>
      <x:c r="M502" s="83" t="n">
        <x:v>85</x:v>
      </x:c>
      <x:c r="N502" s="83" t="n">
        <x:v>59</x:v>
      </x:c>
      <x:c r="O502" s="85" t="n">
        <x:v>46274</x:v>
      </x:c>
      <x:c r="P502" s="89" t="str">
        <x:f aca="0">A502&amp;TEXT(COUNTIF($A$6:A502,A502),"00")</x:f>
        <x:v>P08305</x:v>
      </x:c>
      <x:c r="Q502" s="89" t="str">
        <x:f aca="0">IF(I502&lt;100,A502&amp;"O"&amp;COUNTIFS($A$6:A502,A502,$I$6:I502,"&lt;100"),"")</x:f>
        <x:v>P083O5</x:v>
      </x:c>
      <x:c r="R502" s="89" t="str">
        <x:f aca="0">IF(I502&lt;100,D502&amp;"O"&amp;COUNTIFS($D$6:D502,D502,$I$6:I502,"&lt;100"),"")</x:f>
        <x:v>MeeraO41</x:v>
      </x:c>
      <x:c r="S502" s="278" t="n">
        <x:f>IF(COUNTIF($B$6:$B$605,B502)&gt;1,1,0)</x:f>
        <x:v>0</x:v>
      </x:c>
    </x:row>
    <x:row r="503" ht="15" hidden="0">
      <x:c r="A503" s="83" t="s">
        <x:v>161</x:v>
      </x:c>
      <x:c r="B503" s="83" t="s">
        <x:v>1045</x:v>
      </x:c>
      <x:c r="C503" s="83" t="s">
        <x:v>454</x:v>
      </x:c>
      <x:c r="D503" s="83" t="s">
        <x:v>435</x:v>
      </x:c>
      <x:c r="E503" s="83" t="s">
        <x:v>449</x:v>
      </x:c>
      <x:c r="F503" s="83" t="s">
        <x:v>557</x:v>
      </x:c>
      <x:c r="G503" s="85" t="n">
        <x:v>46356</x:v>
      </x:c>
      <x:c r="H503" s="85" t="n">
        <x:v>46371</x:v>
      </x:c>
      <x:c r="I503" s="87" t="n">
        <x:v>51</x:v>
      </x:c>
      <x:c r="J503" s="83" t="s">
        <x:v>543</x:v>
      </x:c>
      <x:c r="K503" s="83" t="s">
        <x:v>396</x:v>
      </x:c>
      <x:c r="L503" s="83" t="s">
        <x:v>395</x:v>
      </x:c>
      <x:c r="M503" s="83" t="n">
        <x:v>34</x:v>
      </x:c>
      <x:c r="N503" s="83" t="n">
        <x:v>16</x:v>
      </x:c>
      <x:c r="O503" s="85" t="n">
        <x:v>46274</x:v>
      </x:c>
      <x:c r="P503" s="89" t="str">
        <x:f aca="0">A503&amp;TEXT(COUNTIF($A$6:A503,A503),"00")</x:f>
        <x:v>P08306</x:v>
      </x:c>
      <x:c r="Q503" s="89" t="str">
        <x:f aca="0">IF(I503&lt;100,A503&amp;"O"&amp;COUNTIFS($A$6:A503,A503,$I$6:I503,"&lt;100"),"")</x:f>
        <x:v>P083O6</x:v>
      </x:c>
      <x:c r="R503" s="89" t="str">
        <x:f aca="0">IF(I503&lt;100,D503&amp;"O"&amp;COUNTIFS($D$6:D503,D503,$I$6:I503,"&lt;100"),"")</x:f>
        <x:v>VivekO41</x:v>
      </x:c>
      <x:c r="S503" s="278" t="n">
        <x:f>IF(COUNTIF($B$6:$B$605,B503)&gt;1,1,0)</x:f>
        <x:v>0</x:v>
      </x:c>
    </x:row>
    <x:row r="504" ht="15" hidden="0">
      <x:c r="A504" s="83" t="s">
        <x:v>143</x:v>
      </x:c>
      <x:c r="B504" s="83" t="s">
        <x:v>1046</x:v>
      </x:c>
      <x:c r="C504" s="83" t="s">
        <x:v>433</x:v>
      </x:c>
      <x:c r="D504" s="83" t="s">
        <x:v>475</x:v>
      </x:c>
      <x:c r="E504" s="83" t="s">
        <x:v>445</x:v>
      </x:c>
      <x:c r="F504" s="83" t="s">
        <x:v>546</x:v>
      </x:c>
      <x:c r="G504" s="85" t="n">
        <x:v>46287</x:v>
      </x:c>
      <x:c r="H504" s="85" t="n">
        <x:v>46304</x:v>
      </x:c>
      <x:c r="I504" s="87" t="n">
        <x:v>90</x:v>
      </x:c>
      <x:c r="J504" s="83" t="s">
        <x:v>543</x:v>
      </x:c>
      <x:c r="K504" s="83" t="s">
        <x:v>396</x:v>
      </x:c>
      <x:c r="L504" s="83" t="s">
        <x:v>395</x:v>
      </x:c>
      <x:c r="M504" s="83" t="n">
        <x:v>82</x:v>
      </x:c>
      <x:c r="N504" s="83" t="n">
        <x:v>93</x:v>
      </x:c>
      <x:c r="O504" s="85" t="n">
        <x:v>46274</x:v>
      </x:c>
      <x:c r="P504" s="89" t="str">
        <x:f aca="0">A504&amp;TEXT(COUNTIF($A$6:A504,A504),"00")</x:f>
        <x:v>P08401</x:v>
      </x:c>
      <x:c r="Q504" s="89" t="str">
        <x:f aca="0">IF(I504&lt;100,A504&amp;"O"&amp;COUNTIFS($A$6:A504,A504,$I$6:I504,"&lt;100"),"")</x:f>
        <x:v>P084O1</x:v>
      </x:c>
      <x:c r="R504" s="89" t="str">
        <x:f aca="0">IF(I504&lt;100,D504&amp;"O"&amp;COUNTIFS($D$6:D504,D504,$I$6:I504,"&lt;100"),"")</x:f>
        <x:v>PriyaO40</x:v>
      </x:c>
      <x:c r="S504" s="278" t="n">
        <x:f>IF(COUNTIF($B$6:$B$605,B504)&gt;1,1,0)</x:f>
        <x:v>0</x:v>
      </x:c>
    </x:row>
    <x:row r="505" ht="15" hidden="0">
      <x:c r="A505" s="83" t="s">
        <x:v>143</x:v>
      </x:c>
      <x:c r="B505" s="83" t="s">
        <x:v>1047</x:v>
      </x:c>
      <x:c r="C505" s="83" t="s">
        <x:v>440</x:v>
      </x:c>
      <x:c r="D505" s="83" t="s">
        <x:v>434</x:v>
      </x:c>
      <x:c r="E505" s="83" t="s">
        <x:v>435</x:v>
      </x:c>
      <x:c r="F505" s="83" t="s">
        <x:v>546</x:v>
      </x:c>
      <x:c r="G505" s="85" t="n">
        <x:v>46301</x:v>
      </x:c>
      <x:c r="H505" s="85" t="n">
        <x:v>46310</x:v>
      </x:c>
      <x:c r="I505" s="87" t="n">
        <x:v>91</x:v>
      </x:c>
      <x:c r="J505" s="83" t="s">
        <x:v>543</x:v>
      </x:c>
      <x:c r="K505" s="83"/>
      <x:c r="L505" s="83" t="s">
        <x:v>395</x:v>
      </x:c>
      <x:c r="M505" s="83" t="n">
        <x:v>69</x:v>
      </x:c>
      <x:c r="N505" s="83" t="n">
        <x:v>24</x:v>
      </x:c>
      <x:c r="O505" s="85" t="n">
        <x:v>46274</x:v>
      </x:c>
      <x:c r="P505" s="89" t="str">
        <x:f aca="0">A505&amp;TEXT(COUNTIF($A$6:A505,A505),"00")</x:f>
        <x:v>P08402</x:v>
      </x:c>
      <x:c r="Q505" s="89" t="str">
        <x:f aca="0">IF(I505&lt;100,A505&amp;"O"&amp;COUNTIFS($A$6:A505,A505,$I$6:I505,"&lt;100"),"")</x:f>
        <x:v>P084O2</x:v>
      </x:c>
      <x:c r="R505" s="89" t="str">
        <x:f aca="0">IF(I505&lt;100,D505&amp;"O"&amp;COUNTIFS($D$6:D505,D505,$I$6:I505,"&lt;100"),"")</x:f>
        <x:v>RahulO39</x:v>
      </x:c>
      <x:c r="S505" s="278" t="n">
        <x:f>IF(COUNTIF($B$6:$B$605,B505)&gt;1,1,0)</x:f>
        <x:v>0</x:v>
      </x:c>
    </x:row>
    <x:row r="506" ht="15" hidden="0">
      <x:c r="A506" s="83" t="s">
        <x:v>143</x:v>
      </x:c>
      <x:c r="B506" s="83" t="s">
        <x:v>1048</x:v>
      </x:c>
      <x:c r="C506" s="83" t="s">
        <x:v>444</x:v>
      </x:c>
      <x:c r="D506" s="83" t="s">
        <x:v>441</x:v>
      </x:c>
      <x:c r="E506" s="83" t="s">
        <x:v>442</x:v>
      </x:c>
      <x:c r="F506" s="83" t="s">
        <x:v>546</x:v>
      </x:c>
      <x:c r="G506" s="85" t="n">
        <x:v>46315</x:v>
      </x:c>
      <x:c r="H506" s="85" t="n">
        <x:v>46337</x:v>
      </x:c>
      <x:c r="I506" s="87" t="n">
        <x:v>67</x:v>
      </x:c>
      <x:c r="J506" s="83" t="s">
        <x:v>543</x:v>
      </x:c>
      <x:c r="K506" s="83" t="s">
        <x:v>396</x:v>
      </x:c>
      <x:c r="L506" s="83" t="s">
        <x:v>395</x:v>
      </x:c>
      <x:c r="M506" s="83" t="n">
        <x:v>51</x:v>
      </x:c>
      <x:c r="N506" s="83" t="n">
        <x:v>88</x:v>
      </x:c>
      <x:c r="O506" s="85" t="n">
        <x:v>46274</x:v>
      </x:c>
      <x:c r="P506" s="89" t="str">
        <x:f aca="0">A506&amp;TEXT(COUNTIF($A$6:A506,A506),"00")</x:f>
        <x:v>P08403</x:v>
      </x:c>
      <x:c r="Q506" s="89" t="str">
        <x:f aca="0">IF(I506&lt;100,A506&amp;"O"&amp;COUNTIFS($A$6:A506,A506,$I$6:I506,"&lt;100"),"")</x:f>
        <x:v>P084O3</x:v>
      </x:c>
      <x:c r="R506" s="89" t="str">
        <x:f aca="0">IF(I506&lt;100,D506&amp;"O"&amp;COUNTIFS($D$6:D506,D506,$I$6:I506,"&lt;100"),"")</x:f>
        <x:v>KaranO42</x:v>
      </x:c>
      <x:c r="S506" s="278" t="n">
        <x:f>IF(COUNTIF($B$6:$B$605,B506)&gt;1,1,0)</x:f>
        <x:v>0</x:v>
      </x:c>
    </x:row>
    <x:row r="507" ht="15" hidden="0">
      <x:c r="A507" s="83" t="s">
        <x:v>143</x:v>
      </x:c>
      <x:c r="B507" s="83" t="s">
        <x:v>1049</x:v>
      </x:c>
      <x:c r="C507" s="83" t="s">
        <x:v>448</x:v>
      </x:c>
      <x:c r="D507" s="83" t="s">
        <x:v>445</x:v>
      </x:c>
      <x:c r="E507" s="83" t="s">
        <x:v>446</x:v>
      </x:c>
      <x:c r="F507" s="83" t="s">
        <x:v>557</x:v>
      </x:c>
      <x:c r="G507" s="85" t="n">
        <x:v>46329</x:v>
      </x:c>
      <x:c r="H507" s="85" t="n">
        <x:v>46349</x:v>
      </x:c>
      <x:c r="I507" s="87" t="n">
        <x:v>66</x:v>
      </x:c>
      <x:c r="J507" s="83" t="s">
        <x:v>543</x:v>
      </x:c>
      <x:c r="K507" s="83"/>
      <x:c r="L507" s="83" t="s">
        <x:v>395</x:v>
      </x:c>
      <x:c r="M507" s="83" t="n">
        <x:v>79</x:v>
      </x:c>
      <x:c r="N507" s="83" t="n">
        <x:v>75</x:v>
      </x:c>
      <x:c r="O507" s="85" t="n">
        <x:v>46274</x:v>
      </x:c>
      <x:c r="P507" s="89" t="str">
        <x:f aca="0">A507&amp;TEXT(COUNTIF($A$6:A507,A507),"00")</x:f>
        <x:v>P08404</x:v>
      </x:c>
      <x:c r="Q507" s="89" t="str">
        <x:f aca="0">IF(I507&lt;100,A507&amp;"O"&amp;COUNTIFS($A$6:A507,A507,$I$6:I507,"&lt;100"),"")</x:f>
        <x:v>P084O4</x:v>
      </x:c>
      <x:c r="R507" s="89" t="str">
        <x:f aca="0">IF(I507&lt;100,D507&amp;"O"&amp;COUNTIFS($D$6:D507,D507,$I$6:I507,"&lt;100"),"")</x:f>
        <x:v>MeeraO42</x:v>
      </x:c>
      <x:c r="S507" s="278" t="n">
        <x:f>IF(COUNTIF($B$6:$B$605,B507)&gt;1,1,0)</x:f>
        <x:v>0</x:v>
      </x:c>
    </x:row>
    <x:row r="508" ht="15" hidden="0">
      <x:c r="A508" s="83" t="s">
        <x:v>143</x:v>
      </x:c>
      <x:c r="B508" s="83" t="s">
        <x:v>1050</x:v>
      </x:c>
      <x:c r="C508" s="83" t="s">
        <x:v>451</x:v>
      </x:c>
      <x:c r="D508" s="83" t="s">
        <x:v>435</x:v>
      </x:c>
      <x:c r="E508" s="83" t="s">
        <x:v>449</x:v>
      </x:c>
      <x:c r="F508" s="83" t="s">
        <x:v>546</x:v>
      </x:c>
      <x:c r="G508" s="85" t="n">
        <x:v>46343</x:v>
      </x:c>
      <x:c r="H508" s="85" t="n">
        <x:v>46367</x:v>
      </x:c>
      <x:c r="I508" s="87" t="n">
        <x:v>81</x:v>
      </x:c>
      <x:c r="J508" s="83" t="s">
        <x:v>543</x:v>
      </x:c>
      <x:c r="K508" s="83"/>
      <x:c r="L508" s="83" t="s">
        <x:v>395</x:v>
      </x:c>
      <x:c r="M508" s="83" t="n">
        <x:v>39</x:v>
      </x:c>
      <x:c r="N508" s="83" t="n">
        <x:v>69</x:v>
      </x:c>
      <x:c r="O508" s="85" t="n">
        <x:v>46274</x:v>
      </x:c>
      <x:c r="P508" s="89" t="str">
        <x:f aca="0">A508&amp;TEXT(COUNTIF($A$6:A508,A508),"00")</x:f>
        <x:v>P08405</x:v>
      </x:c>
      <x:c r="Q508" s="89" t="str">
        <x:f aca="0">IF(I508&lt;100,A508&amp;"O"&amp;COUNTIFS($A$6:A508,A508,$I$6:I508,"&lt;100"),"")</x:f>
        <x:v>P084O5</x:v>
      </x:c>
      <x:c r="R508" s="89" t="str">
        <x:f aca="0">IF(I508&lt;100,D508&amp;"O"&amp;COUNTIFS($D$6:D508,D508,$I$6:I508,"&lt;100"),"")</x:f>
        <x:v>VivekO42</x:v>
      </x:c>
      <x:c r="S508" s="278" t="n">
        <x:f>IF(COUNTIF($B$6:$B$605,B508)&gt;1,1,0)</x:f>
        <x:v>0</x:v>
      </x:c>
    </x:row>
    <x:row r="509" ht="15" hidden="0">
      <x:c r="A509" s="83" t="s">
        <x:v>143</x:v>
      </x:c>
      <x:c r="B509" s="83" t="s">
        <x:v>1051</x:v>
      </x:c>
      <x:c r="C509" s="83" t="s">
        <x:v>454</x:v>
      </x:c>
      <x:c r="D509" s="83" t="s">
        <x:v>442</x:v>
      </x:c>
      <x:c r="E509" s="83" t="s">
        <x:v>452</x:v>
      </x:c>
      <x:c r="F509" s="83" t="s">
        <x:v>493</x:v>
      </x:c>
      <x:c r="G509" s="85" t="n">
        <x:v>46357</x:v>
      </x:c>
      <x:c r="H509" s="85" t="n">
        <x:v>46376</x:v>
      </x:c>
      <x:c r="I509" s="87" t="n">
        <x:v>57</x:v>
      </x:c>
      <x:c r="J509" s="83" t="s">
        <x:v>543</x:v>
      </x:c>
      <x:c r="K509" s="83"/>
      <x:c r="L509" s="83" t="s">
        <x:v>395</x:v>
      </x:c>
      <x:c r="M509" s="83" t="n">
        <x:v>22</x:v>
      </x:c>
      <x:c r="N509" s="83" t="n">
        <x:v>84</x:v>
      </x:c>
      <x:c r="O509" s="85" t="n">
        <x:v>46274</x:v>
      </x:c>
      <x:c r="P509" s="89" t="str">
        <x:f aca="0">A509&amp;TEXT(COUNTIF($A$6:A509,A509),"00")</x:f>
        <x:v>P08406</x:v>
      </x:c>
      <x:c r="Q509" s="89" t="str">
        <x:f aca="0">IF(I509&lt;100,A509&amp;"O"&amp;COUNTIFS($A$6:A509,A509,$I$6:I509,"&lt;100"),"")</x:f>
        <x:v>P084O6</x:v>
      </x:c>
      <x:c r="R509" s="89" t="str">
        <x:f aca="0">IF(I509&lt;100,D509&amp;"O"&amp;COUNTIFS($D$6:D509,D509,$I$6:I509,"&lt;100"),"")</x:f>
        <x:v>RituO40</x:v>
      </x:c>
      <x:c r="S509" s="278" t="n">
        <x:f>IF(COUNTIF($B$6:$B$605,B509)&gt;1,1,0)</x:f>
        <x:v>0</x:v>
      </x:c>
    </x:row>
    <x:row r="510" ht="15" hidden="0">
      <x:c r="A510" s="83" t="s">
        <x:v>119</x:v>
      </x:c>
      <x:c r="B510" s="83" t="s">
        <x:v>1052</x:v>
      </x:c>
      <x:c r="C510" s="83" t="s">
        <x:v>433</x:v>
      </x:c>
      <x:c r="D510" s="83" t="s">
        <x:v>434</x:v>
      </x:c>
      <x:c r="E510" s="83" t="s">
        <x:v>435</x:v>
      </x:c>
      <x:c r="F510" s="83" t="s">
        <x:v>493</x:v>
      </x:c>
      <x:c r="G510" s="85" t="n">
        <x:v>46288</x:v>
      </x:c>
      <x:c r="H510" s="85" t="n">
        <x:v>46309</x:v>
      </x:c>
      <x:c r="I510" s="87" t="n">
        <x:v>65</x:v>
      </x:c>
      <x:c r="J510" s="83" t="s">
        <x:v>543</x:v>
      </x:c>
      <x:c r="K510" s="83"/>
      <x:c r="L510" s="83" t="s">
        <x:v>395</x:v>
      </x:c>
      <x:c r="M510" s="83" t="n">
        <x:v>47</x:v>
      </x:c>
      <x:c r="N510" s="83" t="n">
        <x:v>21</x:v>
      </x:c>
      <x:c r="O510" s="85" t="n">
        <x:v>46274</x:v>
      </x:c>
      <x:c r="P510" s="89" t="str">
        <x:f aca="0">A510&amp;TEXT(COUNTIF($A$6:A510,A510),"00")</x:f>
        <x:v>P08501</x:v>
      </x:c>
      <x:c r="Q510" s="89" t="str">
        <x:f aca="0">IF(I510&lt;100,A510&amp;"O"&amp;COUNTIFS($A$6:A510,A510,$I$6:I510,"&lt;100"),"")</x:f>
        <x:v>P085O1</x:v>
      </x:c>
      <x:c r="R510" s="89" t="str">
        <x:f aca="0">IF(I510&lt;100,D510&amp;"O"&amp;COUNTIFS($D$6:D510,D510,$I$6:I510,"&lt;100"),"")</x:f>
        <x:v>RahulO40</x:v>
      </x:c>
      <x:c r="S510" s="278" t="n">
        <x:f>IF(COUNTIF($B$6:$B$605,B510)&gt;1,1,0)</x:f>
        <x:v>0</x:v>
      </x:c>
    </x:row>
    <x:row r="511" ht="15" hidden="0">
      <x:c r="A511" s="83" t="s">
        <x:v>119</x:v>
      </x:c>
      <x:c r="B511" s="83" t="s">
        <x:v>1053</x:v>
      </x:c>
      <x:c r="C511" s="83" t="s">
        <x:v>440</x:v>
      </x:c>
      <x:c r="D511" s="83" t="s">
        <x:v>441</x:v>
      </x:c>
      <x:c r="E511" s="83" t="s">
        <x:v>442</x:v>
      </x:c>
      <x:c r="F511" s="83" t="s">
        <x:v>546</x:v>
      </x:c>
      <x:c r="G511" s="85" t="n">
        <x:v>46302</x:v>
      </x:c>
      <x:c r="H511" s="85" t="n">
        <x:v>46314</x:v>
      </x:c>
      <x:c r="I511" s="87" t="n">
        <x:v>65</x:v>
      </x:c>
      <x:c r="J511" s="83" t="s">
        <x:v>543</x:v>
      </x:c>
      <x:c r="K511" s="83" t="s">
        <x:v>396</x:v>
      </x:c>
      <x:c r="L511" s="83" t="s">
        <x:v>395</x:v>
      </x:c>
      <x:c r="M511" s="83" t="n">
        <x:v>33</x:v>
      </x:c>
      <x:c r="N511" s="83" t="n">
        <x:v>15</x:v>
      </x:c>
      <x:c r="O511" s="85" t="n">
        <x:v>46274</x:v>
      </x:c>
      <x:c r="P511" s="89" t="str">
        <x:f aca="0">A511&amp;TEXT(COUNTIF($A$6:A511,A511),"00")</x:f>
        <x:v>P08502</x:v>
      </x:c>
      <x:c r="Q511" s="89" t="str">
        <x:f aca="0">IF(I511&lt;100,A511&amp;"O"&amp;COUNTIFS($A$6:A511,A511,$I$6:I511,"&lt;100"),"")</x:f>
        <x:v>P085O2</x:v>
      </x:c>
      <x:c r="R511" s="89" t="str">
        <x:f aca="0">IF(I511&lt;100,D511&amp;"O"&amp;COUNTIFS($D$6:D511,D511,$I$6:I511,"&lt;100"),"")</x:f>
        <x:v>KaranO43</x:v>
      </x:c>
      <x:c r="S511" s="278" t="n">
        <x:f>IF(COUNTIF($B$6:$B$605,B511)&gt;1,1,0)</x:f>
        <x:v>0</x:v>
      </x:c>
    </x:row>
    <x:row r="512" ht="15" hidden="0">
      <x:c r="A512" s="83" t="s">
        <x:v>119</x:v>
      </x:c>
      <x:c r="B512" s="83" t="s">
        <x:v>1054</x:v>
      </x:c>
      <x:c r="C512" s="83" t="s">
        <x:v>444</x:v>
      </x:c>
      <x:c r="D512" s="83" t="s">
        <x:v>445</x:v>
      </x:c>
      <x:c r="E512" s="83" t="s">
        <x:v>446</x:v>
      </x:c>
      <x:c r="F512" s="83" t="s">
        <x:v>550</x:v>
      </x:c>
      <x:c r="G512" s="85" t="n">
        <x:v>46316</x:v>
      </x:c>
      <x:c r="H512" s="85" t="n">
        <x:v>46340</x:v>
      </x:c>
      <x:c r="I512" s="87" t="n">
        <x:v>64</x:v>
      </x:c>
      <x:c r="J512" s="83" t="s">
        <x:v>543</x:v>
      </x:c>
      <x:c r="K512" s="83"/>
      <x:c r="L512" s="83" t="s">
        <x:v>395</x:v>
      </x:c>
      <x:c r="M512" s="83" t="n">
        <x:v>57</x:v>
      </x:c>
      <x:c r="N512" s="83" t="n">
        <x:v>81</x:v>
      </x:c>
      <x:c r="O512" s="85" t="n">
        <x:v>46274</x:v>
      </x:c>
      <x:c r="P512" s="89" t="str">
        <x:f aca="0">A512&amp;TEXT(COUNTIF($A$6:A512,A512),"00")</x:f>
        <x:v>P08503</x:v>
      </x:c>
      <x:c r="Q512" s="89" t="str">
        <x:f aca="0">IF(I512&lt;100,A512&amp;"O"&amp;COUNTIFS($A$6:A512,A512,$I$6:I512,"&lt;100"),"")</x:f>
        <x:v>P085O3</x:v>
      </x:c>
      <x:c r="R512" s="89" t="str">
        <x:f aca="0">IF(I512&lt;100,D512&amp;"O"&amp;COUNTIFS($D$6:D512,D512,$I$6:I512,"&lt;100"),"")</x:f>
        <x:v>MeeraO43</x:v>
      </x:c>
      <x:c r="S512" s="278" t="n">
        <x:f>IF(COUNTIF($B$6:$B$605,B512)&gt;1,1,0)</x:f>
        <x:v>0</x:v>
      </x:c>
    </x:row>
    <x:row r="513" ht="15" hidden="0">
      <x:c r="A513" s="83" t="s">
        <x:v>119</x:v>
      </x:c>
      <x:c r="B513" s="83" t="s">
        <x:v>1055</x:v>
      </x:c>
      <x:c r="C513" s="83" t="s">
        <x:v>448</x:v>
      </x:c>
      <x:c r="D513" s="83" t="s">
        <x:v>435</x:v>
      </x:c>
      <x:c r="E513" s="83" t="s">
        <x:v>449</x:v>
      </x:c>
      <x:c r="F513" s="83" t="s">
        <x:v>493</x:v>
      </x:c>
      <x:c r="G513" s="85" t="n">
        <x:v>46330</x:v>
      </x:c>
      <x:c r="H513" s="85" t="n">
        <x:v>46342</x:v>
      </x:c>
      <x:c r="I513" s="87" t="n">
        <x:v>97</x:v>
      </x:c>
      <x:c r="J513" s="83" t="s">
        <x:v>543</x:v>
      </x:c>
      <x:c r="K513" s="83"/>
      <x:c r="L513" s="83" t="s">
        <x:v>412</x:v>
      </x:c>
      <x:c r="M513" s="83" t="n">
        <x:v>87</x:v>
      </x:c>
      <x:c r="N513" s="83" t="n">
        <x:v>88</x:v>
      </x:c>
      <x:c r="O513" s="85" t="n">
        <x:v>46274</x:v>
      </x:c>
      <x:c r="P513" s="89" t="str">
        <x:f aca="0">A513&amp;TEXT(COUNTIF($A$6:A513,A513),"00")</x:f>
        <x:v>P08504</x:v>
      </x:c>
      <x:c r="Q513" s="89" t="str">
        <x:f aca="0">IF(I513&lt;100,A513&amp;"O"&amp;COUNTIFS($A$6:A513,A513,$I$6:I513,"&lt;100"),"")</x:f>
        <x:v>P085O4</x:v>
      </x:c>
      <x:c r="R513" s="89" t="str">
        <x:f aca="0">IF(I513&lt;100,D513&amp;"O"&amp;COUNTIFS($D$6:D513,D513,$I$6:I513,"&lt;100"),"")</x:f>
        <x:v>VivekO43</x:v>
      </x:c>
      <x:c r="S513" s="278" t="n">
        <x:f>IF(COUNTIF($B$6:$B$605,B513)&gt;1,1,0)</x:f>
        <x:v>0</x:v>
      </x:c>
    </x:row>
    <x:row r="514" ht="15" hidden="0">
      <x:c r="A514" s="83" t="s">
        <x:v>119</x:v>
      </x:c>
      <x:c r="B514" s="83" t="s">
        <x:v>1056</x:v>
      </x:c>
      <x:c r="C514" s="83" t="s">
        <x:v>451</x:v>
      </x:c>
      <x:c r="D514" s="83" t="s">
        <x:v>442</x:v>
      </x:c>
      <x:c r="E514" s="83" t="s">
        <x:v>452</x:v>
      </x:c>
      <x:c r="F514" s="83" t="s">
        <x:v>557</x:v>
      </x:c>
      <x:c r="G514" s="85" t="n">
        <x:v>46344</x:v>
      </x:c>
      <x:c r="H514" s="85" t="n">
        <x:v>46360</x:v>
      </x:c>
      <x:c r="I514" s="87" t="n">
        <x:v>80</x:v>
      </x:c>
      <x:c r="J514" s="83" t="s">
        <x:v>543</x:v>
      </x:c>
      <x:c r="K514" s="83"/>
      <x:c r="L514" s="83" t="s">
        <x:v>412</x:v>
      </x:c>
      <x:c r="M514" s="83" t="n">
        <x:v>84</x:v>
      </x:c>
      <x:c r="N514" s="83" t="n">
        <x:v>44</x:v>
      </x:c>
      <x:c r="O514" s="85" t="n">
        <x:v>46274</x:v>
      </x:c>
      <x:c r="P514" s="89" t="str">
        <x:f aca="0">A514&amp;TEXT(COUNTIF($A$6:A514,A514),"00")</x:f>
        <x:v>P08505</x:v>
      </x:c>
      <x:c r="Q514" s="89" t="str">
        <x:f aca="0">IF(I514&lt;100,A514&amp;"O"&amp;COUNTIFS($A$6:A514,A514,$I$6:I514,"&lt;100"),"")</x:f>
        <x:v>P085O5</x:v>
      </x:c>
      <x:c r="R514" s="89" t="str">
        <x:f aca="0">IF(I514&lt;100,D514&amp;"O"&amp;COUNTIFS($D$6:D514,D514,$I$6:I514,"&lt;100"),"")</x:f>
        <x:v>RituO41</x:v>
      </x:c>
      <x:c r="S514" s="278" t="n">
        <x:f>IF(COUNTIF($B$6:$B$605,B514)&gt;1,1,0)</x:f>
        <x:v>0</x:v>
      </x:c>
    </x:row>
    <x:row r="515" ht="15" hidden="0">
      <x:c r="A515" s="83" t="s">
        <x:v>119</x:v>
      </x:c>
      <x:c r="B515" s="83" t="s">
        <x:v>1057</x:v>
      </x:c>
      <x:c r="C515" s="83" t="s">
        <x:v>454</x:v>
      </x:c>
      <x:c r="D515" s="83" t="s">
        <x:v>446</x:v>
      </x:c>
      <x:c r="E515" s="83" t="s">
        <x:v>455</x:v>
      </x:c>
      <x:c r="F515" s="83" t="s">
        <x:v>493</x:v>
      </x:c>
      <x:c r="G515" s="85" t="n">
        <x:v>46358</x:v>
      </x:c>
      <x:c r="H515" s="85" t="n">
        <x:v>46376</x:v>
      </x:c>
      <x:c r="I515" s="87" t="n">
        <x:v>63</x:v>
      </x:c>
      <x:c r="J515" s="83" t="s">
        <x:v>543</x:v>
      </x:c>
      <x:c r="K515" s="83"/>
      <x:c r="L515" s="83" t="s">
        <x:v>412</x:v>
      </x:c>
      <x:c r="M515" s="83" t="n">
        <x:v>26</x:v>
      </x:c>
      <x:c r="N515" s="83" t="n">
        <x:v>29</x:v>
      </x:c>
      <x:c r="O515" s="85" t="n">
        <x:v>46274</x:v>
      </x:c>
      <x:c r="P515" s="89" t="str">
        <x:f aca="0">A515&amp;TEXT(COUNTIF($A$6:A515,A515),"00")</x:f>
        <x:v>P08506</x:v>
      </x:c>
      <x:c r="Q515" s="89" t="str">
        <x:f aca="0">IF(I515&lt;100,A515&amp;"O"&amp;COUNTIFS($A$6:A515,A515,$I$6:I515,"&lt;100"),"")</x:f>
        <x:v>P085O6</x:v>
      </x:c>
      <x:c r="R515" s="89" t="str">
        <x:f aca="0">IF(I515&lt;100,D515&amp;"O"&amp;COUNTIFS($D$6:D515,D515,$I$6:I515,"&lt;100"),"")</x:f>
        <x:v>SanjayO42</x:v>
      </x:c>
      <x:c r="S515" s="278" t="n">
        <x:f>IF(COUNTIF($B$6:$B$605,B515)&gt;1,1,0)</x:f>
        <x:v>0</x:v>
      </x:c>
    </x:row>
    <x:row r="516" ht="15" hidden="0">
      <x:c r="A516" s="83" t="s">
        <x:v>139</x:v>
      </x:c>
      <x:c r="B516" s="83" t="s">
        <x:v>1058</x:v>
      </x:c>
      <x:c r="C516" s="83" t="s">
        <x:v>433</x:v>
      </x:c>
      <x:c r="D516" s="83" t="s">
        <x:v>441</x:v>
      </x:c>
      <x:c r="E516" s="83" t="s">
        <x:v>442</x:v>
      </x:c>
      <x:c r="F516" s="83" t="s">
        <x:v>550</x:v>
      </x:c>
      <x:c r="G516" s="85" t="n">
        <x:v>46289</x:v>
      </x:c>
      <x:c r="H516" s="85" t="n">
        <x:v>46306</x:v>
      </x:c>
      <x:c r="I516" s="87" t="n">
        <x:v>40</x:v>
      </x:c>
      <x:c r="J516" s="83" t="s">
        <x:v>543</x:v>
      </x:c>
      <x:c r="K516" s="83"/>
      <x:c r="L516" s="83" t="s">
        <x:v>395</x:v>
      </x:c>
      <x:c r="M516" s="83" t="n">
        <x:v>88</x:v>
      </x:c>
      <x:c r="N516" s="83" t="n">
        <x:v>26</x:v>
      </x:c>
      <x:c r="O516" s="85" t="n">
        <x:v>46274</x:v>
      </x:c>
      <x:c r="P516" s="89" t="str">
        <x:f aca="0">A516&amp;TEXT(COUNTIF($A$6:A516,A516),"00")</x:f>
        <x:v>P08601</x:v>
      </x:c>
      <x:c r="Q516" s="89" t="str">
        <x:f aca="0">IF(I516&lt;100,A516&amp;"O"&amp;COUNTIFS($A$6:A516,A516,$I$6:I516,"&lt;100"),"")</x:f>
        <x:v>P086O1</x:v>
      </x:c>
      <x:c r="R516" s="89" t="str">
        <x:f aca="0">IF(I516&lt;100,D516&amp;"O"&amp;COUNTIFS($D$6:D516,D516,$I$6:I516,"&lt;100"),"")</x:f>
        <x:v>KaranO44</x:v>
      </x:c>
      <x:c r="S516" s="278" t="n">
        <x:f>IF(COUNTIF($B$6:$B$605,B516)&gt;1,1,0)</x:f>
        <x:v>0</x:v>
      </x:c>
    </x:row>
    <x:row r="517" ht="15" hidden="0">
      <x:c r="A517" s="83" t="s">
        <x:v>139</x:v>
      </x:c>
      <x:c r="B517" s="83" t="s">
        <x:v>1059</x:v>
      </x:c>
      <x:c r="C517" s="83" t="s">
        <x:v>440</x:v>
      </x:c>
      <x:c r="D517" s="83" t="s">
        <x:v>445</x:v>
      </x:c>
      <x:c r="E517" s="83" t="s">
        <x:v>446</x:v>
      </x:c>
      <x:c r="F517" s="83" t="s">
        <x:v>550</x:v>
      </x:c>
      <x:c r="G517" s="85" t="n">
        <x:v>46303</x:v>
      </x:c>
      <x:c r="H517" s="85" t="n">
        <x:v>46325</x:v>
      </x:c>
      <x:c r="I517" s="87" t="n">
        <x:v>61</x:v>
      </x:c>
      <x:c r="J517" s="83" t="s">
        <x:v>543</x:v>
      </x:c>
      <x:c r="K517" s="83" t="s">
        <x:v>396</x:v>
      </x:c>
      <x:c r="L517" s="83" t="s">
        <x:v>395</x:v>
      </x:c>
      <x:c r="M517" s="83" t="n">
        <x:v>59</x:v>
      </x:c>
      <x:c r="N517" s="83" t="n">
        <x:v>72</x:v>
      </x:c>
      <x:c r="O517" s="85" t="n">
        <x:v>46274</x:v>
      </x:c>
      <x:c r="P517" s="89" t="str">
        <x:f aca="0">A517&amp;TEXT(COUNTIF($A$6:A517,A517),"00")</x:f>
        <x:v>P08602</x:v>
      </x:c>
      <x:c r="Q517" s="89" t="str">
        <x:f aca="0">IF(I517&lt;100,A517&amp;"O"&amp;COUNTIFS($A$6:A517,A517,$I$6:I517,"&lt;100"),"")</x:f>
        <x:v>P086O2</x:v>
      </x:c>
      <x:c r="R517" s="89" t="str">
        <x:f aca="0">IF(I517&lt;100,D517&amp;"O"&amp;COUNTIFS($D$6:D517,D517,$I$6:I517,"&lt;100"),"")</x:f>
        <x:v>MeeraO44</x:v>
      </x:c>
      <x:c r="S517" s="278" t="n">
        <x:f>IF(COUNTIF($B$6:$B$605,B517)&gt;1,1,0)</x:f>
        <x:v>0</x:v>
      </x:c>
    </x:row>
    <x:row r="518" ht="15" hidden="0">
      <x:c r="A518" s="83" t="s">
        <x:v>139</x:v>
      </x:c>
      <x:c r="B518" s="83" t="s">
        <x:v>1060</x:v>
      </x:c>
      <x:c r="C518" s="83" t="s">
        <x:v>444</x:v>
      </x:c>
      <x:c r="D518" s="83" t="s">
        <x:v>435</x:v>
      </x:c>
      <x:c r="E518" s="83" t="s">
        <x:v>449</x:v>
      </x:c>
      <x:c r="F518" s="83" t="s">
        <x:v>493</x:v>
      </x:c>
      <x:c r="G518" s="85" t="n">
        <x:v>46317</x:v>
      </x:c>
      <x:c r="H518" s="85" t="n">
        <x:v>46340</x:v>
      </x:c>
      <x:c r="I518" s="87" t="n">
        <x:v>30</x:v>
      </x:c>
      <x:c r="J518" s="83" t="s">
        <x:v>543</x:v>
      </x:c>
      <x:c r="K518" s="83" t="s">
        <x:v>396</x:v>
      </x:c>
      <x:c r="L518" s="83" t="s">
        <x:v>395</x:v>
      </x:c>
      <x:c r="M518" s="83" t="n">
        <x:v>87</x:v>
      </x:c>
      <x:c r="N518" s="83" t="n">
        <x:v>52</x:v>
      </x:c>
      <x:c r="O518" s="85" t="n">
        <x:v>46274</x:v>
      </x:c>
      <x:c r="P518" s="89" t="str">
        <x:f aca="0">A518&amp;TEXT(COUNTIF($A$6:A518,A518),"00")</x:f>
        <x:v>P08603</x:v>
      </x:c>
      <x:c r="Q518" s="89" t="str">
        <x:f aca="0">IF(I518&lt;100,A518&amp;"O"&amp;COUNTIFS($A$6:A518,A518,$I$6:I518,"&lt;100"),"")</x:f>
        <x:v>P086O3</x:v>
      </x:c>
      <x:c r="R518" s="89" t="str">
        <x:f aca="0">IF(I518&lt;100,D518&amp;"O"&amp;COUNTIFS($D$6:D518,D518,$I$6:I518,"&lt;100"),"")</x:f>
        <x:v>VivekO44</x:v>
      </x:c>
      <x:c r="S518" s="278" t="n">
        <x:f>IF(COUNTIF($B$6:$B$605,B518)&gt;1,1,0)</x:f>
        <x:v>0</x:v>
      </x:c>
    </x:row>
    <x:row r="519" ht="15" hidden="0">
      <x:c r="A519" s="83" t="s">
        <x:v>139</x:v>
      </x:c>
      <x:c r="B519" s="83" t="s">
        <x:v>1061</x:v>
      </x:c>
      <x:c r="C519" s="83" t="s">
        <x:v>448</x:v>
      </x:c>
      <x:c r="D519" s="83" t="s">
        <x:v>442</x:v>
      </x:c>
      <x:c r="E519" s="83" t="s">
        <x:v>452</x:v>
      </x:c>
      <x:c r="F519" s="83" t="s">
        <x:v>550</x:v>
      </x:c>
      <x:c r="G519" s="85" t="n">
        <x:v>46331</x:v>
      </x:c>
      <x:c r="H519" s="85" t="n">
        <x:v>46351</x:v>
      </x:c>
      <x:c r="I519" s="87" t="n">
        <x:v>53</x:v>
      </x:c>
      <x:c r="J519" s="83" t="s">
        <x:v>543</x:v>
      </x:c>
      <x:c r="K519" s="83" t="s">
        <x:v>396</x:v>
      </x:c>
      <x:c r="L519" s="83" t="s">
        <x:v>395</x:v>
      </x:c>
      <x:c r="M519" s="83" t="n">
        <x:v>44</x:v>
      </x:c>
      <x:c r="N519" s="83" t="n">
        <x:v>35</x:v>
      </x:c>
      <x:c r="O519" s="85" t="n">
        <x:v>46274</x:v>
      </x:c>
      <x:c r="P519" s="89" t="str">
        <x:f aca="0">A519&amp;TEXT(COUNTIF($A$6:A519,A519),"00")</x:f>
        <x:v>P08604</x:v>
      </x:c>
      <x:c r="Q519" s="89" t="str">
        <x:f aca="0">IF(I519&lt;100,A519&amp;"O"&amp;COUNTIFS($A$6:A519,A519,$I$6:I519,"&lt;100"),"")</x:f>
        <x:v>P086O4</x:v>
      </x:c>
      <x:c r="R519" s="89" t="str">
        <x:f aca="0">IF(I519&lt;100,D519&amp;"O"&amp;COUNTIFS($D$6:D519,D519,$I$6:I519,"&lt;100"),"")</x:f>
        <x:v>RituO42</x:v>
      </x:c>
      <x:c r="S519" s="278" t="n">
        <x:f>IF(COUNTIF($B$6:$B$605,B519)&gt;1,1,0)</x:f>
        <x:v>0</x:v>
      </x:c>
    </x:row>
    <x:row r="520" ht="15" hidden="0">
      <x:c r="A520" s="83" t="s">
        <x:v>139</x:v>
      </x:c>
      <x:c r="B520" s="83" t="s">
        <x:v>1062</x:v>
      </x:c>
      <x:c r="C520" s="83" t="s">
        <x:v>451</x:v>
      </x:c>
      <x:c r="D520" s="83" t="s">
        <x:v>446</x:v>
      </x:c>
      <x:c r="E520" s="83" t="s">
        <x:v>455</x:v>
      </x:c>
      <x:c r="F520" s="83" t="s">
        <x:v>557</x:v>
      </x:c>
      <x:c r="G520" s="85" t="n">
        <x:v>46345</x:v>
      </x:c>
      <x:c r="H520" s="85" t="n">
        <x:v>46360</x:v>
      </x:c>
      <x:c r="I520" s="87" t="n">
        <x:v>40</x:v>
      </x:c>
      <x:c r="J520" s="83" t="s">
        <x:v>586</x:v>
      </x:c>
      <x:c r="K520" s="83" t="s">
        <x:v>413</x:v>
      </x:c>
      <x:c r="L520" s="83" t="s">
        <x:v>412</x:v>
      </x:c>
      <x:c r="M520" s="83" t="n">
        <x:v>99</x:v>
      </x:c>
      <x:c r="N520" s="83" t="n">
        <x:v>81</x:v>
      </x:c>
      <x:c r="O520" s="85" t="n">
        <x:v>46274</x:v>
      </x:c>
      <x:c r="P520" s="89" t="str">
        <x:f aca="0">A520&amp;TEXT(COUNTIF($A$6:A520,A520),"00")</x:f>
        <x:v>P08605</x:v>
      </x:c>
      <x:c r="Q520" s="89" t="str">
        <x:f aca="0">IF(I520&lt;100,A520&amp;"O"&amp;COUNTIFS($A$6:A520,A520,$I$6:I520,"&lt;100"),"")</x:f>
        <x:v>P086O5</x:v>
      </x:c>
      <x:c r="R520" s="89" t="str">
        <x:f aca="0">IF(I520&lt;100,D520&amp;"O"&amp;COUNTIFS($D$6:D520,D520,$I$6:I520,"&lt;100"),"")</x:f>
        <x:v>SanjayO43</x:v>
      </x:c>
      <x:c r="S520" s="278" t="n">
        <x:f>IF(COUNTIF($B$6:$B$605,B520)&gt;1,1,0)</x:f>
        <x:v>0</x:v>
      </x:c>
    </x:row>
    <x:row r="521" ht="15" hidden="0">
      <x:c r="A521" s="83" t="s">
        <x:v>139</x:v>
      </x:c>
      <x:c r="B521" s="83" t="s">
        <x:v>1063</x:v>
      </x:c>
      <x:c r="C521" s="83" t="s">
        <x:v>454</x:v>
      </x:c>
      <x:c r="D521" s="83" t="s">
        <x:v>449</x:v>
      </x:c>
      <x:c r="E521" s="83" t="s">
        <x:v>462</x:v>
      </x:c>
      <x:c r="F521" s="83" t="s">
        <x:v>550</x:v>
      </x:c>
      <x:c r="G521" s="85" t="n">
        <x:v>46359</x:v>
      </x:c>
      <x:c r="H521" s="85" t="n">
        <x:v>46382</x:v>
      </x:c>
      <x:c r="I521" s="87" t="n">
        <x:v>59</x:v>
      </x:c>
      <x:c r="J521" s="83" t="s">
        <x:v>543</x:v>
      </x:c>
      <x:c r="K521" s="83"/>
      <x:c r="L521" s="83" t="s">
        <x:v>395</x:v>
      </x:c>
      <x:c r="M521" s="83" t="n">
        <x:v>67</x:v>
      </x:c>
      <x:c r="N521" s="83" t="n">
        <x:v>104</x:v>
      </x:c>
      <x:c r="O521" s="85" t="n">
        <x:v>46274</x:v>
      </x:c>
      <x:c r="P521" s="89" t="str">
        <x:f aca="0">A521&amp;TEXT(COUNTIF($A$6:A521,A521),"00")</x:f>
        <x:v>P08606</x:v>
      </x:c>
      <x:c r="Q521" s="89" t="str">
        <x:f aca="0">IF(I521&lt;100,A521&amp;"O"&amp;COUNTIFS($A$6:A521,A521,$I$6:I521,"&lt;100"),"")</x:f>
        <x:v>P086O6</x:v>
      </x:c>
      <x:c r="R521" s="89" t="str">
        <x:f aca="0">IF(I521&lt;100,D521&amp;"O"&amp;COUNTIFS($D$6:D521,D521,$I$6:I521,"&lt;100"),"")</x:f>
        <x:v>AnilO41</x:v>
      </x:c>
      <x:c r="S521" s="278" t="n">
        <x:f>IF(COUNTIF($B$6:$B$605,B521)&gt;1,1,0)</x:f>
        <x:v>0</x:v>
      </x:c>
    </x:row>
    <x:row r="522" ht="15" hidden="0">
      <x:c r="A522" s="83" t="s">
        <x:v>141</x:v>
      </x:c>
      <x:c r="B522" s="83" t="s">
        <x:v>1064</x:v>
      </x:c>
      <x:c r="C522" s="83" t="s">
        <x:v>433</x:v>
      </x:c>
      <x:c r="D522" s="83" t="s">
        <x:v>445</x:v>
      </x:c>
      <x:c r="E522" s="83" t="s">
        <x:v>446</x:v>
      </x:c>
      <x:c r="F522" s="83" t="s">
        <x:v>493</x:v>
      </x:c>
      <x:c r="G522" s="85" t="n">
        <x:v>46290</x:v>
      </x:c>
      <x:c r="H522" s="85" t="n">
        <x:v>46307</x:v>
      </x:c>
      <x:c r="I522" s="87" t="n">
        <x:v>63</x:v>
      </x:c>
      <x:c r="J522" s="83" t="s">
        <x:v>543</x:v>
      </x:c>
      <x:c r="K522" s="83"/>
      <x:c r="L522" s="83" t="s">
        <x:v>395</x:v>
      </x:c>
      <x:c r="M522" s="83" t="n">
        <x:v>24</x:v>
      </x:c>
      <x:c r="N522" s="83" t="n">
        <x:v>59</x:v>
      </x:c>
      <x:c r="O522" s="85" t="n">
        <x:v>46274</x:v>
      </x:c>
      <x:c r="P522" s="89" t="str">
        <x:f aca="0">A522&amp;TEXT(COUNTIF($A$6:A522,A522),"00")</x:f>
        <x:v>P08701</x:v>
      </x:c>
      <x:c r="Q522" s="89" t="str">
        <x:f aca="0">IF(I522&lt;100,A522&amp;"O"&amp;COUNTIFS($A$6:A522,A522,$I$6:I522,"&lt;100"),"")</x:f>
        <x:v>P087O1</x:v>
      </x:c>
      <x:c r="R522" s="89" t="str">
        <x:f aca="0">IF(I522&lt;100,D522&amp;"O"&amp;COUNTIFS($D$6:D522,D522,$I$6:I522,"&lt;100"),"")</x:f>
        <x:v>MeeraO45</x:v>
      </x:c>
      <x:c r="S522" s="278" t="n">
        <x:f>IF(COUNTIF($B$6:$B$605,B522)&gt;1,1,0)</x:f>
        <x:v>0</x:v>
      </x:c>
    </x:row>
    <x:row r="523" ht="15" hidden="0">
      <x:c r="A523" s="83" t="s">
        <x:v>141</x:v>
      </x:c>
      <x:c r="B523" s="83" t="s">
        <x:v>1065</x:v>
      </x:c>
      <x:c r="C523" s="83" t="s">
        <x:v>440</x:v>
      </x:c>
      <x:c r="D523" s="83" t="s">
        <x:v>435</x:v>
      </x:c>
      <x:c r="E523" s="83" t="s">
        <x:v>449</x:v>
      </x:c>
      <x:c r="F523" s="83" t="s">
        <x:v>557</x:v>
      </x:c>
      <x:c r="G523" s="85" t="n">
        <x:v>46304</x:v>
      </x:c>
      <x:c r="H523" s="85" t="n">
        <x:v>46316</x:v>
      </x:c>
      <x:c r="I523" s="87" t="n">
        <x:v>87</x:v>
      </x:c>
      <x:c r="J523" s="83" t="s">
        <x:v>543</x:v>
      </x:c>
      <x:c r="K523" s="83"/>
      <x:c r="L523" s="83" t="s">
        <x:v>395</x:v>
      </x:c>
      <x:c r="M523" s="83" t="n">
        <x:v>55</x:v>
      </x:c>
      <x:c r="N523" s="83" t="n">
        <x:v>15</x:v>
      </x:c>
      <x:c r="O523" s="85" t="n">
        <x:v>46274</x:v>
      </x:c>
      <x:c r="P523" s="89" t="str">
        <x:f aca="0">A523&amp;TEXT(COUNTIF($A$6:A523,A523),"00")</x:f>
        <x:v>P08702</x:v>
      </x:c>
      <x:c r="Q523" s="89" t="str">
        <x:f aca="0">IF(I523&lt;100,A523&amp;"O"&amp;COUNTIFS($A$6:A523,A523,$I$6:I523,"&lt;100"),"")</x:f>
        <x:v>P087O2</x:v>
      </x:c>
      <x:c r="R523" s="89" t="str">
        <x:f aca="0">IF(I523&lt;100,D523&amp;"O"&amp;COUNTIFS($D$6:D523,D523,$I$6:I523,"&lt;100"),"")</x:f>
        <x:v>VivekO45</x:v>
      </x:c>
      <x:c r="S523" s="278" t="n">
        <x:f>IF(COUNTIF($B$6:$B$605,B523)&gt;1,1,0)</x:f>
        <x:v>0</x:v>
      </x:c>
    </x:row>
    <x:row r="524" ht="15" hidden="0">
      <x:c r="A524" s="83" t="s">
        <x:v>141</x:v>
      </x:c>
      <x:c r="B524" s="83" t="s">
        <x:v>1066</x:v>
      </x:c>
      <x:c r="C524" s="83" t="s">
        <x:v>444</x:v>
      </x:c>
      <x:c r="D524" s="83" t="s">
        <x:v>442</x:v>
      </x:c>
      <x:c r="E524" s="83" t="s">
        <x:v>452</x:v>
      </x:c>
      <x:c r="F524" s="83" t="s">
        <x:v>546</x:v>
      </x:c>
      <x:c r="G524" s="85" t="n">
        <x:v>46318</x:v>
      </x:c>
      <x:c r="H524" s="85" t="n">
        <x:v>46339</x:v>
      </x:c>
      <x:c r="I524" s="87" t="n">
        <x:v>61</x:v>
      </x:c>
      <x:c r="J524" s="83" t="s">
        <x:v>543</x:v>
      </x:c>
      <x:c r="K524" s="83"/>
      <x:c r="L524" s="83" t="s">
        <x:v>395</x:v>
      </x:c>
      <x:c r="M524" s="83" t="n">
        <x:v>50</x:v>
      </x:c>
      <x:c r="N524" s="83" t="n">
        <x:v>105</x:v>
      </x:c>
      <x:c r="O524" s="85" t="n">
        <x:v>46274</x:v>
      </x:c>
      <x:c r="P524" s="89" t="str">
        <x:f aca="0">A524&amp;TEXT(COUNTIF($A$6:A524,A524),"00")</x:f>
        <x:v>P08703</x:v>
      </x:c>
      <x:c r="Q524" s="89" t="str">
        <x:f aca="0">IF(I524&lt;100,A524&amp;"O"&amp;COUNTIFS($A$6:A524,A524,$I$6:I524,"&lt;100"),"")</x:f>
        <x:v>P087O3</x:v>
      </x:c>
      <x:c r="R524" s="89" t="str">
        <x:f aca="0">IF(I524&lt;100,D524&amp;"O"&amp;COUNTIFS($D$6:D524,D524,$I$6:I524,"&lt;100"),"")</x:f>
        <x:v>RituO43</x:v>
      </x:c>
      <x:c r="S524" s="278" t="n">
        <x:f>IF(COUNTIF($B$6:$B$605,B524)&gt;1,1,0)</x:f>
        <x:v>0</x:v>
      </x:c>
    </x:row>
    <x:row r="525" ht="15" hidden="0">
      <x:c r="A525" s="83" t="s">
        <x:v>141</x:v>
      </x:c>
      <x:c r="B525" s="83" t="s">
        <x:v>1067</x:v>
      </x:c>
      <x:c r="C525" s="83" t="s">
        <x:v>448</x:v>
      </x:c>
      <x:c r="D525" s="83" t="s">
        <x:v>446</x:v>
      </x:c>
      <x:c r="E525" s="83" t="s">
        <x:v>455</x:v>
      </x:c>
      <x:c r="F525" s="83" t="s">
        <x:v>493</x:v>
      </x:c>
      <x:c r="G525" s="85" t="n">
        <x:v>46332</x:v>
      </x:c>
      <x:c r="H525" s="85" t="n">
        <x:v>46341</x:v>
      </x:c>
      <x:c r="I525" s="87" t="n">
        <x:v>56</x:v>
      </x:c>
      <x:c r="J525" s="83" t="s">
        <x:v>543</x:v>
      </x:c>
      <x:c r="K525" s="83"/>
      <x:c r="L525" s="83" t="s">
        <x:v>395</x:v>
      </x:c>
      <x:c r="M525" s="83" t="n">
        <x:v>72</x:v>
      </x:c>
      <x:c r="N525" s="83" t="n">
        <x:v>49</x:v>
      </x:c>
      <x:c r="O525" s="85" t="n">
        <x:v>46274</x:v>
      </x:c>
      <x:c r="P525" s="89" t="str">
        <x:f aca="0">A525&amp;TEXT(COUNTIF($A$6:A525,A525),"00")</x:f>
        <x:v>P08704</x:v>
      </x:c>
      <x:c r="Q525" s="89" t="str">
        <x:f aca="0">IF(I525&lt;100,A525&amp;"O"&amp;COUNTIFS($A$6:A525,A525,$I$6:I525,"&lt;100"),"")</x:f>
        <x:v>P087O4</x:v>
      </x:c>
      <x:c r="R525" s="89" t="str">
        <x:f aca="0">IF(I525&lt;100,D525&amp;"O"&amp;COUNTIFS($D$6:D525,D525,$I$6:I525,"&lt;100"),"")</x:f>
        <x:v>SanjayO44</x:v>
      </x:c>
      <x:c r="S525" s="278" t="n">
        <x:f>IF(COUNTIF($B$6:$B$605,B525)&gt;1,1,0)</x:f>
        <x:v>0</x:v>
      </x:c>
    </x:row>
    <x:row r="526" ht="15" hidden="0">
      <x:c r="A526" s="83" t="s">
        <x:v>141</x:v>
      </x:c>
      <x:c r="B526" s="83" t="s">
        <x:v>1068</x:v>
      </x:c>
      <x:c r="C526" s="83" t="s">
        <x:v>451</x:v>
      </x:c>
      <x:c r="D526" s="83" t="s">
        <x:v>449</x:v>
      </x:c>
      <x:c r="E526" s="83" t="s">
        <x:v>462</x:v>
      </x:c>
      <x:c r="F526" s="83" t="s">
        <x:v>557</x:v>
      </x:c>
      <x:c r="G526" s="85" t="n">
        <x:v>46346</x:v>
      </x:c>
      <x:c r="H526" s="85" t="n">
        <x:v>46359</x:v>
      </x:c>
      <x:c r="I526" s="87" t="n">
        <x:v>69</x:v>
      </x:c>
      <x:c r="J526" s="83" t="s">
        <x:v>543</x:v>
      </x:c>
      <x:c r="K526" s="83"/>
      <x:c r="L526" s="83" t="s">
        <x:v>395</x:v>
      </x:c>
      <x:c r="M526" s="83" t="n">
        <x:v>84</x:v>
      </x:c>
      <x:c r="N526" s="83" t="n">
        <x:v>17</x:v>
      </x:c>
      <x:c r="O526" s="85" t="n">
        <x:v>46274</x:v>
      </x:c>
      <x:c r="P526" s="89" t="str">
        <x:f aca="0">A526&amp;TEXT(COUNTIF($A$6:A526,A526),"00")</x:f>
        <x:v>P08705</x:v>
      </x:c>
      <x:c r="Q526" s="89" t="str">
        <x:f aca="0">IF(I526&lt;100,A526&amp;"O"&amp;COUNTIFS($A$6:A526,A526,$I$6:I526,"&lt;100"),"")</x:f>
        <x:v>P087O5</x:v>
      </x:c>
      <x:c r="R526" s="89" t="str">
        <x:f aca="0">IF(I526&lt;100,D526&amp;"O"&amp;COUNTIFS($D$6:D526,D526,$I$6:I526,"&lt;100"),"")</x:f>
        <x:v>AnilO42</x:v>
      </x:c>
      <x:c r="S526" s="278" t="n">
        <x:f>IF(COUNTIF($B$6:$B$605,B526)&gt;1,1,0)</x:f>
        <x:v>0</x:v>
      </x:c>
    </x:row>
    <x:row r="527" ht="15" hidden="0">
      <x:c r="A527" s="83" t="s">
        <x:v>141</x:v>
      </x:c>
      <x:c r="B527" s="83" t="s">
        <x:v>1069</x:v>
      </x:c>
      <x:c r="C527" s="83" t="s">
        <x:v>454</x:v>
      </x:c>
      <x:c r="D527" s="83" t="s">
        <x:v>452</x:v>
      </x:c>
      <x:c r="E527" s="83" t="s">
        <x:v>360</x:v>
      </x:c>
      <x:c r="F527" s="83" t="s">
        <x:v>550</x:v>
      </x:c>
      <x:c r="G527" s="85" t="n">
        <x:v>46360</x:v>
      </x:c>
      <x:c r="H527" s="85" t="n">
        <x:v>46375</x:v>
      </x:c>
      <x:c r="I527" s="87" t="n">
        <x:v>90</x:v>
      </x:c>
      <x:c r="J527" s="83" t="s">
        <x:v>543</x:v>
      </x:c>
      <x:c r="K527" s="83"/>
      <x:c r="L527" s="83" t="s">
        <x:v>395</x:v>
      </x:c>
      <x:c r="M527" s="83" t="n">
        <x:v>45</x:v>
      </x:c>
      <x:c r="N527" s="83" t="n">
        <x:v>20</x:v>
      </x:c>
      <x:c r="O527" s="85" t="n">
        <x:v>46274</x:v>
      </x:c>
      <x:c r="P527" s="89" t="str">
        <x:f aca="0">A527&amp;TEXT(COUNTIF($A$6:A527,A527),"00")</x:f>
        <x:v>P08706</x:v>
      </x:c>
      <x:c r="Q527" s="89" t="str">
        <x:f aca="0">IF(I527&lt;100,A527&amp;"O"&amp;COUNTIFS($A$6:A527,A527,$I$6:I527,"&lt;100"),"")</x:f>
        <x:v>P087O6</x:v>
      </x:c>
      <x:c r="R527" s="89" t="str">
        <x:f aca="0">IF(I527&lt;100,D527&amp;"O"&amp;COUNTIFS($D$6:D527,D527,$I$6:I527,"&lt;100"),"")</x:f>
        <x:v>KavyaO41</x:v>
      </x:c>
      <x:c r="S527" s="278" t="n">
        <x:f>IF(COUNTIF($B$6:$B$605,B527)&gt;1,1,0)</x:f>
        <x:v>0</x:v>
      </x:c>
    </x:row>
    <x:row r="528" ht="15" hidden="0">
      <x:c r="A528" s="83" t="s">
        <x:v>109</x:v>
      </x:c>
      <x:c r="B528" s="83" t="s">
        <x:v>1070</x:v>
      </x:c>
      <x:c r="C528" s="83" t="s">
        <x:v>433</x:v>
      </x:c>
      <x:c r="D528" s="83" t="s">
        <x:v>435</x:v>
      </x:c>
      <x:c r="E528" s="83" t="s">
        <x:v>449</x:v>
      </x:c>
      <x:c r="F528" s="83" t="s">
        <x:v>550</x:v>
      </x:c>
      <x:c r="G528" s="85" t="n">
        <x:v>46291</x:v>
      </x:c>
      <x:c r="H528" s="85" t="n">
        <x:v>46308</x:v>
      </x:c>
      <x:c r="I528" s="87" t="n">
        <x:v>75</x:v>
      </x:c>
      <x:c r="J528" s="83" t="s">
        <x:v>543</x:v>
      </x:c>
      <x:c r="K528" s="83"/>
      <x:c r="L528" s="83" t="s">
        <x:v>395</x:v>
      </x:c>
      <x:c r="M528" s="83" t="n">
        <x:v>67</x:v>
      </x:c>
      <x:c r="N528" s="83" t="n">
        <x:v>73</x:v>
      </x:c>
      <x:c r="O528" s="85" t="n">
        <x:v>46274</x:v>
      </x:c>
      <x:c r="P528" s="89" t="str">
        <x:f aca="0">A528&amp;TEXT(COUNTIF($A$6:A528,A528),"00")</x:f>
        <x:v>P08801</x:v>
      </x:c>
      <x:c r="Q528" s="89" t="str">
        <x:f aca="0">IF(I528&lt;100,A528&amp;"O"&amp;COUNTIFS($A$6:A528,A528,$I$6:I528,"&lt;100"),"")</x:f>
        <x:v>P088O1</x:v>
      </x:c>
      <x:c r="R528" s="89" t="str">
        <x:f aca="0">IF(I528&lt;100,D528&amp;"O"&amp;COUNTIFS($D$6:D528,D528,$I$6:I528,"&lt;100"),"")</x:f>
        <x:v>VivekO46</x:v>
      </x:c>
      <x:c r="S528" s="278" t="n">
        <x:f>IF(COUNTIF($B$6:$B$605,B528)&gt;1,1,0)</x:f>
        <x:v>0</x:v>
      </x:c>
    </x:row>
    <x:row r="529" ht="15" hidden="0">
      <x:c r="A529" s="83" t="s">
        <x:v>109</x:v>
      </x:c>
      <x:c r="B529" s="83" t="s">
        <x:v>1071</x:v>
      </x:c>
      <x:c r="C529" s="83" t="s">
        <x:v>440</x:v>
      </x:c>
      <x:c r="D529" s="83" t="s">
        <x:v>442</x:v>
      </x:c>
      <x:c r="E529" s="83" t="s">
        <x:v>452</x:v>
      </x:c>
      <x:c r="F529" s="83" t="s">
        <x:v>493</x:v>
      </x:c>
      <x:c r="G529" s="85" t="n">
        <x:v>46305</x:v>
      </x:c>
      <x:c r="H529" s="85" t="n">
        <x:v>46321</x:v>
      </x:c>
      <x:c r="I529" s="87" t="n">
        <x:v>67</x:v>
      </x:c>
      <x:c r="J529" s="83" t="s">
        <x:v>543</x:v>
      </x:c>
      <x:c r="K529" s="83"/>
      <x:c r="L529" s="83" t="s">
        <x:v>395</x:v>
      </x:c>
      <x:c r="M529" s="83" t="n">
        <x:v>54</x:v>
      </x:c>
      <x:c r="N529" s="83" t="n">
        <x:v>30</x:v>
      </x:c>
      <x:c r="O529" s="85" t="n">
        <x:v>46274</x:v>
      </x:c>
      <x:c r="P529" s="89" t="str">
        <x:f aca="0">A529&amp;TEXT(COUNTIF($A$6:A529,A529),"00")</x:f>
        <x:v>P08802</x:v>
      </x:c>
      <x:c r="Q529" s="89" t="str">
        <x:f aca="0">IF(I529&lt;100,A529&amp;"O"&amp;COUNTIFS($A$6:A529,A529,$I$6:I529,"&lt;100"),"")</x:f>
        <x:v>P088O2</x:v>
      </x:c>
      <x:c r="R529" s="89" t="str">
        <x:f aca="0">IF(I529&lt;100,D529&amp;"O"&amp;COUNTIFS($D$6:D529,D529,$I$6:I529,"&lt;100"),"")</x:f>
        <x:v>RituO44</x:v>
      </x:c>
      <x:c r="S529" s="278" t="n">
        <x:f>IF(COUNTIF($B$6:$B$605,B529)&gt;1,1,0)</x:f>
        <x:v>0</x:v>
      </x:c>
    </x:row>
    <x:row r="530" ht="15" hidden="0">
      <x:c r="A530" s="83" t="s">
        <x:v>109</x:v>
      </x:c>
      <x:c r="B530" s="83" t="s">
        <x:v>1072</x:v>
      </x:c>
      <x:c r="C530" s="83" t="s">
        <x:v>444</x:v>
      </x:c>
      <x:c r="D530" s="83" t="s">
        <x:v>446</x:v>
      </x:c>
      <x:c r="E530" s="83" t="s">
        <x:v>455</x:v>
      </x:c>
      <x:c r="F530" s="83" t="s">
        <x:v>493</x:v>
      </x:c>
      <x:c r="G530" s="85" t="n">
        <x:v>46319</x:v>
      </x:c>
      <x:c r="H530" s="85" t="n">
        <x:v>46338</x:v>
      </x:c>
      <x:c r="I530" s="87" t="n">
        <x:v>85</x:v>
      </x:c>
      <x:c r="J530" s="83" t="s">
        <x:v>543</x:v>
      </x:c>
      <x:c r="K530" s="83"/>
      <x:c r="L530" s="83" t="s">
        <x:v>395</x:v>
      </x:c>
      <x:c r="M530" s="83" t="n">
        <x:v>54</x:v>
      </x:c>
      <x:c r="N530" s="83" t="n">
        <x:v>72</x:v>
      </x:c>
      <x:c r="O530" s="85" t="n">
        <x:v>46274</x:v>
      </x:c>
      <x:c r="P530" s="89" t="str">
        <x:f aca="0">A530&amp;TEXT(COUNTIF($A$6:A530,A530),"00")</x:f>
        <x:v>P08803</x:v>
      </x:c>
      <x:c r="Q530" s="89" t="str">
        <x:f aca="0">IF(I530&lt;100,A530&amp;"O"&amp;COUNTIFS($A$6:A530,A530,$I$6:I530,"&lt;100"),"")</x:f>
        <x:v>P088O3</x:v>
      </x:c>
      <x:c r="R530" s="89" t="str">
        <x:f aca="0">IF(I530&lt;100,D530&amp;"O"&amp;COUNTIFS($D$6:D530,D530,$I$6:I530,"&lt;100"),"")</x:f>
        <x:v>SanjayO45</x:v>
      </x:c>
      <x:c r="S530" s="278" t="n">
        <x:f>IF(COUNTIF($B$6:$B$605,B530)&gt;1,1,0)</x:f>
        <x:v>0</x:v>
      </x:c>
    </x:row>
    <x:row r="531" ht="15" hidden="0">
      <x:c r="A531" s="83" t="s">
        <x:v>109</x:v>
      </x:c>
      <x:c r="B531" s="83" t="s">
        <x:v>1073</x:v>
      </x:c>
      <x:c r="C531" s="83" t="s">
        <x:v>448</x:v>
      </x:c>
      <x:c r="D531" s="83" t="s">
        <x:v>449</x:v>
      </x:c>
      <x:c r="E531" s="83" t="s">
        <x:v>462</x:v>
      </x:c>
      <x:c r="F531" s="83" t="s">
        <x:v>493</x:v>
      </x:c>
      <x:c r="G531" s="85" t="n">
        <x:v>46333</x:v>
      </x:c>
      <x:c r="H531" s="85" t="n">
        <x:v>46356</x:v>
      </x:c>
      <x:c r="I531" s="87" t="n">
        <x:v>65</x:v>
      </x:c>
      <x:c r="J531" s="83" t="s">
        <x:v>543</x:v>
      </x:c>
      <x:c r="K531" s="83"/>
      <x:c r="L531" s="83" t="s">
        <x:v>412</x:v>
      </x:c>
      <x:c r="M531" s="83" t="n">
        <x:v>52</x:v>
      </x:c>
      <x:c r="N531" s="83" t="n">
        <x:v>23</x:v>
      </x:c>
      <x:c r="O531" s="85" t="n">
        <x:v>46274</x:v>
      </x:c>
      <x:c r="P531" s="89" t="str">
        <x:f aca="0">A531&amp;TEXT(COUNTIF($A$6:A531,A531),"00")</x:f>
        <x:v>P08804</x:v>
      </x:c>
      <x:c r="Q531" s="89" t="str">
        <x:f aca="0">IF(I531&lt;100,A531&amp;"O"&amp;COUNTIFS($A$6:A531,A531,$I$6:I531,"&lt;100"),"")</x:f>
        <x:v>P088O4</x:v>
      </x:c>
      <x:c r="R531" s="89" t="str">
        <x:f aca="0">IF(I531&lt;100,D531&amp;"O"&amp;COUNTIFS($D$6:D531,D531,$I$6:I531,"&lt;100"),"")</x:f>
        <x:v>AnilO43</x:v>
      </x:c>
      <x:c r="S531" s="278" t="n">
        <x:f>IF(COUNTIF($B$6:$B$605,B531)&gt;1,1,0)</x:f>
        <x:v>0</x:v>
      </x:c>
    </x:row>
    <x:row r="532" ht="15" hidden="0">
      <x:c r="A532" s="83" t="s">
        <x:v>109</x:v>
      </x:c>
      <x:c r="B532" s="83" t="s">
        <x:v>1074</x:v>
      </x:c>
      <x:c r="C532" s="83" t="s">
        <x:v>451</x:v>
      </x:c>
      <x:c r="D532" s="83" t="s">
        <x:v>452</x:v>
      </x:c>
      <x:c r="E532" s="83" t="s">
        <x:v>360</x:v>
      </x:c>
      <x:c r="F532" s="83" t="s">
        <x:v>546</x:v>
      </x:c>
      <x:c r="G532" s="85" t="n">
        <x:v>46347</x:v>
      </x:c>
      <x:c r="H532" s="85" t="n">
        <x:v>46361</x:v>
      </x:c>
      <x:c r="I532" s="87" t="n">
        <x:v>74</x:v>
      </x:c>
      <x:c r="J532" s="83" t="s">
        <x:v>543</x:v>
      </x:c>
      <x:c r="K532" s="83"/>
      <x:c r="L532" s="83" t="s">
        <x:v>412</x:v>
      </x:c>
      <x:c r="M532" s="83" t="n">
        <x:v>89</x:v>
      </x:c>
      <x:c r="N532" s="83" t="n">
        <x:v>50</x:v>
      </x:c>
      <x:c r="O532" s="85" t="n">
        <x:v>46274</x:v>
      </x:c>
      <x:c r="P532" s="89" t="str">
        <x:f aca="0">A532&amp;TEXT(COUNTIF($A$6:A532,A532),"00")</x:f>
        <x:v>P08805</x:v>
      </x:c>
      <x:c r="Q532" s="89" t="str">
        <x:f aca="0">IF(I532&lt;100,A532&amp;"O"&amp;COUNTIFS($A$6:A532,A532,$I$6:I532,"&lt;100"),"")</x:f>
        <x:v>P088O5</x:v>
      </x:c>
      <x:c r="R532" s="89" t="str">
        <x:f aca="0">IF(I532&lt;100,D532&amp;"O"&amp;COUNTIFS($D$6:D532,D532,$I$6:I532,"&lt;100"),"")</x:f>
        <x:v>KavyaO42</x:v>
      </x:c>
      <x:c r="S532" s="278" t="n">
        <x:f>IF(COUNTIF($B$6:$B$605,B532)&gt;1,1,0)</x:f>
        <x:v>0</x:v>
      </x:c>
    </x:row>
    <x:row r="533" ht="15" hidden="0">
      <x:c r="A533" s="83" t="s">
        <x:v>109</x:v>
      </x:c>
      <x:c r="B533" s="83" t="s">
        <x:v>1075</x:v>
      </x:c>
      <x:c r="C533" s="83" t="s">
        <x:v>454</x:v>
      </x:c>
      <x:c r="D533" s="83" t="s">
        <x:v>455</x:v>
      </x:c>
      <x:c r="E533" s="83" t="s">
        <x:v>475</x:v>
      </x:c>
      <x:c r="F533" s="83" t="s">
        <x:v>493</x:v>
      </x:c>
      <x:c r="G533" s="85" t="n">
        <x:v>46361</x:v>
      </x:c>
      <x:c r="H533" s="85" t="n">
        <x:v>46379</x:v>
      </x:c>
      <x:c r="I533" s="87" t="n">
        <x:v>62</x:v>
      </x:c>
      <x:c r="J533" s="83" t="s">
        <x:v>543</x:v>
      </x:c>
      <x:c r="K533" s="83"/>
      <x:c r="L533" s="83" t="s">
        <x:v>412</x:v>
      </x:c>
      <x:c r="M533" s="83" t="n">
        <x:v>39</x:v>
      </x:c>
      <x:c r="N533" s="83" t="n">
        <x:v>17</x:v>
      </x:c>
      <x:c r="O533" s="85" t="n">
        <x:v>46274</x:v>
      </x:c>
      <x:c r="P533" s="89" t="str">
        <x:f aca="0">A533&amp;TEXT(COUNTIF($A$6:A533,A533),"00")</x:f>
        <x:v>P08806</x:v>
      </x:c>
      <x:c r="Q533" s="89" t="str">
        <x:f aca="0">IF(I533&lt;100,A533&amp;"O"&amp;COUNTIFS($A$6:A533,A533,$I$6:I533,"&lt;100"),"")</x:f>
        <x:v>P088O6</x:v>
      </x:c>
      <x:c r="R533" s="89" t="str">
        <x:f aca="0">IF(I533&lt;100,D533&amp;"O"&amp;COUNTIFS($D$6:D533,D533,$I$6:I533,"&lt;100"),"")</x:f>
        <x:v>RohanO42</x:v>
      </x:c>
      <x:c r="S533" s="278" t="n">
        <x:f>IF(COUNTIF($B$6:$B$605,B533)&gt;1,1,0)</x:f>
        <x:v>0</x:v>
      </x:c>
    </x:row>
    <x:row r="534" ht="15" hidden="0">
      <x:c r="A534" s="83" t="s">
        <x:v>117</x:v>
      </x:c>
      <x:c r="B534" s="83" t="s">
        <x:v>1076</x:v>
      </x:c>
      <x:c r="C534" s="83" t="s">
        <x:v>433</x:v>
      </x:c>
      <x:c r="D534" s="83" t="s">
        <x:v>442</x:v>
      </x:c>
      <x:c r="E534" s="83" t="s">
        <x:v>452</x:v>
      </x:c>
      <x:c r="F534" s="83" t="s">
        <x:v>493</x:v>
      </x:c>
      <x:c r="G534" s="85" t="n">
        <x:v>46292</x:v>
      </x:c>
      <x:c r="H534" s="85" t="n">
        <x:v>46312</x:v>
      </x:c>
      <x:c r="I534" s="87" t="n">
        <x:v>85</x:v>
      </x:c>
      <x:c r="J534" s="83" t="s">
        <x:v>543</x:v>
      </x:c>
      <x:c r="K534" s="83"/>
      <x:c r="L534" s="83" t="s">
        <x:v>395</x:v>
      </x:c>
      <x:c r="M534" s="83" t="n">
        <x:v>96</x:v>
      </x:c>
      <x:c r="N534" s="83" t="n">
        <x:v>64</x:v>
      </x:c>
      <x:c r="O534" s="85" t="n">
        <x:v>46274</x:v>
      </x:c>
      <x:c r="P534" s="89" t="str">
        <x:f aca="0">A534&amp;TEXT(COUNTIF($A$6:A534,A534),"00")</x:f>
        <x:v>P08901</x:v>
      </x:c>
      <x:c r="Q534" s="89" t="str">
        <x:f aca="0">IF(I534&lt;100,A534&amp;"O"&amp;COUNTIFS($A$6:A534,A534,$I$6:I534,"&lt;100"),"")</x:f>
        <x:v>P089O1</x:v>
      </x:c>
      <x:c r="R534" s="89" t="str">
        <x:f aca="0">IF(I534&lt;100,D534&amp;"O"&amp;COUNTIFS($D$6:D534,D534,$I$6:I534,"&lt;100"),"")</x:f>
        <x:v>RituO45</x:v>
      </x:c>
      <x:c r="S534" s="278" t="n">
        <x:f>IF(COUNTIF($B$6:$B$605,B534)&gt;1,1,0)</x:f>
        <x:v>0</x:v>
      </x:c>
    </x:row>
    <x:row r="535" ht="15" hidden="0">
      <x:c r="A535" s="83" t="s">
        <x:v>117</x:v>
      </x:c>
      <x:c r="B535" s="83" t="s">
        <x:v>1077</x:v>
      </x:c>
      <x:c r="C535" s="83" t="s">
        <x:v>440</x:v>
      </x:c>
      <x:c r="D535" s="83" t="s">
        <x:v>446</x:v>
      </x:c>
      <x:c r="E535" s="83" t="s">
        <x:v>455</x:v>
      </x:c>
      <x:c r="F535" s="83" t="s">
        <x:v>546</x:v>
      </x:c>
      <x:c r="G535" s="85" t="n">
        <x:v>46306</x:v>
      </x:c>
      <x:c r="H535" s="85" t="n">
        <x:v>46318</x:v>
      </x:c>
      <x:c r="I535" s="87" t="n">
        <x:v>75</x:v>
      </x:c>
      <x:c r="J535" s="83" t="s">
        <x:v>543</x:v>
      </x:c>
      <x:c r="K535" s="83"/>
      <x:c r="L535" s="83" t="s">
        <x:v>395</x:v>
      </x:c>
      <x:c r="M535" s="83" t="n">
        <x:v>91</x:v>
      </x:c>
      <x:c r="N535" s="83" t="n">
        <x:v>51</x:v>
      </x:c>
      <x:c r="O535" s="85" t="n">
        <x:v>46274</x:v>
      </x:c>
      <x:c r="P535" s="89" t="str">
        <x:f aca="0">A535&amp;TEXT(COUNTIF($A$6:A535,A535),"00")</x:f>
        <x:v>P08902</x:v>
      </x:c>
      <x:c r="Q535" s="89" t="str">
        <x:f aca="0">IF(I535&lt;100,A535&amp;"O"&amp;COUNTIFS($A$6:A535,A535,$I$6:I535,"&lt;100"),"")</x:f>
        <x:v>P089O2</x:v>
      </x:c>
      <x:c r="R535" s="89" t="str">
        <x:f aca="0">IF(I535&lt;100,D535&amp;"O"&amp;COUNTIFS($D$6:D535,D535,$I$6:I535,"&lt;100"),"")</x:f>
        <x:v>SanjayO46</x:v>
      </x:c>
      <x:c r="S535" s="278" t="n">
        <x:f>IF(COUNTIF($B$6:$B$605,B535)&gt;1,1,0)</x:f>
        <x:v>0</x:v>
      </x:c>
    </x:row>
    <x:row r="536" ht="15" hidden="0">
      <x:c r="A536" s="83" t="s">
        <x:v>117</x:v>
      </x:c>
      <x:c r="B536" s="83" t="s">
        <x:v>1078</x:v>
      </x:c>
      <x:c r="C536" s="83" t="s">
        <x:v>444</x:v>
      </x:c>
      <x:c r="D536" s="83" t="s">
        <x:v>449</x:v>
      </x:c>
      <x:c r="E536" s="83" t="s">
        <x:v>462</x:v>
      </x:c>
      <x:c r="F536" s="83" t="s">
        <x:v>550</x:v>
      </x:c>
      <x:c r="G536" s="85" t="n">
        <x:v>46320</x:v>
      </x:c>
      <x:c r="H536" s="85" t="n">
        <x:v>46342</x:v>
      </x:c>
      <x:c r="I536" s="87" t="n">
        <x:v>82</x:v>
      </x:c>
      <x:c r="J536" s="83" t="s">
        <x:v>543</x:v>
      </x:c>
      <x:c r="K536" s="83"/>
      <x:c r="L536" s="83" t="s">
        <x:v>395</x:v>
      </x:c>
      <x:c r="M536" s="83" t="n">
        <x:v>75</x:v>
      </x:c>
      <x:c r="N536" s="83" t="n">
        <x:v>38</x:v>
      </x:c>
      <x:c r="O536" s="85" t="n">
        <x:v>46274</x:v>
      </x:c>
      <x:c r="P536" s="89" t="str">
        <x:f aca="0">A536&amp;TEXT(COUNTIF($A$6:A536,A536),"00")</x:f>
        <x:v>P08903</x:v>
      </x:c>
      <x:c r="Q536" s="89" t="str">
        <x:f aca="0">IF(I536&lt;100,A536&amp;"O"&amp;COUNTIFS($A$6:A536,A536,$I$6:I536,"&lt;100"),"")</x:f>
        <x:v>P089O3</x:v>
      </x:c>
      <x:c r="R536" s="89" t="str">
        <x:f aca="0">IF(I536&lt;100,D536&amp;"O"&amp;COUNTIFS($D$6:D536,D536,$I$6:I536,"&lt;100"),"")</x:f>
        <x:v>AnilO44</x:v>
      </x:c>
      <x:c r="S536" s="278" t="n">
        <x:f>IF(COUNTIF($B$6:$B$605,B536)&gt;1,1,0)</x:f>
        <x:v>0</x:v>
      </x:c>
    </x:row>
    <x:row r="537" ht="15" hidden="0">
      <x:c r="A537" s="83" t="s">
        <x:v>117</x:v>
      </x:c>
      <x:c r="B537" s="83" t="s">
        <x:v>1079</x:v>
      </x:c>
      <x:c r="C537" s="83" t="s">
        <x:v>448</x:v>
      </x:c>
      <x:c r="D537" s="83" t="s">
        <x:v>452</x:v>
      </x:c>
      <x:c r="E537" s="83" t="s">
        <x:v>360</x:v>
      </x:c>
      <x:c r="F537" s="83" t="s">
        <x:v>546</x:v>
      </x:c>
      <x:c r="G537" s="85" t="n">
        <x:v>46334</x:v>
      </x:c>
      <x:c r="H537" s="85" t="n">
        <x:v>46343</x:v>
      </x:c>
      <x:c r="I537" s="87" t="n">
        <x:v>84</x:v>
      </x:c>
      <x:c r="J537" s="83" t="s">
        <x:v>543</x:v>
      </x:c>
      <x:c r="K537" s="83" t="s">
        <x:v>396</x:v>
      </x:c>
      <x:c r="L537" s="83" t="s">
        <x:v>412</x:v>
      </x:c>
      <x:c r="M537" s="83" t="n">
        <x:v>60</x:v>
      </x:c>
      <x:c r="N537" s="83" t="n">
        <x:v>93</x:v>
      </x:c>
      <x:c r="O537" s="85" t="n">
        <x:v>46274</x:v>
      </x:c>
      <x:c r="P537" s="89" t="str">
        <x:f aca="0">A537&amp;TEXT(COUNTIF($A$6:A537,A537),"00")</x:f>
        <x:v>P08904</x:v>
      </x:c>
      <x:c r="Q537" s="89" t="str">
        <x:f aca="0">IF(I537&lt;100,A537&amp;"O"&amp;COUNTIFS($A$6:A537,A537,$I$6:I537,"&lt;100"),"")</x:f>
        <x:v>P089O4</x:v>
      </x:c>
      <x:c r="R537" s="89" t="str">
        <x:f aca="0">IF(I537&lt;100,D537&amp;"O"&amp;COUNTIFS($D$6:D537,D537,$I$6:I537,"&lt;100"),"")</x:f>
        <x:v>KavyaO43</x:v>
      </x:c>
      <x:c r="S537" s="278" t="n">
        <x:f>IF(COUNTIF($B$6:$B$605,B537)&gt;1,1,0)</x:f>
        <x:v>0</x:v>
      </x:c>
    </x:row>
    <x:row r="538" ht="15" hidden="0">
      <x:c r="A538" s="83" t="s">
        <x:v>117</x:v>
      </x:c>
      <x:c r="B538" s="83" t="s">
        <x:v>1080</x:v>
      </x:c>
      <x:c r="C538" s="83" t="s">
        <x:v>451</x:v>
      </x:c>
      <x:c r="D538" s="83" t="s">
        <x:v>455</x:v>
      </x:c>
      <x:c r="E538" s="83" t="s">
        <x:v>475</x:v>
      </x:c>
      <x:c r="F538" s="83" t="s">
        <x:v>546</x:v>
      </x:c>
      <x:c r="G538" s="85" t="n">
        <x:v>46348</x:v>
      </x:c>
      <x:c r="H538" s="85" t="n">
        <x:v>46365</x:v>
      </x:c>
      <x:c r="I538" s="87" t="n">
        <x:v>86</x:v>
      </x:c>
      <x:c r="J538" s="83" t="s">
        <x:v>543</x:v>
      </x:c>
      <x:c r="K538" s="83" t="s">
        <x:v>396</x:v>
      </x:c>
      <x:c r="L538" s="83" t="s">
        <x:v>412</x:v>
      </x:c>
      <x:c r="M538" s="83" t="n">
        <x:v>28</x:v>
      </x:c>
      <x:c r="N538" s="83" t="n">
        <x:v>46</x:v>
      </x:c>
      <x:c r="O538" s="85" t="n">
        <x:v>46274</x:v>
      </x:c>
      <x:c r="P538" s="89" t="str">
        <x:f aca="0">A538&amp;TEXT(COUNTIF($A$6:A538,A538),"00")</x:f>
        <x:v>P08905</x:v>
      </x:c>
      <x:c r="Q538" s="89" t="str">
        <x:f aca="0">IF(I538&lt;100,A538&amp;"O"&amp;COUNTIFS($A$6:A538,A538,$I$6:I538,"&lt;100"),"")</x:f>
        <x:v>P089O5</x:v>
      </x:c>
      <x:c r="R538" s="89" t="str">
        <x:f aca="0">IF(I538&lt;100,D538&amp;"O"&amp;COUNTIFS($D$6:D538,D538,$I$6:I538,"&lt;100"),"")</x:f>
        <x:v>RohanO43</x:v>
      </x:c>
      <x:c r="S538" s="278" t="n">
        <x:f>IF(COUNTIF($B$6:$B$605,B538)&gt;1,1,0)</x:f>
        <x:v>0</x:v>
      </x:c>
    </x:row>
    <x:row r="539" ht="15" hidden="0">
      <x:c r="A539" s="83" t="s">
        <x:v>117</x:v>
      </x:c>
      <x:c r="B539" s="83" t="s">
        <x:v>1081</x:v>
      </x:c>
      <x:c r="C539" s="83" t="s">
        <x:v>454</x:v>
      </x:c>
      <x:c r="D539" s="83" t="s">
        <x:v>462</x:v>
      </x:c>
      <x:c r="E539" s="83" t="s">
        <x:v>434</x:v>
      </x:c>
      <x:c r="F539" s="83" t="s">
        <x:v>550</x:v>
      </x:c>
      <x:c r="G539" s="85" t="n">
        <x:v>46362</x:v>
      </x:c>
      <x:c r="H539" s="85" t="n">
        <x:v>46371</x:v>
      </x:c>
      <x:c r="I539" s="87" t="n">
        <x:v>78</x:v>
      </x:c>
      <x:c r="J539" s="83" t="s">
        <x:v>543</x:v>
      </x:c>
      <x:c r="K539" s="83"/>
      <x:c r="L539" s="83" t="s">
        <x:v>412</x:v>
      </x:c>
      <x:c r="M539" s="83" t="n">
        <x:v>40</x:v>
      </x:c>
      <x:c r="N539" s="83" t="n">
        <x:v>105</x:v>
      </x:c>
      <x:c r="O539" s="85" t="n">
        <x:v>46274</x:v>
      </x:c>
      <x:c r="P539" s="89" t="str">
        <x:f aca="0">A539&amp;TEXT(COUNTIF($A$6:A539,A539),"00")</x:f>
        <x:v>P08906</x:v>
      </x:c>
      <x:c r="Q539" s="89" t="str">
        <x:f aca="0">IF(I539&lt;100,A539&amp;"O"&amp;COUNTIFS($A$6:A539,A539,$I$6:I539,"&lt;100"),"")</x:f>
        <x:v>P089O6</x:v>
      </x:c>
      <x:c r="R539" s="89" t="str">
        <x:f aca="0">IF(I539&lt;100,D539&amp;"O"&amp;COUNTIFS($D$6:D539,D539,$I$6:I539,"&lt;100"),"")</x:f>
        <x:v>DeepaO43</x:v>
      </x:c>
      <x:c r="S539" s="278" t="n">
        <x:f>IF(COUNTIF($B$6:$B$605,B539)&gt;1,1,0)</x:f>
        <x:v>0</x:v>
      </x:c>
    </x:row>
    <x:row r="540" ht="15" hidden="0">
      <x:c r="A540" s="83" t="s">
        <x:v>300</x:v>
      </x:c>
      <x:c r="B540" s="83" t="s">
        <x:v>1082</x:v>
      </x:c>
      <x:c r="C540" s="83" t="s">
        <x:v>433</x:v>
      </x:c>
      <x:c r="D540" s="83" t="s">
        <x:v>446</x:v>
      </x:c>
      <x:c r="E540" s="83" t="s">
        <x:v>455</x:v>
      </x:c>
      <x:c r="F540" s="83" t="s">
        <x:v>550</x:v>
      </x:c>
      <x:c r="G540" s="85" t="n">
        <x:v>46293</x:v>
      </x:c>
      <x:c r="H540" s="85" t="n">
        <x:v>46315</x:v>
      </x:c>
      <x:c r="I540" s="87" t="n">
        <x:v>98</x:v>
      </x:c>
      <x:c r="J540" s="83" t="s">
        <x:v>543</x:v>
      </x:c>
      <x:c r="K540" s="83"/>
      <x:c r="L540" s="83" t="s">
        <x:v>395</x:v>
      </x:c>
      <x:c r="M540" s="83" t="n">
        <x:v>32</x:v>
      </x:c>
      <x:c r="N540" s="83" t="n">
        <x:v>63</x:v>
      </x:c>
      <x:c r="O540" s="85" t="n">
        <x:v>46274</x:v>
      </x:c>
      <x:c r="P540" s="89" t="str">
        <x:f aca="0">A540&amp;TEXT(COUNTIF($A$6:A540,A540),"00")</x:f>
        <x:v>P09001</x:v>
      </x:c>
      <x:c r="Q540" s="89" t="str">
        <x:f aca="0">IF(I540&lt;100,A540&amp;"O"&amp;COUNTIFS($A$6:A540,A540,$I$6:I540,"&lt;100"),"")</x:f>
        <x:v>P090O1</x:v>
      </x:c>
      <x:c r="R540" s="89" t="str">
        <x:f aca="0">IF(I540&lt;100,D540&amp;"O"&amp;COUNTIFS($D$6:D540,D540,$I$6:I540,"&lt;100"),"")</x:f>
        <x:v>SanjayO47</x:v>
      </x:c>
      <x:c r="S540" s="278" t="n">
        <x:f>IF(COUNTIF($B$6:$B$605,B540)&gt;1,1,0)</x:f>
        <x:v>0</x:v>
      </x:c>
    </x:row>
    <x:row r="541" ht="15" hidden="0">
      <x:c r="A541" s="83" t="s">
        <x:v>300</x:v>
      </x:c>
      <x:c r="B541" s="83" t="s">
        <x:v>1083</x:v>
      </x:c>
      <x:c r="C541" s="83" t="s">
        <x:v>440</x:v>
      </x:c>
      <x:c r="D541" s="83" t="s">
        <x:v>449</x:v>
      </x:c>
      <x:c r="E541" s="83" t="s">
        <x:v>462</x:v>
      </x:c>
      <x:c r="F541" s="83" t="s">
        <x:v>550</x:v>
      </x:c>
      <x:c r="G541" s="85" t="n">
        <x:v>46307</x:v>
      </x:c>
      <x:c r="H541" s="85" t="n">
        <x:v>46323</x:v>
      </x:c>
      <x:c r="I541" s="87" t="n">
        <x:v>82</x:v>
      </x:c>
      <x:c r="J541" s="83" t="s">
        <x:v>543</x:v>
      </x:c>
      <x:c r="K541" s="83"/>
      <x:c r="L541" s="83" t="s">
        <x:v>395</x:v>
      </x:c>
      <x:c r="M541" s="83" t="n">
        <x:v>97</x:v>
      </x:c>
      <x:c r="N541" s="83" t="n">
        <x:v>76</x:v>
      </x:c>
      <x:c r="O541" s="85" t="n">
        <x:v>46274</x:v>
      </x:c>
      <x:c r="P541" s="89" t="str">
        <x:f aca="0">A541&amp;TEXT(COUNTIF($A$6:A541,A541),"00")</x:f>
        <x:v>P09002</x:v>
      </x:c>
      <x:c r="Q541" s="89" t="str">
        <x:f aca="0">IF(I541&lt;100,A541&amp;"O"&amp;COUNTIFS($A$6:A541,A541,$I$6:I541,"&lt;100"),"")</x:f>
        <x:v>P090O2</x:v>
      </x:c>
      <x:c r="R541" s="89" t="str">
        <x:f aca="0">IF(I541&lt;100,D541&amp;"O"&amp;COUNTIFS($D$6:D541,D541,$I$6:I541,"&lt;100"),"")</x:f>
        <x:v>AnilO45</x:v>
      </x:c>
      <x:c r="S541" s="278" t="n">
        <x:f>IF(COUNTIF($B$6:$B$605,B541)&gt;1,1,0)</x:f>
        <x:v>0</x:v>
      </x:c>
    </x:row>
    <x:row r="542" ht="15" hidden="0">
      <x:c r="A542" s="83" t="s">
        <x:v>300</x:v>
      </x:c>
      <x:c r="B542" s="83" t="s">
        <x:v>1084</x:v>
      </x:c>
      <x:c r="C542" s="83" t="s">
        <x:v>444</x:v>
      </x:c>
      <x:c r="D542" s="83" t="s">
        <x:v>452</x:v>
      </x:c>
      <x:c r="E542" s="83" t="s">
        <x:v>360</x:v>
      </x:c>
      <x:c r="F542" s="83" t="s">
        <x:v>493</x:v>
      </x:c>
      <x:c r="G542" s="85" t="n">
        <x:v>46321</x:v>
      </x:c>
      <x:c r="H542" s="85" t="n">
        <x:v>46338</x:v>
      </x:c>
      <x:c r="I542" s="87" t="n">
        <x:v>93</x:v>
      </x:c>
      <x:c r="J542" s="83" t="s">
        <x:v>543</x:v>
      </x:c>
      <x:c r="K542" s="83"/>
      <x:c r="L542" s="83" t="s">
        <x:v>395</x:v>
      </x:c>
      <x:c r="M542" s="83" t="n">
        <x:v>39</x:v>
      </x:c>
      <x:c r="N542" s="83" t="n">
        <x:v>105</x:v>
      </x:c>
      <x:c r="O542" s="85" t="n">
        <x:v>46274</x:v>
      </x:c>
      <x:c r="P542" s="89" t="str">
        <x:f aca="0">A542&amp;TEXT(COUNTIF($A$6:A542,A542),"00")</x:f>
        <x:v>P09003</x:v>
      </x:c>
      <x:c r="Q542" s="89" t="str">
        <x:f aca="0">IF(I542&lt;100,A542&amp;"O"&amp;COUNTIFS($A$6:A542,A542,$I$6:I542,"&lt;100"),"")</x:f>
        <x:v>P090O3</x:v>
      </x:c>
      <x:c r="R542" s="89" t="str">
        <x:f aca="0">IF(I542&lt;100,D542&amp;"O"&amp;COUNTIFS($D$6:D542,D542,$I$6:I542,"&lt;100"),"")</x:f>
        <x:v>KavyaO44</x:v>
      </x:c>
      <x:c r="S542" s="278" t="n">
        <x:f>IF(COUNTIF($B$6:$B$605,B542)&gt;1,1,0)</x:f>
        <x:v>0</x:v>
      </x:c>
    </x:row>
    <x:row r="543" ht="15" hidden="0">
      <x:c r="A543" s="83" t="s">
        <x:v>300</x:v>
      </x:c>
      <x:c r="B543" s="83" t="s">
        <x:v>1085</x:v>
      </x:c>
      <x:c r="C543" s="83" t="s">
        <x:v>448</x:v>
      </x:c>
      <x:c r="D543" s="83" t="s">
        <x:v>455</x:v>
      </x:c>
      <x:c r="E543" s="83" t="s">
        <x:v>475</x:v>
      </x:c>
      <x:c r="F543" s="83" t="s">
        <x:v>546</x:v>
      </x:c>
      <x:c r="G543" s="85" t="n">
        <x:v>46335</x:v>
      </x:c>
      <x:c r="H543" s="85" t="n">
        <x:v>46358</x:v>
      </x:c>
      <x:c r="I543" s="87" t="n">
        <x:v>87</x:v>
      </x:c>
      <x:c r="J543" s="83" t="s">
        <x:v>543</x:v>
      </x:c>
      <x:c r="K543" s="83"/>
      <x:c r="L543" s="83" t="s">
        <x:v>395</x:v>
      </x:c>
      <x:c r="M543" s="83" t="n">
        <x:v>93</x:v>
      </x:c>
      <x:c r="N543" s="83" t="n">
        <x:v>39</x:v>
      </x:c>
      <x:c r="O543" s="85" t="n">
        <x:v>46274</x:v>
      </x:c>
      <x:c r="P543" s="89" t="str">
        <x:f aca="0">A543&amp;TEXT(COUNTIF($A$6:A543,A543),"00")</x:f>
        <x:v>P09004</x:v>
      </x:c>
      <x:c r="Q543" s="89" t="str">
        <x:f aca="0">IF(I543&lt;100,A543&amp;"O"&amp;COUNTIFS($A$6:A543,A543,$I$6:I543,"&lt;100"),"")</x:f>
        <x:v>P090O4</x:v>
      </x:c>
      <x:c r="R543" s="89" t="str">
        <x:f aca="0">IF(I543&lt;100,D543&amp;"O"&amp;COUNTIFS($D$6:D543,D543,$I$6:I543,"&lt;100"),"")</x:f>
        <x:v>RohanO44</x:v>
      </x:c>
      <x:c r="S543" s="278" t="n">
        <x:f>IF(COUNTIF($B$6:$B$605,B543)&gt;1,1,0)</x:f>
        <x:v>0</x:v>
      </x:c>
    </x:row>
    <x:row r="544" ht="15" hidden="0">
      <x:c r="A544" s="83" t="s">
        <x:v>300</x:v>
      </x:c>
      <x:c r="B544" s="83" t="s">
        <x:v>1086</x:v>
      </x:c>
      <x:c r="C544" s="83" t="s">
        <x:v>451</x:v>
      </x:c>
      <x:c r="D544" s="83" t="s">
        <x:v>462</x:v>
      </x:c>
      <x:c r="E544" s="83" t="s">
        <x:v>434</x:v>
      </x:c>
      <x:c r="F544" s="83" t="s">
        <x:v>493</x:v>
      </x:c>
      <x:c r="G544" s="85" t="n">
        <x:v>46349</x:v>
      </x:c>
      <x:c r="H544" s="85" t="n">
        <x:v>46372</x:v>
      </x:c>
      <x:c r="I544" s="87" t="n">
        <x:v>73</x:v>
      </x:c>
      <x:c r="J544" s="83" t="s">
        <x:v>543</x:v>
      </x:c>
      <x:c r="K544" s="83"/>
      <x:c r="L544" s="83" t="s">
        <x:v>395</x:v>
      </x:c>
      <x:c r="M544" s="83" t="n">
        <x:v>87</x:v>
      </x:c>
      <x:c r="N544" s="83" t="n">
        <x:v>56</x:v>
      </x:c>
      <x:c r="O544" s="85" t="n">
        <x:v>46274</x:v>
      </x:c>
      <x:c r="P544" s="89" t="str">
        <x:f aca="0">A544&amp;TEXT(COUNTIF($A$6:A544,A544),"00")</x:f>
        <x:v>P09005</x:v>
      </x:c>
      <x:c r="Q544" s="89" t="str">
        <x:f aca="0">IF(I544&lt;100,A544&amp;"O"&amp;COUNTIFS($A$6:A544,A544,$I$6:I544,"&lt;100"),"")</x:f>
        <x:v>P090O5</x:v>
      </x:c>
      <x:c r="R544" s="89" t="str">
        <x:f aca="0">IF(I544&lt;100,D544&amp;"O"&amp;COUNTIFS($D$6:D544,D544,$I$6:I544,"&lt;100"),"")</x:f>
        <x:v>DeepaO44</x:v>
      </x:c>
      <x:c r="S544" s="278" t="n">
        <x:f>IF(COUNTIF($B$6:$B$605,B544)&gt;1,1,0)</x:f>
        <x:v>0</x:v>
      </x:c>
    </x:row>
    <x:row r="545" ht="15" hidden="0">
      <x:c r="A545" s="83" t="s">
        <x:v>300</x:v>
      </x:c>
      <x:c r="B545" s="83" t="s">
        <x:v>1087</x:v>
      </x:c>
      <x:c r="C545" s="83" t="s">
        <x:v>454</x:v>
      </x:c>
      <x:c r="D545" s="83" t="s">
        <x:v>360</x:v>
      </x:c>
      <x:c r="E545" s="83" t="s">
        <x:v>441</x:v>
      </x:c>
      <x:c r="F545" s="83" t="s">
        <x:v>557</x:v>
      </x:c>
      <x:c r="G545" s="85" t="n">
        <x:v>46363</x:v>
      </x:c>
      <x:c r="H545" s="85" t="n">
        <x:v>46373</x:v>
      </x:c>
      <x:c r="I545" s="87" t="n">
        <x:v>65</x:v>
      </x:c>
      <x:c r="J545" s="83" t="s">
        <x:v>543</x:v>
      </x:c>
      <x:c r="K545" s="83"/>
      <x:c r="L545" s="83" t="s">
        <x:v>395</x:v>
      </x:c>
      <x:c r="M545" s="83" t="n">
        <x:v>89</x:v>
      </x:c>
      <x:c r="N545" s="83" t="n">
        <x:v>80</x:v>
      </x:c>
      <x:c r="O545" s="85" t="n">
        <x:v>46274</x:v>
      </x:c>
      <x:c r="P545" s="89" t="str">
        <x:f aca="0">A545&amp;TEXT(COUNTIF($A$6:A545,A545),"00")</x:f>
        <x:v>P09006</x:v>
      </x:c>
      <x:c r="Q545" s="89" t="str">
        <x:f aca="0">IF(I545&lt;100,A545&amp;"O"&amp;COUNTIFS($A$6:A545,A545,$I$6:I545,"&lt;100"),"")</x:f>
        <x:v>P090O6</x:v>
      </x:c>
      <x:c r="R545" s="89" t="str">
        <x:f aca="0">IF(I545&lt;100,D545&amp;"O"&amp;COUNTIFS($D$6:D545,D545,$I$6:I545,"&lt;100"),"")</x:f>
        <x:v>AmitO41</x:v>
      </x:c>
      <x:c r="S545" s="278" t="n">
        <x:f>IF(COUNTIF($B$6:$B$605,B545)&gt;1,1,0)</x:f>
        <x:v>0</x:v>
      </x:c>
    </x:row>
    <x:row r="546" ht="15" hidden="0">
      <x:c r="A546" s="83" t="s">
        <x:v>146</x:v>
      </x:c>
      <x:c r="B546" s="83" t="s">
        <x:v>1088</x:v>
      </x:c>
      <x:c r="C546" s="83" t="s">
        <x:v>433</x:v>
      </x:c>
      <x:c r="D546" s="83" t="s">
        <x:v>449</x:v>
      </x:c>
      <x:c r="E546" s="83" t="s">
        <x:v>462</x:v>
      </x:c>
      <x:c r="F546" s="83" t="s">
        <x:v>546</x:v>
      </x:c>
      <x:c r="G546" s="85" t="n">
        <x:v>46294</x:v>
      </x:c>
      <x:c r="H546" s="85" t="n">
        <x:v>46303</x:v>
      </x:c>
      <x:c r="I546" s="87" t="n">
        <x:v>34</x:v>
      </x:c>
      <x:c r="J546" s="83" t="s">
        <x:v>543</x:v>
      </x:c>
      <x:c r="K546" s="83"/>
      <x:c r="L546" s="83" t="s">
        <x:v>395</x:v>
      </x:c>
      <x:c r="M546" s="83" t="n">
        <x:v>35</x:v>
      </x:c>
      <x:c r="N546" s="83" t="n">
        <x:v>36</x:v>
      </x:c>
      <x:c r="O546" s="85" t="n">
        <x:v>46274</x:v>
      </x:c>
      <x:c r="P546" s="89" t="str">
        <x:f aca="0">A546&amp;TEXT(COUNTIF($A$6:A546,A546),"00")</x:f>
        <x:v>P09101</x:v>
      </x:c>
      <x:c r="Q546" s="89" t="str">
        <x:f aca="0">IF(I546&lt;100,A546&amp;"O"&amp;COUNTIFS($A$6:A546,A546,$I$6:I546,"&lt;100"),"")</x:f>
        <x:v>P091O1</x:v>
      </x:c>
      <x:c r="R546" s="89" t="str">
        <x:f aca="0">IF(I546&lt;100,D546&amp;"O"&amp;COUNTIFS($D$6:D546,D546,$I$6:I546,"&lt;100"),"")</x:f>
        <x:v>AnilO46</x:v>
      </x:c>
      <x:c r="S546" s="278" t="n">
        <x:f>IF(COUNTIF($B$6:$B$605,B546)&gt;1,1,0)</x:f>
        <x:v>0</x:v>
      </x:c>
    </x:row>
    <x:row r="547" ht="15" hidden="0">
      <x:c r="A547" s="83" t="s">
        <x:v>146</x:v>
      </x:c>
      <x:c r="B547" s="83" t="s">
        <x:v>1089</x:v>
      </x:c>
      <x:c r="C547" s="83" t="s">
        <x:v>440</x:v>
      </x:c>
      <x:c r="D547" s="83" t="s">
        <x:v>452</x:v>
      </x:c>
      <x:c r="E547" s="83" t="s">
        <x:v>360</x:v>
      </x:c>
      <x:c r="F547" s="83" t="s">
        <x:v>557</x:v>
      </x:c>
      <x:c r="G547" s="85" t="n">
        <x:v>46308</x:v>
      </x:c>
      <x:c r="H547" s="85" t="n">
        <x:v>46330</x:v>
      </x:c>
      <x:c r="I547" s="87" t="n">
        <x:v>24</x:v>
      </x:c>
      <x:c r="J547" s="83" t="s">
        <x:v>543</x:v>
      </x:c>
      <x:c r="K547" s="83"/>
      <x:c r="L547" s="83" t="s">
        <x:v>395</x:v>
      </x:c>
      <x:c r="M547" s="83" t="n">
        <x:v>32</x:v>
      </x:c>
      <x:c r="N547" s="83" t="n">
        <x:v>76</x:v>
      </x:c>
      <x:c r="O547" s="85" t="n">
        <x:v>46274</x:v>
      </x:c>
      <x:c r="P547" s="89" t="str">
        <x:f aca="0">A547&amp;TEXT(COUNTIF($A$6:A547,A547),"00")</x:f>
        <x:v>P09102</x:v>
      </x:c>
      <x:c r="Q547" s="89" t="str">
        <x:f aca="0">IF(I547&lt;100,A547&amp;"O"&amp;COUNTIFS($A$6:A547,A547,$I$6:I547,"&lt;100"),"")</x:f>
        <x:v>P091O2</x:v>
      </x:c>
      <x:c r="R547" s="89" t="str">
        <x:f aca="0">IF(I547&lt;100,D547&amp;"O"&amp;COUNTIFS($D$6:D547,D547,$I$6:I547,"&lt;100"),"")</x:f>
        <x:v>KavyaO45</x:v>
      </x:c>
      <x:c r="S547" s="278" t="n">
        <x:f>IF(COUNTIF($B$6:$B$605,B547)&gt;1,1,0)</x:f>
        <x:v>0</x:v>
      </x:c>
    </x:row>
    <x:row r="548" ht="15" hidden="0">
      <x:c r="A548" s="83" t="s">
        <x:v>146</x:v>
      </x:c>
      <x:c r="B548" s="83" t="s">
        <x:v>1090</x:v>
      </x:c>
      <x:c r="C548" s="83" t="s">
        <x:v>444</x:v>
      </x:c>
      <x:c r="D548" s="83" t="s">
        <x:v>455</x:v>
      </x:c>
      <x:c r="E548" s="83" t="s">
        <x:v>475</x:v>
      </x:c>
      <x:c r="F548" s="83" t="s">
        <x:v>493</x:v>
      </x:c>
      <x:c r="G548" s="85" t="n">
        <x:v>46322</x:v>
      </x:c>
      <x:c r="H548" s="85" t="n">
        <x:v>46342</x:v>
      </x:c>
      <x:c r="I548" s="87" t="n">
        <x:v>31</x:v>
      </x:c>
      <x:c r="J548" s="83" t="s">
        <x:v>543</x:v>
      </x:c>
      <x:c r="K548" s="83"/>
      <x:c r="L548" s="83" t="s">
        <x:v>395</x:v>
      </x:c>
      <x:c r="M548" s="83" t="n">
        <x:v>46</x:v>
      </x:c>
      <x:c r="N548" s="83" t="n">
        <x:v>80</x:v>
      </x:c>
      <x:c r="O548" s="85" t="n">
        <x:v>46274</x:v>
      </x:c>
      <x:c r="P548" s="89" t="str">
        <x:f aca="0">A548&amp;TEXT(COUNTIF($A$6:A548,A548),"00")</x:f>
        <x:v>P09103</x:v>
      </x:c>
      <x:c r="Q548" s="89" t="str">
        <x:f aca="0">IF(I548&lt;100,A548&amp;"O"&amp;COUNTIFS($A$6:A548,A548,$I$6:I548,"&lt;100"),"")</x:f>
        <x:v>P091O3</x:v>
      </x:c>
      <x:c r="R548" s="89" t="str">
        <x:f aca="0">IF(I548&lt;100,D548&amp;"O"&amp;COUNTIFS($D$6:D548,D548,$I$6:I548,"&lt;100"),"")</x:f>
        <x:v>RohanO45</x:v>
      </x:c>
      <x:c r="S548" s="278" t="n">
        <x:f>IF(COUNTIF($B$6:$B$605,B548)&gt;1,1,0)</x:f>
        <x:v>0</x:v>
      </x:c>
    </x:row>
    <x:row r="549" ht="15" hidden="0">
      <x:c r="A549" s="83" t="s">
        <x:v>146</x:v>
      </x:c>
      <x:c r="B549" s="83" t="s">
        <x:v>1091</x:v>
      </x:c>
      <x:c r="C549" s="83" t="s">
        <x:v>448</x:v>
      </x:c>
      <x:c r="D549" s="83" t="s">
        <x:v>462</x:v>
      </x:c>
      <x:c r="E549" s="83" t="s">
        <x:v>434</x:v>
      </x:c>
      <x:c r="F549" s="83" t="s">
        <x:v>557</x:v>
      </x:c>
      <x:c r="G549" s="85" t="n">
        <x:v>46336</x:v>
      </x:c>
      <x:c r="H549" s="85" t="n">
        <x:v>46352</x:v>
      </x:c>
      <x:c r="I549" s="87" t="n">
        <x:v>18</x:v>
      </x:c>
      <x:c r="J549" s="83" t="s">
        <x:v>586</x:v>
      </x:c>
      <x:c r="K549" s="83" t="s">
        <x:v>413</x:v>
      </x:c>
      <x:c r="L549" s="83" t="s">
        <x:v>412</x:v>
      </x:c>
      <x:c r="M549" s="83" t="n">
        <x:v>39</x:v>
      </x:c>
      <x:c r="N549" s="83" t="n">
        <x:v>22</x:v>
      </x:c>
      <x:c r="O549" s="85" t="n">
        <x:v>46274</x:v>
      </x:c>
      <x:c r="P549" s="89" t="str">
        <x:f aca="0">A549&amp;TEXT(COUNTIF($A$6:A549,A549),"00")</x:f>
        <x:v>P09104</x:v>
      </x:c>
      <x:c r="Q549" s="89" t="str">
        <x:f aca="0">IF(I549&lt;100,A549&amp;"O"&amp;COUNTIFS($A$6:A549,A549,$I$6:I549,"&lt;100"),"")</x:f>
        <x:v>P091O4</x:v>
      </x:c>
      <x:c r="R549" s="89" t="str">
        <x:f aca="0">IF(I549&lt;100,D549&amp;"O"&amp;COUNTIFS($D$6:D549,D549,$I$6:I549,"&lt;100"),"")</x:f>
        <x:v>DeepaO45</x:v>
      </x:c>
      <x:c r="S549" s="278" t="n">
        <x:f>IF(COUNTIF($B$6:$B$605,B549)&gt;1,1,0)</x:f>
        <x:v>0</x:v>
      </x:c>
    </x:row>
    <x:row r="550" ht="15" hidden="0">
      <x:c r="A550" s="83" t="s">
        <x:v>146</x:v>
      </x:c>
      <x:c r="B550" s="83" t="s">
        <x:v>1092</x:v>
      </x:c>
      <x:c r="C550" s="83" t="s">
        <x:v>451</x:v>
      </x:c>
      <x:c r="D550" s="83" t="s">
        <x:v>360</x:v>
      </x:c>
      <x:c r="E550" s="83" t="s">
        <x:v>441</x:v>
      </x:c>
      <x:c r="F550" s="83" t="s">
        <x:v>550</x:v>
      </x:c>
      <x:c r="G550" s="85" t="n">
        <x:v>46350</x:v>
      </x:c>
      <x:c r="H550" s="85" t="n">
        <x:v>46374</x:v>
      </x:c>
      <x:c r="I550" s="87" t="n">
        <x:v>42</x:v>
      </x:c>
      <x:c r="J550" s="83" t="s">
        <x:v>586</x:v>
      </x:c>
      <x:c r="K550" s="83" t="s">
        <x:v>413</x:v>
      </x:c>
      <x:c r="L550" s="83" t="s">
        <x:v>412</x:v>
      </x:c>
      <x:c r="M550" s="83" t="n">
        <x:v>69</x:v>
      </x:c>
      <x:c r="N550" s="83" t="n">
        <x:v>33</x:v>
      </x:c>
      <x:c r="O550" s="85" t="n">
        <x:v>46274</x:v>
      </x:c>
      <x:c r="P550" s="89" t="str">
        <x:f aca="0">A550&amp;TEXT(COUNTIF($A$6:A550,A550),"00")</x:f>
        <x:v>P09105</x:v>
      </x:c>
      <x:c r="Q550" s="89" t="str">
        <x:f aca="0">IF(I550&lt;100,A550&amp;"O"&amp;COUNTIFS($A$6:A550,A550,$I$6:I550,"&lt;100"),"")</x:f>
        <x:v>P091O5</x:v>
      </x:c>
      <x:c r="R550" s="89" t="str">
        <x:f aca="0">IF(I550&lt;100,D550&amp;"O"&amp;COUNTIFS($D$6:D550,D550,$I$6:I550,"&lt;100"),"")</x:f>
        <x:v>AmitO42</x:v>
      </x:c>
      <x:c r="S550" s="278" t="n">
        <x:f>IF(COUNTIF($B$6:$B$605,B550)&gt;1,1,0)</x:f>
        <x:v>0</x:v>
      </x:c>
    </x:row>
    <x:row r="551" ht="15" hidden="0">
      <x:c r="A551" s="83" t="s">
        <x:v>146</x:v>
      </x:c>
      <x:c r="B551" s="83" t="s">
        <x:v>1093</x:v>
      </x:c>
      <x:c r="C551" s="83" t="s">
        <x:v>454</x:v>
      </x:c>
      <x:c r="D551" s="83" t="s">
        <x:v>475</x:v>
      </x:c>
      <x:c r="E551" s="83" t="s">
        <x:v>445</x:v>
      </x:c>
      <x:c r="F551" s="83" t="s">
        <x:v>493</x:v>
      </x:c>
      <x:c r="G551" s="85" t="n">
        <x:v>46364</x:v>
      </x:c>
      <x:c r="H551" s="85" t="n">
        <x:v>46382</x:v>
      </x:c>
      <x:c r="I551" s="87" t="n">
        <x:v>20</x:v>
      </x:c>
      <x:c r="J551" s="83" t="s">
        <x:v>586</x:v>
      </x:c>
      <x:c r="K551" s="83" t="s">
        <x:v>413</x:v>
      </x:c>
      <x:c r="L551" s="83" t="s">
        <x:v>412</x:v>
      </x:c>
      <x:c r="M551" s="83" t="n">
        <x:v>22</x:v>
      </x:c>
      <x:c r="N551" s="83" t="n">
        <x:v>65</x:v>
      </x:c>
      <x:c r="O551" s="85" t="n">
        <x:v>46274</x:v>
      </x:c>
      <x:c r="P551" s="89" t="str">
        <x:f aca="0">A551&amp;TEXT(COUNTIF($A$6:A551,A551),"00")</x:f>
        <x:v>P09106</x:v>
      </x:c>
      <x:c r="Q551" s="89" t="str">
        <x:f aca="0">IF(I551&lt;100,A551&amp;"O"&amp;COUNTIFS($A$6:A551,A551,$I$6:I551,"&lt;100"),"")</x:f>
        <x:v>P091O6</x:v>
      </x:c>
      <x:c r="R551" s="89" t="str">
        <x:f aca="0">IF(I551&lt;100,D551&amp;"O"&amp;COUNTIFS($D$6:D551,D551,$I$6:I551,"&lt;100"),"")</x:f>
        <x:v>PriyaO41</x:v>
      </x:c>
      <x:c r="S551" s="278" t="n">
        <x:f>IF(COUNTIF($B$6:$B$605,B551)&gt;1,1,0)</x:f>
        <x:v>0</x:v>
      </x:c>
    </x:row>
    <x:row r="552" ht="15" hidden="0">
      <x:c r="A552" s="83" t="s">
        <x:v>232</x:v>
      </x:c>
      <x:c r="B552" s="83" t="s">
        <x:v>1094</x:v>
      </x:c>
      <x:c r="C552" s="83" t="s">
        <x:v>433</x:v>
      </x:c>
      <x:c r="D552" s="83" t="s">
        <x:v>452</x:v>
      </x:c>
      <x:c r="E552" s="83" t="s">
        <x:v>360</x:v>
      </x:c>
      <x:c r="F552" s="83" t="s">
        <x:v>557</x:v>
      </x:c>
      <x:c r="G552" s="85" t="n">
        <x:v>46295</x:v>
      </x:c>
      <x:c r="H552" s="85" t="n">
        <x:v>46311</x:v>
      </x:c>
      <x:c r="I552" s="87" t="n">
        <x:v>72</x:v>
      </x:c>
      <x:c r="J552" s="83" t="s">
        <x:v>543</x:v>
      </x:c>
      <x:c r="K552" s="83" t="s">
        <x:v>396</x:v>
      </x:c>
      <x:c r="L552" s="83" t="s">
        <x:v>395</x:v>
      </x:c>
      <x:c r="M552" s="83" t="n">
        <x:v>52</x:v>
      </x:c>
      <x:c r="N552" s="83" t="n">
        <x:v>41</x:v>
      </x:c>
      <x:c r="O552" s="85" t="n">
        <x:v>46274</x:v>
      </x:c>
      <x:c r="P552" s="89" t="str">
        <x:f aca="0">A552&amp;TEXT(COUNTIF($A$6:A552,A552),"00")</x:f>
        <x:v>P09201</x:v>
      </x:c>
      <x:c r="Q552" s="89" t="str">
        <x:f aca="0">IF(I552&lt;100,A552&amp;"O"&amp;COUNTIFS($A$6:A552,A552,$I$6:I552,"&lt;100"),"")</x:f>
        <x:v>P092O1</x:v>
      </x:c>
      <x:c r="R552" s="89" t="str">
        <x:f aca="0">IF(I552&lt;100,D552&amp;"O"&amp;COUNTIFS($D$6:D552,D552,$I$6:I552,"&lt;100"),"")</x:f>
        <x:v>KavyaO46</x:v>
      </x:c>
      <x:c r="S552" s="278" t="n">
        <x:f>IF(COUNTIF($B$6:$B$605,B552)&gt;1,1,0)</x:f>
        <x:v>0</x:v>
      </x:c>
    </x:row>
    <x:row r="553" ht="15" hidden="0">
      <x:c r="A553" s="83" t="s">
        <x:v>232</x:v>
      </x:c>
      <x:c r="B553" s="83" t="s">
        <x:v>1095</x:v>
      </x:c>
      <x:c r="C553" s="83" t="s">
        <x:v>440</x:v>
      </x:c>
      <x:c r="D553" s="83" t="s">
        <x:v>455</x:v>
      </x:c>
      <x:c r="E553" s="83" t="s">
        <x:v>475</x:v>
      </x:c>
      <x:c r="F553" s="83" t="s">
        <x:v>550</x:v>
      </x:c>
      <x:c r="G553" s="85" t="n">
        <x:v>46309</x:v>
      </x:c>
      <x:c r="H553" s="85" t="n">
        <x:v>46323</x:v>
      </x:c>
      <x:c r="I553" s="87" t="n">
        <x:v>87</x:v>
      </x:c>
      <x:c r="J553" s="83" t="s">
        <x:v>543</x:v>
      </x:c>
      <x:c r="K553" s="83"/>
      <x:c r="L553" s="83" t="s">
        <x:v>395</x:v>
      </x:c>
      <x:c r="M553" s="83" t="n">
        <x:v>96</x:v>
      </x:c>
      <x:c r="N553" s="83" t="n">
        <x:v>72</x:v>
      </x:c>
      <x:c r="O553" s="85" t="n">
        <x:v>46274</x:v>
      </x:c>
      <x:c r="P553" s="89" t="str">
        <x:f aca="0">A553&amp;TEXT(COUNTIF($A$6:A553,A553),"00")</x:f>
        <x:v>P09202</x:v>
      </x:c>
      <x:c r="Q553" s="89" t="str">
        <x:f aca="0">IF(I553&lt;100,A553&amp;"O"&amp;COUNTIFS($A$6:A553,A553,$I$6:I553,"&lt;100"),"")</x:f>
        <x:v>P092O2</x:v>
      </x:c>
      <x:c r="R553" s="89" t="str">
        <x:f aca="0">IF(I553&lt;100,D553&amp;"O"&amp;COUNTIFS($D$6:D553,D553,$I$6:I553,"&lt;100"),"")</x:f>
        <x:v>RohanO46</x:v>
      </x:c>
      <x:c r="S553" s="278" t="n">
        <x:f>IF(COUNTIF($B$6:$B$605,B553)&gt;1,1,0)</x:f>
        <x:v>0</x:v>
      </x:c>
    </x:row>
    <x:row r="554" ht="15" hidden="0">
      <x:c r="A554" s="83" t="s">
        <x:v>232</x:v>
      </x:c>
      <x:c r="B554" s="83" t="s">
        <x:v>1096</x:v>
      </x:c>
      <x:c r="C554" s="83" t="s">
        <x:v>444</x:v>
      </x:c>
      <x:c r="D554" s="83" t="s">
        <x:v>462</x:v>
      </x:c>
      <x:c r="E554" s="83" t="s">
        <x:v>434</x:v>
      </x:c>
      <x:c r="F554" s="83" t="s">
        <x:v>550</x:v>
      </x:c>
      <x:c r="G554" s="85" t="n">
        <x:v>46323</x:v>
      </x:c>
      <x:c r="H554" s="85" t="n">
        <x:v>46334</x:v>
      </x:c>
      <x:c r="I554" s="87" t="n">
        <x:v>66</x:v>
      </x:c>
      <x:c r="J554" s="83" t="s">
        <x:v>543</x:v>
      </x:c>
      <x:c r="K554" s="83"/>
      <x:c r="L554" s="83" t="s">
        <x:v>395</x:v>
      </x:c>
      <x:c r="M554" s="83" t="n">
        <x:v>66</x:v>
      </x:c>
      <x:c r="N554" s="83" t="n">
        <x:v>60</x:v>
      </x:c>
      <x:c r="O554" s="85" t="n">
        <x:v>46274</x:v>
      </x:c>
      <x:c r="P554" s="89" t="str">
        <x:f aca="0">A554&amp;TEXT(COUNTIF($A$6:A554,A554),"00")</x:f>
        <x:v>P09203</x:v>
      </x:c>
      <x:c r="Q554" s="89" t="str">
        <x:f aca="0">IF(I554&lt;100,A554&amp;"O"&amp;COUNTIFS($A$6:A554,A554,$I$6:I554,"&lt;100"),"")</x:f>
        <x:v>P092O3</x:v>
      </x:c>
      <x:c r="R554" s="89" t="str">
        <x:f aca="0">IF(I554&lt;100,D554&amp;"O"&amp;COUNTIFS($D$6:D554,D554,$I$6:I554,"&lt;100"),"")</x:f>
        <x:v>DeepaO46</x:v>
      </x:c>
      <x:c r="S554" s="278" t="n">
        <x:f>IF(COUNTIF($B$6:$B$605,B554)&gt;1,1,0)</x:f>
        <x:v>0</x:v>
      </x:c>
    </x:row>
    <x:row r="555" ht="15" hidden="0">
      <x:c r="A555" s="83" t="s">
        <x:v>232</x:v>
      </x:c>
      <x:c r="B555" s="83" t="s">
        <x:v>1097</x:v>
      </x:c>
      <x:c r="C555" s="83" t="s">
        <x:v>448</x:v>
      </x:c>
      <x:c r="D555" s="83" t="s">
        <x:v>360</x:v>
      </x:c>
      <x:c r="E555" s="83" t="s">
        <x:v>441</x:v>
      </x:c>
      <x:c r="F555" s="83" t="s">
        <x:v>557</x:v>
      </x:c>
      <x:c r="G555" s="85" t="n">
        <x:v>46337</x:v>
      </x:c>
      <x:c r="H555" s="85" t="n">
        <x:v>46351</x:v>
      </x:c>
      <x:c r="I555" s="87" t="n">
        <x:v>70</x:v>
      </x:c>
      <x:c r="J555" s="83" t="s">
        <x:v>543</x:v>
      </x:c>
      <x:c r="K555" s="83"/>
      <x:c r="L555" s="83" t="s">
        <x:v>395</x:v>
      </x:c>
      <x:c r="M555" s="83" t="n">
        <x:v>68</x:v>
      </x:c>
      <x:c r="N555" s="83" t="n">
        <x:v>19</x:v>
      </x:c>
      <x:c r="O555" s="85" t="n">
        <x:v>46274</x:v>
      </x:c>
      <x:c r="P555" s="89" t="str">
        <x:f aca="0">A555&amp;TEXT(COUNTIF($A$6:A555,A555),"00")</x:f>
        <x:v>P09204</x:v>
      </x:c>
      <x:c r="Q555" s="89" t="str">
        <x:f aca="0">IF(I555&lt;100,A555&amp;"O"&amp;COUNTIFS($A$6:A555,A555,$I$6:I555,"&lt;100"),"")</x:f>
        <x:v>P092O4</x:v>
      </x:c>
      <x:c r="R555" s="89" t="str">
        <x:f aca="0">IF(I555&lt;100,D555&amp;"O"&amp;COUNTIFS($D$6:D555,D555,$I$6:I555,"&lt;100"),"")</x:f>
        <x:v>AmitO43</x:v>
      </x:c>
      <x:c r="S555" s="278" t="n">
        <x:f>IF(COUNTIF($B$6:$B$605,B555)&gt;1,1,0)</x:f>
        <x:v>0</x:v>
      </x:c>
    </x:row>
    <x:row r="556" ht="15" hidden="0">
      <x:c r="A556" s="83" t="s">
        <x:v>232</x:v>
      </x:c>
      <x:c r="B556" s="83" t="s">
        <x:v>1098</x:v>
      </x:c>
      <x:c r="C556" s="83" t="s">
        <x:v>451</x:v>
      </x:c>
      <x:c r="D556" s="83" t="s">
        <x:v>475</x:v>
      </x:c>
      <x:c r="E556" s="83" t="s">
        <x:v>445</x:v>
      </x:c>
      <x:c r="F556" s="83" t="s">
        <x:v>546</x:v>
      </x:c>
      <x:c r="G556" s="85" t="n">
        <x:v>46351</x:v>
      </x:c>
      <x:c r="H556" s="85" t="n">
        <x:v>46368</x:v>
      </x:c>
      <x:c r="I556" s="87" t="n">
        <x:v>85</x:v>
      </x:c>
      <x:c r="J556" s="83" t="s">
        <x:v>543</x:v>
      </x:c>
      <x:c r="K556" s="83"/>
      <x:c r="L556" s="83" t="s">
        <x:v>395</x:v>
      </x:c>
      <x:c r="M556" s="83" t="n">
        <x:v>32</x:v>
      </x:c>
      <x:c r="N556" s="83" t="n">
        <x:v>81</x:v>
      </x:c>
      <x:c r="O556" s="85" t="n">
        <x:v>46274</x:v>
      </x:c>
      <x:c r="P556" s="89" t="str">
        <x:f aca="0">A556&amp;TEXT(COUNTIF($A$6:A556,A556),"00")</x:f>
        <x:v>P09205</x:v>
      </x:c>
      <x:c r="Q556" s="89" t="str">
        <x:f aca="0">IF(I556&lt;100,A556&amp;"O"&amp;COUNTIFS($A$6:A556,A556,$I$6:I556,"&lt;100"),"")</x:f>
        <x:v>P092O5</x:v>
      </x:c>
      <x:c r="R556" s="89" t="str">
        <x:f aca="0">IF(I556&lt;100,D556&amp;"O"&amp;COUNTIFS($D$6:D556,D556,$I$6:I556,"&lt;100"),"")</x:f>
        <x:v>PriyaO42</x:v>
      </x:c>
      <x:c r="S556" s="278" t="n">
        <x:f>IF(COUNTIF($B$6:$B$605,B556)&gt;1,1,0)</x:f>
        <x:v>0</x:v>
      </x:c>
    </x:row>
    <x:row r="557" ht="15" hidden="0">
      <x:c r="A557" s="83" t="s">
        <x:v>232</x:v>
      </x:c>
      <x:c r="B557" s="83" t="s">
        <x:v>1099</x:v>
      </x:c>
      <x:c r="C557" s="83" t="s">
        <x:v>454</x:v>
      </x:c>
      <x:c r="D557" s="83" t="s">
        <x:v>434</x:v>
      </x:c>
      <x:c r="E557" s="83" t="s">
        <x:v>435</x:v>
      </x:c>
      <x:c r="F557" s="83" t="s">
        <x:v>546</x:v>
      </x:c>
      <x:c r="G557" s="85" t="n">
        <x:v>46365</x:v>
      </x:c>
      <x:c r="H557" s="85" t="n">
        <x:v>46385</x:v>
      </x:c>
      <x:c r="I557" s="87" t="n">
        <x:v>92</x:v>
      </x:c>
      <x:c r="J557" s="83" t="s">
        <x:v>543</x:v>
      </x:c>
      <x:c r="K557" s="83"/>
      <x:c r="L557" s="83" t="s">
        <x:v>395</x:v>
      </x:c>
      <x:c r="M557" s="83" t="n">
        <x:v>45</x:v>
      </x:c>
      <x:c r="N557" s="83" t="n">
        <x:v>79</x:v>
      </x:c>
      <x:c r="O557" s="85" t="n">
        <x:v>46274</x:v>
      </x:c>
      <x:c r="P557" s="89" t="str">
        <x:f aca="0">A557&amp;TEXT(COUNTIF($A$6:A557,A557),"00")</x:f>
        <x:v>P09206</x:v>
      </x:c>
      <x:c r="Q557" s="89" t="str">
        <x:f aca="0">IF(I557&lt;100,A557&amp;"O"&amp;COUNTIFS($A$6:A557,A557,$I$6:I557,"&lt;100"),"")</x:f>
        <x:v>P092O6</x:v>
      </x:c>
      <x:c r="R557" s="89" t="str">
        <x:f aca="0">IF(I557&lt;100,D557&amp;"O"&amp;COUNTIFS($D$6:D557,D557,$I$6:I557,"&lt;100"),"")</x:f>
        <x:v>RahulO41</x:v>
      </x:c>
      <x:c r="S557" s="278" t="n">
        <x:f>IF(COUNTIF($B$6:$B$605,B557)&gt;1,1,0)</x:f>
        <x:v>0</x:v>
      </x:c>
    </x:row>
    <x:row r="558" ht="15" hidden="0">
      <x:c r="A558" s="83" t="s">
        <x:v>198</x:v>
      </x:c>
      <x:c r="B558" s="83" t="s">
        <x:v>1100</x:v>
      </x:c>
      <x:c r="C558" s="83" t="s">
        <x:v>433</x:v>
      </x:c>
      <x:c r="D558" s="83" t="s">
        <x:v>455</x:v>
      </x:c>
      <x:c r="E558" s="83" t="s">
        <x:v>475</x:v>
      </x:c>
      <x:c r="F558" s="83" t="s">
        <x:v>493</x:v>
      </x:c>
      <x:c r="G558" s="85" t="n">
        <x:v>46296</x:v>
      </x:c>
      <x:c r="H558" s="85" t="n">
        <x:v>46308</x:v>
      </x:c>
      <x:c r="I558" s="87" t="n">
        <x:v>45</x:v>
      </x:c>
      <x:c r="J558" s="83" t="s">
        <x:v>543</x:v>
      </x:c>
      <x:c r="K558" s="83"/>
      <x:c r="L558" s="83" t="s">
        <x:v>395</x:v>
      </x:c>
      <x:c r="M558" s="83" t="n">
        <x:v>28</x:v>
      </x:c>
      <x:c r="N558" s="83" t="n">
        <x:v>57</x:v>
      </x:c>
      <x:c r="O558" s="85" t="n">
        <x:v>46274</x:v>
      </x:c>
      <x:c r="P558" s="89" t="str">
        <x:f aca="0">A558&amp;TEXT(COUNTIF($A$6:A558,A558),"00")</x:f>
        <x:v>P09301</x:v>
      </x:c>
      <x:c r="Q558" s="89" t="str">
        <x:f aca="0">IF(I558&lt;100,A558&amp;"O"&amp;COUNTIFS($A$6:A558,A558,$I$6:I558,"&lt;100"),"")</x:f>
        <x:v>P093O1</x:v>
      </x:c>
      <x:c r="R558" s="89" t="str">
        <x:f aca="0">IF(I558&lt;100,D558&amp;"O"&amp;COUNTIFS($D$6:D558,D558,$I$6:I558,"&lt;100"),"")</x:f>
        <x:v>RohanO47</x:v>
      </x:c>
      <x:c r="S558" s="278" t="n">
        <x:f>IF(COUNTIF($B$6:$B$605,B558)&gt;1,1,0)</x:f>
        <x:v>0</x:v>
      </x:c>
    </x:row>
    <x:row r="559" ht="15" hidden="0">
      <x:c r="A559" s="83" t="s">
        <x:v>198</x:v>
      </x:c>
      <x:c r="B559" s="83" t="s">
        <x:v>1101</x:v>
      </x:c>
      <x:c r="C559" s="83" t="s">
        <x:v>440</x:v>
      </x:c>
      <x:c r="D559" s="83" t="s">
        <x:v>462</x:v>
      </x:c>
      <x:c r="E559" s="83" t="s">
        <x:v>434</x:v>
      </x:c>
      <x:c r="F559" s="83" t="s">
        <x:v>557</x:v>
      </x:c>
      <x:c r="G559" s="85" t="n">
        <x:v>46310</x:v>
      </x:c>
      <x:c r="H559" s="85" t="n">
        <x:v>46324</x:v>
      </x:c>
      <x:c r="I559" s="87" t="n">
        <x:v>28</x:v>
      </x:c>
      <x:c r="J559" s="83" t="s">
        <x:v>543</x:v>
      </x:c>
      <x:c r="K559" s="83" t="s">
        <x:v>396</x:v>
      </x:c>
      <x:c r="L559" s="83" t="s">
        <x:v>395</x:v>
      </x:c>
      <x:c r="M559" s="83" t="n">
        <x:v>71</x:v>
      </x:c>
      <x:c r="N559" s="83" t="n">
        <x:v>59</x:v>
      </x:c>
      <x:c r="O559" s="85" t="n">
        <x:v>46274</x:v>
      </x:c>
      <x:c r="P559" s="89" t="str">
        <x:f aca="0">A559&amp;TEXT(COUNTIF($A$6:A559,A559),"00")</x:f>
        <x:v>P09302</x:v>
      </x:c>
      <x:c r="Q559" s="89" t="str">
        <x:f aca="0">IF(I559&lt;100,A559&amp;"O"&amp;COUNTIFS($A$6:A559,A559,$I$6:I559,"&lt;100"),"")</x:f>
        <x:v>P093O2</x:v>
      </x:c>
      <x:c r="R559" s="89" t="str">
        <x:f aca="0">IF(I559&lt;100,D559&amp;"O"&amp;COUNTIFS($D$6:D559,D559,$I$6:I559,"&lt;100"),"")</x:f>
        <x:v>DeepaO47</x:v>
      </x:c>
      <x:c r="S559" s="278" t="n">
        <x:f>IF(COUNTIF($B$6:$B$605,B559)&gt;1,1,0)</x:f>
        <x:v>0</x:v>
      </x:c>
    </x:row>
    <x:row r="560" ht="15" hidden="0">
      <x:c r="A560" s="83" t="s">
        <x:v>198</x:v>
      </x:c>
      <x:c r="B560" s="83" t="s">
        <x:v>1102</x:v>
      </x:c>
      <x:c r="C560" s="83" t="s">
        <x:v>444</x:v>
      </x:c>
      <x:c r="D560" s="83" t="s">
        <x:v>360</x:v>
      </x:c>
      <x:c r="E560" s="83" t="s">
        <x:v>441</x:v>
      </x:c>
      <x:c r="F560" s="83" t="s">
        <x:v>550</x:v>
      </x:c>
      <x:c r="G560" s="85" t="n">
        <x:v>46324</x:v>
      </x:c>
      <x:c r="H560" s="85" t="n">
        <x:v>46339</x:v>
      </x:c>
      <x:c r="I560" s="87" t="n">
        <x:v>22</x:v>
      </x:c>
      <x:c r="J560" s="83" t="s">
        <x:v>543</x:v>
      </x:c>
      <x:c r="K560" s="83"/>
      <x:c r="L560" s="83" t="s">
        <x:v>395</x:v>
      </x:c>
      <x:c r="M560" s="83" t="n">
        <x:v>90</x:v>
      </x:c>
      <x:c r="N560" s="83" t="n">
        <x:v>91</x:v>
      </x:c>
      <x:c r="O560" s="85" t="n">
        <x:v>46274</x:v>
      </x:c>
      <x:c r="P560" s="89" t="str">
        <x:f aca="0">A560&amp;TEXT(COUNTIF($A$6:A560,A560),"00")</x:f>
        <x:v>P09303</x:v>
      </x:c>
      <x:c r="Q560" s="89" t="str">
        <x:f aca="0">IF(I560&lt;100,A560&amp;"O"&amp;COUNTIFS($A$6:A560,A560,$I$6:I560,"&lt;100"),"")</x:f>
        <x:v>P093O3</x:v>
      </x:c>
      <x:c r="R560" s="89" t="str">
        <x:f aca="0">IF(I560&lt;100,D560&amp;"O"&amp;COUNTIFS($D$6:D560,D560,$I$6:I560,"&lt;100"),"")</x:f>
        <x:v>AmitO44</x:v>
      </x:c>
      <x:c r="S560" s="278" t="n">
        <x:f>IF(COUNTIF($B$6:$B$605,B560)&gt;1,1,0)</x:f>
        <x:v>0</x:v>
      </x:c>
    </x:row>
    <x:row r="561" ht="15" hidden="0">
      <x:c r="A561" s="83" t="s">
        <x:v>198</x:v>
      </x:c>
      <x:c r="B561" s="83" t="s">
        <x:v>1103</x:v>
      </x:c>
      <x:c r="C561" s="83" t="s">
        <x:v>448</x:v>
      </x:c>
      <x:c r="D561" s="83" t="s">
        <x:v>475</x:v>
      </x:c>
      <x:c r="E561" s="83" t="s">
        <x:v>445</x:v>
      </x:c>
      <x:c r="F561" s="83" t="s">
        <x:v>550</x:v>
      </x:c>
      <x:c r="G561" s="85" t="n">
        <x:v>46338</x:v>
      </x:c>
      <x:c r="H561" s="85" t="n">
        <x:v>46362</x:v>
      </x:c>
      <x:c r="I561" s="87" t="n">
        <x:v>44</x:v>
      </x:c>
      <x:c r="J561" s="83" t="s">
        <x:v>543</x:v>
      </x:c>
      <x:c r="K561" s="83"/>
      <x:c r="L561" s="83" t="s">
        <x:v>395</x:v>
      </x:c>
      <x:c r="M561" s="83" t="n">
        <x:v>88</x:v>
      </x:c>
      <x:c r="N561" s="83" t="n">
        <x:v>38</x:v>
      </x:c>
      <x:c r="O561" s="85" t="n">
        <x:v>46274</x:v>
      </x:c>
      <x:c r="P561" s="89" t="str">
        <x:f aca="0">A561&amp;TEXT(COUNTIF($A$6:A561,A561),"00")</x:f>
        <x:v>P09304</x:v>
      </x:c>
      <x:c r="Q561" s="89" t="str">
        <x:f aca="0">IF(I561&lt;100,A561&amp;"O"&amp;COUNTIFS($A$6:A561,A561,$I$6:I561,"&lt;100"),"")</x:f>
        <x:v>P093O4</x:v>
      </x:c>
      <x:c r="R561" s="89" t="str">
        <x:f aca="0">IF(I561&lt;100,D561&amp;"O"&amp;COUNTIFS($D$6:D561,D561,$I$6:I561,"&lt;100"),"")</x:f>
        <x:v>PriyaO43</x:v>
      </x:c>
      <x:c r="S561" s="278" t="n">
        <x:f>IF(COUNTIF($B$6:$B$605,B561)&gt;1,1,0)</x:f>
        <x:v>0</x:v>
      </x:c>
    </x:row>
    <x:row r="562" ht="15" hidden="0">
      <x:c r="A562" s="83" t="s">
        <x:v>198</x:v>
      </x:c>
      <x:c r="B562" s="83" t="s">
        <x:v>1104</x:v>
      </x:c>
      <x:c r="C562" s="83" t="s">
        <x:v>451</x:v>
      </x:c>
      <x:c r="D562" s="83" t="s">
        <x:v>434</x:v>
      </x:c>
      <x:c r="E562" s="83" t="s">
        <x:v>435</x:v>
      </x:c>
      <x:c r="F562" s="83" t="s">
        <x:v>550</x:v>
      </x:c>
      <x:c r="G562" s="85" t="n">
        <x:v>46352</x:v>
      </x:c>
      <x:c r="H562" s="85" t="n">
        <x:v>46368</x:v>
      </x:c>
      <x:c r="I562" s="87" t="n">
        <x:v>14</x:v>
      </x:c>
      <x:c r="J562" s="83" t="s">
        <x:v>543</x:v>
      </x:c>
      <x:c r="K562" s="83"/>
      <x:c r="L562" s="83" t="s">
        <x:v>395</x:v>
      </x:c>
      <x:c r="M562" s="83" t="n">
        <x:v>90</x:v>
      </x:c>
      <x:c r="N562" s="83" t="n">
        <x:v>47</x:v>
      </x:c>
      <x:c r="O562" s="85" t="n">
        <x:v>46274</x:v>
      </x:c>
      <x:c r="P562" s="89" t="str">
        <x:f aca="0">A562&amp;TEXT(COUNTIF($A$6:A562,A562),"00")</x:f>
        <x:v>P09305</x:v>
      </x:c>
      <x:c r="Q562" s="89" t="str">
        <x:f aca="0">IF(I562&lt;100,A562&amp;"O"&amp;COUNTIFS($A$6:A562,A562,$I$6:I562,"&lt;100"),"")</x:f>
        <x:v>P093O5</x:v>
      </x:c>
      <x:c r="R562" s="89" t="str">
        <x:f aca="0">IF(I562&lt;100,D562&amp;"O"&amp;COUNTIFS($D$6:D562,D562,$I$6:I562,"&lt;100"),"")</x:f>
        <x:v>RahulO42</x:v>
      </x:c>
      <x:c r="S562" s="278" t="n">
        <x:f>IF(COUNTIF($B$6:$B$605,B562)&gt;1,1,0)</x:f>
        <x:v>0</x:v>
      </x:c>
    </x:row>
    <x:row r="563" ht="15" hidden="0">
      <x:c r="A563" s="83" t="s">
        <x:v>198</x:v>
      </x:c>
      <x:c r="B563" s="83" t="s">
        <x:v>1105</x:v>
      </x:c>
      <x:c r="C563" s="83" t="s">
        <x:v>454</x:v>
      </x:c>
      <x:c r="D563" s="83" t="s">
        <x:v>441</x:v>
      </x:c>
      <x:c r="E563" s="83" t="s">
        <x:v>442</x:v>
      </x:c>
      <x:c r="F563" s="83" t="s">
        <x:v>493</x:v>
      </x:c>
      <x:c r="G563" s="85" t="n">
        <x:v>46366</x:v>
      </x:c>
      <x:c r="H563" s="85" t="n">
        <x:v>46379</x:v>
      </x:c>
      <x:c r="I563" s="87" t="n">
        <x:v>32</x:v>
      </x:c>
      <x:c r="J563" s="83" t="s">
        <x:v>543</x:v>
      </x:c>
      <x:c r="K563" s="83"/>
      <x:c r="L563" s="83" t="s">
        <x:v>395</x:v>
      </x:c>
      <x:c r="M563" s="83" t="n">
        <x:v>35</x:v>
      </x:c>
      <x:c r="N563" s="83" t="n">
        <x:v>68</x:v>
      </x:c>
      <x:c r="O563" s="85" t="n">
        <x:v>46274</x:v>
      </x:c>
      <x:c r="P563" s="89" t="str">
        <x:f aca="0">A563&amp;TEXT(COUNTIF($A$6:A563,A563),"00")</x:f>
        <x:v>P09306</x:v>
      </x:c>
      <x:c r="Q563" s="89" t="str">
        <x:f aca="0">IF(I563&lt;100,A563&amp;"O"&amp;COUNTIFS($A$6:A563,A563,$I$6:I563,"&lt;100"),"")</x:f>
        <x:v>P093O6</x:v>
      </x:c>
      <x:c r="R563" s="89" t="str">
        <x:f aca="0">IF(I563&lt;100,D563&amp;"O"&amp;COUNTIFS($D$6:D563,D563,$I$6:I563,"&lt;100"),"")</x:f>
        <x:v>KaranO45</x:v>
      </x:c>
      <x:c r="S563" s="278" t="n">
        <x:f>IF(COUNTIF($B$6:$B$605,B563)&gt;1,1,0)</x:f>
        <x:v>0</x:v>
      </x:c>
    </x:row>
    <x:row r="564" ht="15" hidden="0">
      <x:c r="A564" s="83" t="s">
        <x:v>308</x:v>
      </x:c>
      <x:c r="B564" s="83" t="s">
        <x:v>1106</x:v>
      </x:c>
      <x:c r="C564" s="83" t="s">
        <x:v>433</x:v>
      </x:c>
      <x:c r="D564" s="83" t="s">
        <x:v>462</x:v>
      </x:c>
      <x:c r="E564" s="83" t="s">
        <x:v>434</x:v>
      </x:c>
      <x:c r="F564" s="83" t="s">
        <x:v>557</x:v>
      </x:c>
      <x:c r="G564" s="85" t="n">
        <x:v>46297</x:v>
      </x:c>
      <x:c r="H564" s="85" t="n">
        <x:v>46312</x:v>
      </x:c>
      <x:c r="I564" s="87" t="n">
        <x:v>76</x:v>
      </x:c>
      <x:c r="J564" s="83" t="s">
        <x:v>543</x:v>
      </x:c>
      <x:c r="K564" s="83"/>
      <x:c r="L564" s="83" t="s">
        <x:v>395</x:v>
      </x:c>
      <x:c r="M564" s="83" t="n">
        <x:v>56</x:v>
      </x:c>
      <x:c r="N564" s="83" t="n">
        <x:v>85</x:v>
      </x:c>
      <x:c r="O564" s="85" t="n">
        <x:v>46274</x:v>
      </x:c>
      <x:c r="P564" s="89" t="str">
        <x:f aca="0">A564&amp;TEXT(COUNTIF($A$6:A564,A564),"00")</x:f>
        <x:v>P09401</x:v>
      </x:c>
      <x:c r="Q564" s="89" t="str">
        <x:f aca="0">IF(I564&lt;100,A564&amp;"O"&amp;COUNTIFS($A$6:A564,A564,$I$6:I564,"&lt;100"),"")</x:f>
        <x:v>P094O1</x:v>
      </x:c>
      <x:c r="R564" s="89" t="str">
        <x:f aca="0">IF(I564&lt;100,D564&amp;"O"&amp;COUNTIFS($D$6:D564,D564,$I$6:I564,"&lt;100"),"")</x:f>
        <x:v>DeepaO48</x:v>
      </x:c>
      <x:c r="S564" s="278" t="n">
        <x:f>IF(COUNTIF($B$6:$B$605,B564)&gt;1,1,0)</x:f>
        <x:v>0</x:v>
      </x:c>
    </x:row>
    <x:row r="565" ht="15" hidden="0">
      <x:c r="A565" s="83" t="s">
        <x:v>308</x:v>
      </x:c>
      <x:c r="B565" s="83" t="s">
        <x:v>1107</x:v>
      </x:c>
      <x:c r="C565" s="83" t="s">
        <x:v>440</x:v>
      </x:c>
      <x:c r="D565" s="83" t="s">
        <x:v>360</x:v>
      </x:c>
      <x:c r="E565" s="83" t="s">
        <x:v>441</x:v>
      </x:c>
      <x:c r="F565" s="83" t="s">
        <x:v>557</x:v>
      </x:c>
      <x:c r="G565" s="85" t="n">
        <x:v>46311</x:v>
      </x:c>
      <x:c r="H565" s="85" t="n">
        <x:v>46325</x:v>
      </x:c>
      <x:c r="I565" s="87" t="n">
        <x:v>94</x:v>
      </x:c>
      <x:c r="J565" s="83" t="s">
        <x:v>543</x:v>
      </x:c>
      <x:c r="K565" s="83" t="s">
        <x:v>396</x:v>
      </x:c>
      <x:c r="L565" s="83" t="s">
        <x:v>395</x:v>
      </x:c>
      <x:c r="M565" s="83" t="n">
        <x:v>86</x:v>
      </x:c>
      <x:c r="N565" s="83" t="n">
        <x:v>40</x:v>
      </x:c>
      <x:c r="O565" s="85" t="n">
        <x:v>46274</x:v>
      </x:c>
      <x:c r="P565" s="89" t="str">
        <x:f aca="0">A565&amp;TEXT(COUNTIF($A$6:A565,A565),"00")</x:f>
        <x:v>P09402</x:v>
      </x:c>
      <x:c r="Q565" s="89" t="str">
        <x:f aca="0">IF(I565&lt;100,A565&amp;"O"&amp;COUNTIFS($A$6:A565,A565,$I$6:I565,"&lt;100"),"")</x:f>
        <x:v>P094O2</x:v>
      </x:c>
      <x:c r="R565" s="89" t="str">
        <x:f aca="0">IF(I565&lt;100,D565&amp;"O"&amp;COUNTIFS($D$6:D565,D565,$I$6:I565,"&lt;100"),"")</x:f>
        <x:v>AmitO45</x:v>
      </x:c>
      <x:c r="S565" s="278" t="n">
        <x:f>IF(COUNTIF($B$6:$B$605,B565)&gt;1,1,0)</x:f>
        <x:v>0</x:v>
      </x:c>
    </x:row>
    <x:row r="566" ht="15" hidden="0">
      <x:c r="A566" s="83" t="s">
        <x:v>308</x:v>
      </x:c>
      <x:c r="B566" s="83" t="s">
        <x:v>1108</x:v>
      </x:c>
      <x:c r="C566" s="83" t="s">
        <x:v>444</x:v>
      </x:c>
      <x:c r="D566" s="83" t="s">
        <x:v>475</x:v>
      </x:c>
      <x:c r="E566" s="83" t="s">
        <x:v>445</x:v>
      </x:c>
      <x:c r="F566" s="83" t="s">
        <x:v>493</x:v>
      </x:c>
      <x:c r="G566" s="85" t="n">
        <x:v>46325</x:v>
      </x:c>
      <x:c r="H566" s="85" t="n">
        <x:v>46336</x:v>
      </x:c>
      <x:c r="I566" s="87" t="n">
        <x:v>88</x:v>
      </x:c>
      <x:c r="J566" s="83" t="s">
        <x:v>543</x:v>
      </x:c>
      <x:c r="K566" s="83" t="s">
        <x:v>396</x:v>
      </x:c>
      <x:c r="L566" s="83" t="s">
        <x:v>395</x:v>
      </x:c>
      <x:c r="M566" s="83" t="n">
        <x:v>29</x:v>
      </x:c>
      <x:c r="N566" s="83" t="n">
        <x:v>87</x:v>
      </x:c>
      <x:c r="O566" s="85" t="n">
        <x:v>46274</x:v>
      </x:c>
      <x:c r="P566" s="89" t="str">
        <x:f aca="0">A566&amp;TEXT(COUNTIF($A$6:A566,A566),"00")</x:f>
        <x:v>P09403</x:v>
      </x:c>
      <x:c r="Q566" s="89" t="str">
        <x:f aca="0">IF(I566&lt;100,A566&amp;"O"&amp;COUNTIFS($A$6:A566,A566,$I$6:I566,"&lt;100"),"")</x:f>
        <x:v>P094O3</x:v>
      </x:c>
      <x:c r="R566" s="89" t="str">
        <x:f aca="0">IF(I566&lt;100,D566&amp;"O"&amp;COUNTIFS($D$6:D566,D566,$I$6:I566,"&lt;100"),"")</x:f>
        <x:v>PriyaO44</x:v>
      </x:c>
      <x:c r="S566" s="278" t="n">
        <x:f>IF(COUNTIF($B$6:$B$605,B566)&gt;1,1,0)</x:f>
        <x:v>0</x:v>
      </x:c>
    </x:row>
    <x:row r="567" ht="15" hidden="0">
      <x:c r="A567" s="83" t="s">
        <x:v>308</x:v>
      </x:c>
      <x:c r="B567" s="83" t="s">
        <x:v>1109</x:v>
      </x:c>
      <x:c r="C567" s="83" t="s">
        <x:v>448</x:v>
      </x:c>
      <x:c r="D567" s="83" t="s">
        <x:v>434</x:v>
      </x:c>
      <x:c r="E567" s="83" t="s">
        <x:v>435</x:v>
      </x:c>
      <x:c r="F567" s="83" t="s">
        <x:v>557</x:v>
      </x:c>
      <x:c r="G567" s="85" t="n">
        <x:v>46339</x:v>
      </x:c>
      <x:c r="H567" s="85" t="n">
        <x:v>46360</x:v>
      </x:c>
      <x:c r="I567" s="87" t="n">
        <x:v>75</x:v>
      </x:c>
      <x:c r="J567" s="83" t="s">
        <x:v>543</x:v>
      </x:c>
      <x:c r="K567" s="83"/>
      <x:c r="L567" s="83" t="s">
        <x:v>395</x:v>
      </x:c>
      <x:c r="M567" s="83" t="n">
        <x:v>53</x:v>
      </x:c>
      <x:c r="N567" s="83" t="n">
        <x:v>96</x:v>
      </x:c>
      <x:c r="O567" s="85" t="n">
        <x:v>46274</x:v>
      </x:c>
      <x:c r="P567" s="89" t="str">
        <x:f aca="0">A567&amp;TEXT(COUNTIF($A$6:A567,A567),"00")</x:f>
        <x:v>P09404</x:v>
      </x:c>
      <x:c r="Q567" s="89" t="str">
        <x:f aca="0">IF(I567&lt;100,A567&amp;"O"&amp;COUNTIFS($A$6:A567,A567,$I$6:I567,"&lt;100"),"")</x:f>
        <x:v>P094O4</x:v>
      </x:c>
      <x:c r="R567" s="89" t="str">
        <x:f aca="0">IF(I567&lt;100,D567&amp;"O"&amp;COUNTIFS($D$6:D567,D567,$I$6:I567,"&lt;100"),"")</x:f>
        <x:v>RahulO43</x:v>
      </x:c>
      <x:c r="S567" s="278" t="n">
        <x:f>IF(COUNTIF($B$6:$B$605,B567)&gt;1,1,0)</x:f>
        <x:v>0</x:v>
      </x:c>
    </x:row>
    <x:row r="568" ht="15" hidden="0">
      <x:c r="A568" s="83" t="s">
        <x:v>308</x:v>
      </x:c>
      <x:c r="B568" s="83" t="s">
        <x:v>1110</x:v>
      </x:c>
      <x:c r="C568" s="83" t="s">
        <x:v>451</x:v>
      </x:c>
      <x:c r="D568" s="83" t="s">
        <x:v>441</x:v>
      </x:c>
      <x:c r="E568" s="83" t="s">
        <x:v>442</x:v>
      </x:c>
      <x:c r="F568" s="83" t="s">
        <x:v>557</x:v>
      </x:c>
      <x:c r="G568" s="85" t="n">
        <x:v>46353</x:v>
      </x:c>
      <x:c r="H568" s="85" t="n">
        <x:v>46368</x:v>
      </x:c>
      <x:c r="I568" s="87" t="n">
        <x:v>96</x:v>
      </x:c>
      <x:c r="J568" s="83" t="s">
        <x:v>543</x:v>
      </x:c>
      <x:c r="K568" s="83"/>
      <x:c r="L568" s="83" t="s">
        <x:v>395</x:v>
      </x:c>
      <x:c r="M568" s="83" t="n">
        <x:v>93</x:v>
      </x:c>
      <x:c r="N568" s="83" t="n">
        <x:v>84</x:v>
      </x:c>
      <x:c r="O568" s="85" t="n">
        <x:v>46274</x:v>
      </x:c>
      <x:c r="P568" s="89" t="str">
        <x:f aca="0">A568&amp;TEXT(COUNTIF($A$6:A568,A568),"00")</x:f>
        <x:v>P09405</x:v>
      </x:c>
      <x:c r="Q568" s="89" t="str">
        <x:f aca="0">IF(I568&lt;100,A568&amp;"O"&amp;COUNTIFS($A$6:A568,A568,$I$6:I568,"&lt;100"),"")</x:f>
        <x:v>P094O5</x:v>
      </x:c>
      <x:c r="R568" s="89" t="str">
        <x:f aca="0">IF(I568&lt;100,D568&amp;"O"&amp;COUNTIFS($D$6:D568,D568,$I$6:I568,"&lt;100"),"")</x:f>
        <x:v>KaranO46</x:v>
      </x:c>
      <x:c r="S568" s="278" t="n">
        <x:f>IF(COUNTIF($B$6:$B$605,B568)&gt;1,1,0)</x:f>
        <x:v>0</x:v>
      </x:c>
    </x:row>
    <x:row r="569" ht="15" hidden="0">
      <x:c r="A569" s="83" t="s">
        <x:v>308</x:v>
      </x:c>
      <x:c r="B569" s="83" t="s">
        <x:v>1111</x:v>
      </x:c>
      <x:c r="C569" s="83" t="s">
        <x:v>454</x:v>
      </x:c>
      <x:c r="D569" s="83" t="s">
        <x:v>445</x:v>
      </x:c>
      <x:c r="E569" s="83" t="s">
        <x:v>446</x:v>
      </x:c>
      <x:c r="F569" s="83" t="s">
        <x:v>546</x:v>
      </x:c>
      <x:c r="G569" s="85" t="n">
        <x:v>46367</x:v>
      </x:c>
      <x:c r="H569" s="85" t="n">
        <x:v>46378</x:v>
      </x:c>
      <x:c r="I569" s="87" t="n">
        <x:v>83</x:v>
      </x:c>
      <x:c r="J569" s="83" t="s">
        <x:v>543</x:v>
      </x:c>
      <x:c r="K569" s="83"/>
      <x:c r="L569" s="83" t="s">
        <x:v>395</x:v>
      </x:c>
      <x:c r="M569" s="83" t="n">
        <x:v>84</x:v>
      </x:c>
      <x:c r="N569" s="83" t="n">
        <x:v>56</x:v>
      </x:c>
      <x:c r="O569" s="85" t="n">
        <x:v>46274</x:v>
      </x:c>
      <x:c r="P569" s="89" t="str">
        <x:f aca="0">A569&amp;TEXT(COUNTIF($A$6:A569,A569),"00")</x:f>
        <x:v>P09406</x:v>
      </x:c>
      <x:c r="Q569" s="89" t="str">
        <x:f aca="0">IF(I569&lt;100,A569&amp;"O"&amp;COUNTIFS($A$6:A569,A569,$I$6:I569,"&lt;100"),"")</x:f>
        <x:v>P094O6</x:v>
      </x:c>
      <x:c r="R569" s="89" t="str">
        <x:f aca="0">IF(I569&lt;100,D569&amp;"O"&amp;COUNTIFS($D$6:D569,D569,$I$6:I569,"&lt;100"),"")</x:f>
        <x:v>MeeraO46</x:v>
      </x:c>
      <x:c r="S569" s="278" t="n">
        <x:f>IF(COUNTIF($B$6:$B$605,B569)&gt;1,1,0)</x:f>
        <x:v>0</x:v>
      </x:c>
    </x:row>
    <x:row r="570" ht="15" hidden="0">
      <x:c r="A570" s="83" t="s">
        <x:v>258</x:v>
      </x:c>
      <x:c r="B570" s="83" t="s">
        <x:v>1112</x:v>
      </x:c>
      <x:c r="C570" s="83" t="s">
        <x:v>433</x:v>
      </x:c>
      <x:c r="D570" s="83" t="s">
        <x:v>360</x:v>
      </x:c>
      <x:c r="E570" s="83" t="s">
        <x:v>441</x:v>
      </x:c>
      <x:c r="F570" s="83" t="s">
        <x:v>493</x:v>
      </x:c>
      <x:c r="G570" s="85" t="n">
        <x:v>46298</x:v>
      </x:c>
      <x:c r="H570" s="85" t="n">
        <x:v>46318</x:v>
      </x:c>
      <x:c r="I570" s="87" t="n">
        <x:v>90</x:v>
      </x:c>
      <x:c r="J570" s="83" t="s">
        <x:v>543</x:v>
      </x:c>
      <x:c r="K570" s="83" t="s">
        <x:v>396</x:v>
      </x:c>
      <x:c r="L570" s="83" t="s">
        <x:v>395</x:v>
      </x:c>
      <x:c r="M570" s="83" t="n">
        <x:v>83</x:v>
      </x:c>
      <x:c r="N570" s="83" t="n">
        <x:v>64</x:v>
      </x:c>
      <x:c r="O570" s="85" t="n">
        <x:v>46274</x:v>
      </x:c>
      <x:c r="P570" s="89" t="str">
        <x:f aca="0">A570&amp;TEXT(COUNTIF($A$6:A570,A570),"00")</x:f>
        <x:v>P09501</x:v>
      </x:c>
      <x:c r="Q570" s="89" t="str">
        <x:f aca="0">IF(I570&lt;100,A570&amp;"O"&amp;COUNTIFS($A$6:A570,A570,$I$6:I570,"&lt;100"),"")</x:f>
        <x:v>P095O1</x:v>
      </x:c>
      <x:c r="R570" s="89" t="str">
        <x:f aca="0">IF(I570&lt;100,D570&amp;"O"&amp;COUNTIFS($D$6:D570,D570,$I$6:I570,"&lt;100"),"")</x:f>
        <x:v>AmitO46</x:v>
      </x:c>
      <x:c r="S570" s="278" t="n">
        <x:f>IF(COUNTIF($B$6:$B$605,B570)&gt;1,1,0)</x:f>
        <x:v>0</x:v>
      </x:c>
    </x:row>
    <x:row r="571" ht="15" hidden="0">
      <x:c r="A571" s="83" t="s">
        <x:v>258</x:v>
      </x:c>
      <x:c r="B571" s="83" t="s">
        <x:v>1113</x:v>
      </x:c>
      <x:c r="C571" s="83" t="s">
        <x:v>440</x:v>
      </x:c>
      <x:c r="D571" s="83" t="s">
        <x:v>475</x:v>
      </x:c>
      <x:c r="E571" s="83" t="s">
        <x:v>445</x:v>
      </x:c>
      <x:c r="F571" s="83" t="s">
        <x:v>493</x:v>
      </x:c>
      <x:c r="G571" s="85" t="n">
        <x:v>46312</x:v>
      </x:c>
      <x:c r="H571" s="85" t="n">
        <x:v>46329</x:v>
      </x:c>
      <x:c r="I571" s="87" t="n">
        <x:v>77</x:v>
      </x:c>
      <x:c r="J571" s="83" t="s">
        <x:v>543</x:v>
      </x:c>
      <x:c r="K571" s="83"/>
      <x:c r="L571" s="83" t="s">
        <x:v>395</x:v>
      </x:c>
      <x:c r="M571" s="83" t="n">
        <x:v>90</x:v>
      </x:c>
      <x:c r="N571" s="83" t="n">
        <x:v>95</x:v>
      </x:c>
      <x:c r="O571" s="85" t="n">
        <x:v>46274</x:v>
      </x:c>
      <x:c r="P571" s="89" t="str">
        <x:f aca="0">A571&amp;TEXT(COUNTIF($A$6:A571,A571),"00")</x:f>
        <x:v>P09502</x:v>
      </x:c>
      <x:c r="Q571" s="89" t="str">
        <x:f aca="0">IF(I571&lt;100,A571&amp;"O"&amp;COUNTIFS($A$6:A571,A571,$I$6:I571,"&lt;100"),"")</x:f>
        <x:v>P095O2</x:v>
      </x:c>
      <x:c r="R571" s="89" t="str">
        <x:f aca="0">IF(I571&lt;100,D571&amp;"O"&amp;COUNTIFS($D$6:D571,D571,$I$6:I571,"&lt;100"),"")</x:f>
        <x:v>PriyaO45</x:v>
      </x:c>
      <x:c r="S571" s="278" t="n">
        <x:f>IF(COUNTIF($B$6:$B$605,B571)&gt;1,1,0)</x:f>
        <x:v>0</x:v>
      </x:c>
    </x:row>
    <x:row r="572" ht="15" hidden="0">
      <x:c r="A572" s="83" t="s">
        <x:v>258</x:v>
      </x:c>
      <x:c r="B572" s="83" t="s">
        <x:v>1114</x:v>
      </x:c>
      <x:c r="C572" s="83" t="s">
        <x:v>444</x:v>
      </x:c>
      <x:c r="D572" s="83" t="s">
        <x:v>434</x:v>
      </x:c>
      <x:c r="E572" s="83" t="s">
        <x:v>435</x:v>
      </x:c>
      <x:c r="F572" s="83" t="s">
        <x:v>546</x:v>
      </x:c>
      <x:c r="G572" s="85" t="n">
        <x:v>46326</x:v>
      </x:c>
      <x:c r="H572" s="85" t="n">
        <x:v>46349</x:v>
      </x:c>
      <x:c r="I572" s="87" t="n">
        <x:v>91</x:v>
      </x:c>
      <x:c r="J572" s="83" t="s">
        <x:v>543</x:v>
      </x:c>
      <x:c r="K572" s="83" t="s">
        <x:v>396</x:v>
      </x:c>
      <x:c r="L572" s="83" t="s">
        <x:v>395</x:v>
      </x:c>
      <x:c r="M572" s="83" t="n">
        <x:v>42</x:v>
      </x:c>
      <x:c r="N572" s="83" t="n">
        <x:v>103</x:v>
      </x:c>
      <x:c r="O572" s="85" t="n">
        <x:v>46274</x:v>
      </x:c>
      <x:c r="P572" s="89" t="str">
        <x:f aca="0">A572&amp;TEXT(COUNTIF($A$6:A572,A572),"00")</x:f>
        <x:v>P09503</x:v>
      </x:c>
      <x:c r="Q572" s="89" t="str">
        <x:f aca="0">IF(I572&lt;100,A572&amp;"O"&amp;COUNTIFS($A$6:A572,A572,$I$6:I572,"&lt;100"),"")</x:f>
        <x:v>P095O3</x:v>
      </x:c>
      <x:c r="R572" s="89" t="str">
        <x:f aca="0">IF(I572&lt;100,D572&amp;"O"&amp;COUNTIFS($D$6:D572,D572,$I$6:I572,"&lt;100"),"")</x:f>
        <x:v>RahulO44</x:v>
      </x:c>
      <x:c r="S572" s="278" t="n">
        <x:f>IF(COUNTIF($B$6:$B$605,B572)&gt;1,1,0)</x:f>
        <x:v>0</x:v>
      </x:c>
    </x:row>
    <x:row r="573" ht="15" hidden="0">
      <x:c r="A573" s="83" t="s">
        <x:v>258</x:v>
      </x:c>
      <x:c r="B573" s="83" t="s">
        <x:v>1115</x:v>
      </x:c>
      <x:c r="C573" s="83" t="s">
        <x:v>448</x:v>
      </x:c>
      <x:c r="D573" s="83" t="s">
        <x:v>441</x:v>
      </x:c>
      <x:c r="E573" s="83" t="s">
        <x:v>442</x:v>
      </x:c>
      <x:c r="F573" s="83" t="s">
        <x:v>493</x:v>
      </x:c>
      <x:c r="G573" s="85" t="n">
        <x:v>46340</x:v>
      </x:c>
      <x:c r="H573" s="85" t="n">
        <x:v>46361</x:v>
      </x:c>
      <x:c r="I573" s="87" t="n">
        <x:v>78</x:v>
      </x:c>
      <x:c r="J573" s="83" t="s">
        <x:v>543</x:v>
      </x:c>
      <x:c r="K573" s="83"/>
      <x:c r="L573" s="83" t="s">
        <x:v>395</x:v>
      </x:c>
      <x:c r="M573" s="83" t="n">
        <x:v>48</x:v>
      </x:c>
      <x:c r="N573" s="83" t="n">
        <x:v>82</x:v>
      </x:c>
      <x:c r="O573" s="85" t="n">
        <x:v>46274</x:v>
      </x:c>
      <x:c r="P573" s="89" t="str">
        <x:f aca="0">A573&amp;TEXT(COUNTIF($A$6:A573,A573),"00")</x:f>
        <x:v>P09504</x:v>
      </x:c>
      <x:c r="Q573" s="89" t="str">
        <x:f aca="0">IF(I573&lt;100,A573&amp;"O"&amp;COUNTIFS($A$6:A573,A573,$I$6:I573,"&lt;100"),"")</x:f>
        <x:v>P095O4</x:v>
      </x:c>
      <x:c r="R573" s="89" t="str">
        <x:f aca="0">IF(I573&lt;100,D573&amp;"O"&amp;COUNTIFS($D$6:D573,D573,$I$6:I573,"&lt;100"),"")</x:f>
        <x:v>KaranO47</x:v>
      </x:c>
      <x:c r="S573" s="278" t="n">
        <x:f>IF(COUNTIF($B$6:$B$605,B573)&gt;1,1,0)</x:f>
        <x:v>0</x:v>
      </x:c>
    </x:row>
    <x:row r="574" ht="15" hidden="0">
      <x:c r="A574" s="83" t="s">
        <x:v>258</x:v>
      </x:c>
      <x:c r="B574" s="83" t="s">
        <x:v>1116</x:v>
      </x:c>
      <x:c r="C574" s="83" t="s">
        <x:v>451</x:v>
      </x:c>
      <x:c r="D574" s="83" t="s">
        <x:v>445</x:v>
      </x:c>
      <x:c r="E574" s="83" t="s">
        <x:v>446</x:v>
      </x:c>
      <x:c r="F574" s="83" t="s">
        <x:v>546</x:v>
      </x:c>
      <x:c r="G574" s="85" t="n">
        <x:v>46354</x:v>
      </x:c>
      <x:c r="H574" s="85" t="n">
        <x:v>46375</x:v>
      </x:c>
      <x:c r="I574" s="87" t="n">
        <x:v>97</x:v>
      </x:c>
      <x:c r="J574" s="83" t="s">
        <x:v>543</x:v>
      </x:c>
      <x:c r="K574" s="83" t="s">
        <x:v>396</x:v>
      </x:c>
      <x:c r="L574" s="83" t="s">
        <x:v>395</x:v>
      </x:c>
      <x:c r="M574" s="83" t="n">
        <x:v>88</x:v>
      </x:c>
      <x:c r="N574" s="83" t="n">
        <x:v>88</x:v>
      </x:c>
      <x:c r="O574" s="85" t="n">
        <x:v>46274</x:v>
      </x:c>
      <x:c r="P574" s="89" t="str">
        <x:f aca="0">A574&amp;TEXT(COUNTIF($A$6:A574,A574),"00")</x:f>
        <x:v>P09505</x:v>
      </x:c>
      <x:c r="Q574" s="89" t="str">
        <x:f aca="0">IF(I574&lt;100,A574&amp;"O"&amp;COUNTIFS($A$6:A574,A574,$I$6:I574,"&lt;100"),"")</x:f>
        <x:v>P095O5</x:v>
      </x:c>
      <x:c r="R574" s="89" t="str">
        <x:f aca="0">IF(I574&lt;100,D574&amp;"O"&amp;COUNTIFS($D$6:D574,D574,$I$6:I574,"&lt;100"),"")</x:f>
        <x:v>MeeraO47</x:v>
      </x:c>
      <x:c r="S574" s="278" t="n">
        <x:f>IF(COUNTIF($B$6:$B$605,B574)&gt;1,1,0)</x:f>
        <x:v>0</x:v>
      </x:c>
    </x:row>
    <x:row r="575" ht="15" hidden="0">
      <x:c r="A575" s="83" t="s">
        <x:v>258</x:v>
      </x:c>
      <x:c r="B575" s="83" t="s">
        <x:v>1117</x:v>
      </x:c>
      <x:c r="C575" s="83" t="s">
        <x:v>454</x:v>
      </x:c>
      <x:c r="D575" s="83" t="s">
        <x:v>435</x:v>
      </x:c>
      <x:c r="E575" s="83" t="s">
        <x:v>449</x:v>
      </x:c>
      <x:c r="F575" s="83" t="s">
        <x:v>550</x:v>
      </x:c>
      <x:c r="G575" s="85" t="n">
        <x:v>46368</x:v>
      </x:c>
      <x:c r="H575" s="85" t="n">
        <x:v>46385</x:v>
      </x:c>
      <x:c r="I575" s="87" t="n">
        <x:v>98</x:v>
      </x:c>
      <x:c r="J575" s="83" t="s">
        <x:v>543</x:v>
      </x:c>
      <x:c r="K575" s="83"/>
      <x:c r="L575" s="83" t="s">
        <x:v>395</x:v>
      </x:c>
      <x:c r="M575" s="83" t="n">
        <x:v>100</x:v>
      </x:c>
      <x:c r="N575" s="83" t="n">
        <x:v>63</x:v>
      </x:c>
      <x:c r="O575" s="85" t="n">
        <x:v>46274</x:v>
      </x:c>
      <x:c r="P575" s="89" t="str">
        <x:f aca="0">A575&amp;TEXT(COUNTIF($A$6:A575,A575),"00")</x:f>
        <x:v>P09506</x:v>
      </x:c>
      <x:c r="Q575" s="89" t="str">
        <x:f aca="0">IF(I575&lt;100,A575&amp;"O"&amp;COUNTIFS($A$6:A575,A575,$I$6:I575,"&lt;100"),"")</x:f>
        <x:v>P095O6</x:v>
      </x:c>
      <x:c r="R575" s="89" t="str">
        <x:f aca="0">IF(I575&lt;100,D575&amp;"O"&amp;COUNTIFS($D$6:D575,D575,$I$6:I575,"&lt;100"),"")</x:f>
        <x:v>VivekO47</x:v>
      </x:c>
      <x:c r="S575" s="278" t="n">
        <x:f>IF(COUNTIF($B$6:$B$605,B575)&gt;1,1,0)</x:f>
        <x:v>0</x:v>
      </x:c>
    </x:row>
    <x:row r="576" ht="15" hidden="0">
      <x:c r="A576" s="83" t="s">
        <x:v>135</x:v>
      </x:c>
      <x:c r="B576" s="83" t="s">
        <x:v>1118</x:v>
      </x:c>
      <x:c r="C576" s="83" t="s">
        <x:v>433</x:v>
      </x:c>
      <x:c r="D576" s="83" t="s">
        <x:v>475</x:v>
      </x:c>
      <x:c r="E576" s="83" t="s">
        <x:v>445</x:v>
      </x:c>
      <x:c r="F576" s="83" t="s">
        <x:v>557</x:v>
      </x:c>
      <x:c r="G576" s="85" t="n">
        <x:v>46299</x:v>
      </x:c>
      <x:c r="H576" s="85" t="n">
        <x:v>46314</x:v>
      </x:c>
      <x:c r="I576" s="87" t="n">
        <x:v>32</x:v>
      </x:c>
      <x:c r="J576" s="83" t="s">
        <x:v>543</x:v>
      </x:c>
      <x:c r="K576" s="83"/>
      <x:c r="L576" s="83" t="s">
        <x:v>395</x:v>
      </x:c>
      <x:c r="M576" s="83" t="n">
        <x:v>70</x:v>
      </x:c>
      <x:c r="N576" s="83" t="n">
        <x:v>75</x:v>
      </x:c>
      <x:c r="O576" s="85" t="n">
        <x:v>46274</x:v>
      </x:c>
      <x:c r="P576" s="89" t="str">
        <x:f aca="0">A576&amp;TEXT(COUNTIF($A$6:A576,A576),"00")</x:f>
        <x:v>P09601</x:v>
      </x:c>
      <x:c r="Q576" s="89" t="str">
        <x:f aca="0">IF(I576&lt;100,A576&amp;"O"&amp;COUNTIFS($A$6:A576,A576,$I$6:I576,"&lt;100"),"")</x:f>
        <x:v>P096O1</x:v>
      </x:c>
      <x:c r="R576" s="89" t="str">
        <x:f aca="0">IF(I576&lt;100,D576&amp;"O"&amp;COUNTIFS($D$6:D576,D576,$I$6:I576,"&lt;100"),"")</x:f>
        <x:v>PriyaO46</x:v>
      </x:c>
      <x:c r="S576" s="278" t="n">
        <x:f>IF(COUNTIF($B$6:$B$605,B576)&gt;1,1,0)</x:f>
        <x:v>0</x:v>
      </x:c>
    </x:row>
    <x:row r="577" ht="15" hidden="0">
      <x:c r="A577" s="83" t="s">
        <x:v>135</x:v>
      </x:c>
      <x:c r="B577" s="83" t="s">
        <x:v>1119</x:v>
      </x:c>
      <x:c r="C577" s="83" t="s">
        <x:v>440</x:v>
      </x:c>
      <x:c r="D577" s="83" t="s">
        <x:v>434</x:v>
      </x:c>
      <x:c r="E577" s="83" t="s">
        <x:v>435</x:v>
      </x:c>
      <x:c r="F577" s="83" t="s">
        <x:v>550</x:v>
      </x:c>
      <x:c r="G577" s="85" t="n">
        <x:v>46313</x:v>
      </x:c>
      <x:c r="H577" s="85" t="n">
        <x:v>46326</x:v>
      </x:c>
      <x:c r="I577" s="87" t="n">
        <x:v>36</x:v>
      </x:c>
      <x:c r="J577" s="83" t="s">
        <x:v>543</x:v>
      </x:c>
      <x:c r="K577" s="83"/>
      <x:c r="L577" s="83" t="s">
        <x:v>395</x:v>
      </x:c>
      <x:c r="M577" s="83" t="n">
        <x:v>61</x:v>
      </x:c>
      <x:c r="N577" s="83" t="n">
        <x:v>54</x:v>
      </x:c>
      <x:c r="O577" s="85" t="n">
        <x:v>46274</x:v>
      </x:c>
      <x:c r="P577" s="89" t="str">
        <x:f aca="0">A577&amp;TEXT(COUNTIF($A$6:A577,A577),"00")</x:f>
        <x:v>P09602</x:v>
      </x:c>
      <x:c r="Q577" s="89" t="str">
        <x:f aca="0">IF(I577&lt;100,A577&amp;"O"&amp;COUNTIFS($A$6:A577,A577,$I$6:I577,"&lt;100"),"")</x:f>
        <x:v>P096O2</x:v>
      </x:c>
      <x:c r="R577" s="89" t="str">
        <x:f aca="0">IF(I577&lt;100,D577&amp;"O"&amp;COUNTIFS($D$6:D577,D577,$I$6:I577,"&lt;100"),"")</x:f>
        <x:v>RahulO45</x:v>
      </x:c>
      <x:c r="S577" s="278" t="n">
        <x:f>IF(COUNTIF($B$6:$B$605,B577)&gt;1,1,0)</x:f>
        <x:v>0</x:v>
      </x:c>
    </x:row>
    <x:row r="578" ht="15" hidden="0">
      <x:c r="A578" s="83" t="s">
        <x:v>135</x:v>
      </x:c>
      <x:c r="B578" s="83" t="s">
        <x:v>1120</x:v>
      </x:c>
      <x:c r="C578" s="83" t="s">
        <x:v>444</x:v>
      </x:c>
      <x:c r="D578" s="83" t="s">
        <x:v>441</x:v>
      </x:c>
      <x:c r="E578" s="83" t="s">
        <x:v>442</x:v>
      </x:c>
      <x:c r="F578" s="83" t="s">
        <x:v>557</x:v>
      </x:c>
      <x:c r="G578" s="85" t="n">
        <x:v>46327</x:v>
      </x:c>
      <x:c r="H578" s="85" t="n">
        <x:v>46339</x:v>
      </x:c>
      <x:c r="I578" s="87" t="n">
        <x:v>27</x:v>
      </x:c>
      <x:c r="J578" s="83" t="s">
        <x:v>543</x:v>
      </x:c>
      <x:c r="K578" s="83"/>
      <x:c r="L578" s="83" t="s">
        <x:v>395</x:v>
      </x:c>
      <x:c r="M578" s="83" t="n">
        <x:v>22</x:v>
      </x:c>
      <x:c r="N578" s="83" t="n">
        <x:v>33</x:v>
      </x:c>
      <x:c r="O578" s="85" t="n">
        <x:v>46274</x:v>
      </x:c>
      <x:c r="P578" s="89" t="str">
        <x:f aca="0">A578&amp;TEXT(COUNTIF($A$6:A578,A578),"00")</x:f>
        <x:v>P09603</x:v>
      </x:c>
      <x:c r="Q578" s="89" t="str">
        <x:f aca="0">IF(I578&lt;100,A578&amp;"O"&amp;COUNTIFS($A$6:A578,A578,$I$6:I578,"&lt;100"),"")</x:f>
        <x:v>P096O3</x:v>
      </x:c>
      <x:c r="R578" s="89" t="str">
        <x:f aca="0">IF(I578&lt;100,D578&amp;"O"&amp;COUNTIFS($D$6:D578,D578,$I$6:I578,"&lt;100"),"")</x:f>
        <x:v>KaranO48</x:v>
      </x:c>
      <x:c r="S578" s="278" t="n">
        <x:f>IF(COUNTIF($B$6:$B$605,B578)&gt;1,1,0)</x:f>
        <x:v>0</x:v>
      </x:c>
    </x:row>
    <x:row r="579" ht="15" hidden="0">
      <x:c r="A579" s="83" t="s">
        <x:v>135</x:v>
      </x:c>
      <x:c r="B579" s="83" t="s">
        <x:v>1121</x:v>
      </x:c>
      <x:c r="C579" s="83" t="s">
        <x:v>448</x:v>
      </x:c>
      <x:c r="D579" s="83" t="s">
        <x:v>445</x:v>
      </x:c>
      <x:c r="E579" s="83" t="s">
        <x:v>446</x:v>
      </x:c>
      <x:c r="F579" s="83" t="s">
        <x:v>493</x:v>
      </x:c>
      <x:c r="G579" s="85" t="n">
        <x:v>46341</x:v>
      </x:c>
      <x:c r="H579" s="85" t="n">
        <x:v>46356</x:v>
      </x:c>
      <x:c r="I579" s="87" t="n">
        <x:v>34</x:v>
      </x:c>
      <x:c r="J579" s="83" t="s">
        <x:v>586</x:v>
      </x:c>
      <x:c r="K579" s="83" t="s">
        <x:v>413</x:v>
      </x:c>
      <x:c r="L579" s="83" t="s">
        <x:v>412</x:v>
      </x:c>
      <x:c r="M579" s="83" t="n">
        <x:v>49</x:v>
      </x:c>
      <x:c r="N579" s="83" t="n">
        <x:v>59</x:v>
      </x:c>
      <x:c r="O579" s="85" t="n">
        <x:v>46274</x:v>
      </x:c>
      <x:c r="P579" s="89" t="str">
        <x:f aca="0">A579&amp;TEXT(COUNTIF($A$6:A579,A579),"00")</x:f>
        <x:v>P09604</x:v>
      </x:c>
      <x:c r="Q579" s="89" t="str">
        <x:f aca="0">IF(I579&lt;100,A579&amp;"O"&amp;COUNTIFS($A$6:A579,A579,$I$6:I579,"&lt;100"),"")</x:f>
        <x:v>P096O4</x:v>
      </x:c>
      <x:c r="R579" s="89" t="str">
        <x:f aca="0">IF(I579&lt;100,D579&amp;"O"&amp;COUNTIFS($D$6:D579,D579,$I$6:I579,"&lt;100"),"")</x:f>
        <x:v>MeeraO48</x:v>
      </x:c>
      <x:c r="S579" s="278" t="n">
        <x:f>IF(COUNTIF($B$6:$B$605,B579)&gt;1,1,0)</x:f>
        <x:v>0</x:v>
      </x:c>
    </x:row>
    <x:row r="580" ht="15" hidden="0">
      <x:c r="A580" s="83" t="s">
        <x:v>135</x:v>
      </x:c>
      <x:c r="B580" s="83" t="s">
        <x:v>1122</x:v>
      </x:c>
      <x:c r="C580" s="83" t="s">
        <x:v>451</x:v>
      </x:c>
      <x:c r="D580" s="83" t="s">
        <x:v>435</x:v>
      </x:c>
      <x:c r="E580" s="83" t="s">
        <x:v>449</x:v>
      </x:c>
      <x:c r="F580" s="83" t="s">
        <x:v>546</x:v>
      </x:c>
      <x:c r="G580" s="85" t="n">
        <x:v>46355</x:v>
      </x:c>
      <x:c r="H580" s="85" t="n">
        <x:v>46369</x:v>
      </x:c>
      <x:c r="I580" s="87" t="n">
        <x:v>31</x:v>
      </x:c>
      <x:c r="J580" s="83" t="s">
        <x:v>586</x:v>
      </x:c>
      <x:c r="K580" s="83" t="s">
        <x:v>413</x:v>
      </x:c>
      <x:c r="L580" s="83" t="s">
        <x:v>412</x:v>
      </x:c>
      <x:c r="M580" s="83" t="n">
        <x:v>22</x:v>
      </x:c>
      <x:c r="N580" s="83" t="n">
        <x:v>26</x:v>
      </x:c>
      <x:c r="O580" s="85" t="n">
        <x:v>46274</x:v>
      </x:c>
      <x:c r="P580" s="89" t="str">
        <x:f aca="0">A580&amp;TEXT(COUNTIF($A$6:A580,A580),"00")</x:f>
        <x:v>P09605</x:v>
      </x:c>
      <x:c r="Q580" s="89" t="str">
        <x:f aca="0">IF(I580&lt;100,A580&amp;"O"&amp;COUNTIFS($A$6:A580,A580,$I$6:I580,"&lt;100"),"")</x:f>
        <x:v>P096O5</x:v>
      </x:c>
      <x:c r="R580" s="89" t="str">
        <x:f aca="0">IF(I580&lt;100,D580&amp;"O"&amp;COUNTIFS($D$6:D580,D580,$I$6:I580,"&lt;100"),"")</x:f>
        <x:v>VivekO48</x:v>
      </x:c>
      <x:c r="S580" s="278" t="n">
        <x:f>IF(COUNTIF($B$6:$B$605,B580)&gt;1,1,0)</x:f>
        <x:v>0</x:v>
      </x:c>
    </x:row>
    <x:row r="581" ht="15" hidden="0">
      <x:c r="A581" s="83" t="s">
        <x:v>135</x:v>
      </x:c>
      <x:c r="B581" s="83" t="s">
        <x:v>1123</x:v>
      </x:c>
      <x:c r="C581" s="83" t="s">
        <x:v>454</x:v>
      </x:c>
      <x:c r="D581" s="83" t="s">
        <x:v>442</x:v>
      </x:c>
      <x:c r="E581" s="83" t="s">
        <x:v>452</x:v>
      </x:c>
      <x:c r="F581" s="83" t="s">
        <x:v>493</x:v>
      </x:c>
      <x:c r="G581" s="85" t="n">
        <x:v>46369</x:v>
      </x:c>
      <x:c r="H581" s="85" t="n">
        <x:v>46383</x:v>
      </x:c>
      <x:c r="I581" s="87" t="n">
        <x:v>8</x:v>
      </x:c>
      <x:c r="J581" s="83" t="s">
        <x:v>586</x:v>
      </x:c>
      <x:c r="K581" s="83" t="s">
        <x:v>413</x:v>
      </x:c>
      <x:c r="L581" s="83" t="s">
        <x:v>412</x:v>
      </x:c>
      <x:c r="M581" s="83" t="n">
        <x:v>79</x:v>
      </x:c>
      <x:c r="N581" s="83" t="n">
        <x:v>77</x:v>
      </x:c>
      <x:c r="O581" s="85" t="n">
        <x:v>46274</x:v>
      </x:c>
      <x:c r="P581" s="89" t="str">
        <x:f aca="0">A581&amp;TEXT(COUNTIF($A$6:A581,A581),"00")</x:f>
        <x:v>P09606</x:v>
      </x:c>
      <x:c r="Q581" s="89" t="str">
        <x:f aca="0">IF(I581&lt;100,A581&amp;"O"&amp;COUNTIFS($A$6:A581,A581,$I$6:I581,"&lt;100"),"")</x:f>
        <x:v>P096O6</x:v>
      </x:c>
      <x:c r="R581" s="89" t="str">
        <x:f aca="0">IF(I581&lt;100,D581&amp;"O"&amp;COUNTIFS($D$6:D581,D581,$I$6:I581,"&lt;100"),"")</x:f>
        <x:v>RituO46</x:v>
      </x:c>
      <x:c r="S581" s="278" t="n">
        <x:f>IF(COUNTIF($B$6:$B$605,B581)&gt;1,1,0)</x:f>
        <x:v>0</x:v>
      </x:c>
    </x:row>
    <x:row r="582" ht="15" hidden="0">
      <x:c r="A582" s="83" t="s">
        <x:v>177</x:v>
      </x:c>
      <x:c r="B582" s="83" t="s">
        <x:v>1124</x:v>
      </x:c>
      <x:c r="C582" s="83" t="s">
        <x:v>433</x:v>
      </x:c>
      <x:c r="D582" s="83" t="s">
        <x:v>434</x:v>
      </x:c>
      <x:c r="E582" s="83" t="s">
        <x:v>435</x:v>
      </x:c>
      <x:c r="F582" s="83" t="s">
        <x:v>550</x:v>
      </x:c>
      <x:c r="G582" s="85" t="n">
        <x:v>46300</x:v>
      </x:c>
      <x:c r="H582" s="85" t="n">
        <x:v>46317</x:v>
      </x:c>
      <x:c r="I582" s="87" t="n">
        <x:v>30</x:v>
      </x:c>
      <x:c r="J582" s="83" t="s">
        <x:v>543</x:v>
      </x:c>
      <x:c r="K582" s="83"/>
      <x:c r="L582" s="83" t="s">
        <x:v>395</x:v>
      </x:c>
      <x:c r="M582" s="83" t="n">
        <x:v>48</x:v>
      </x:c>
      <x:c r="N582" s="83" t="n">
        <x:v>33</x:v>
      </x:c>
      <x:c r="O582" s="85" t="n">
        <x:v>46274</x:v>
      </x:c>
      <x:c r="P582" s="89" t="str">
        <x:f aca="0">A582&amp;TEXT(COUNTIF($A$6:A582,A582),"00")</x:f>
        <x:v>P09701</x:v>
      </x:c>
      <x:c r="Q582" s="89" t="str">
        <x:f aca="0">IF(I582&lt;100,A582&amp;"O"&amp;COUNTIFS($A$6:A582,A582,$I$6:I582,"&lt;100"),"")</x:f>
        <x:v>P097O1</x:v>
      </x:c>
      <x:c r="R582" s="89" t="str">
        <x:f aca="0">IF(I582&lt;100,D582&amp;"O"&amp;COUNTIFS($D$6:D582,D582,$I$6:I582,"&lt;100"),"")</x:f>
        <x:v>RahulO46</x:v>
      </x:c>
      <x:c r="S582" s="278" t="n">
        <x:f>IF(COUNTIF($B$6:$B$605,B582)&gt;1,1,0)</x:f>
        <x:v>0</x:v>
      </x:c>
    </x:row>
    <x:row r="583" ht="15" hidden="0">
      <x:c r="A583" s="83" t="s">
        <x:v>177</x:v>
      </x:c>
      <x:c r="B583" s="83" t="s">
        <x:v>1125</x:v>
      </x:c>
      <x:c r="C583" s="83" t="s">
        <x:v>440</x:v>
      </x:c>
      <x:c r="D583" s="83" t="s">
        <x:v>441</x:v>
      </x:c>
      <x:c r="E583" s="83" t="s">
        <x:v>442</x:v>
      </x:c>
      <x:c r="F583" s="83" t="s">
        <x:v>493</x:v>
      </x:c>
      <x:c r="G583" s="85" t="n">
        <x:v>46314</x:v>
      </x:c>
      <x:c r="H583" s="85" t="n">
        <x:v>46329</x:v>
      </x:c>
      <x:c r="I583" s="87" t="n">
        <x:v>46</x:v>
      </x:c>
      <x:c r="J583" s="83" t="s">
        <x:v>543</x:v>
      </x:c>
      <x:c r="K583" s="83" t="s">
        <x:v>396</x:v>
      </x:c>
      <x:c r="L583" s="83" t="s">
        <x:v>395</x:v>
      </x:c>
      <x:c r="M583" s="83" t="n">
        <x:v>91</x:v>
      </x:c>
      <x:c r="N583" s="83" t="n">
        <x:v>66</x:v>
      </x:c>
      <x:c r="O583" s="85" t="n">
        <x:v>46274</x:v>
      </x:c>
      <x:c r="P583" s="89" t="str">
        <x:f aca="0">A583&amp;TEXT(COUNTIF($A$6:A583,A583),"00")</x:f>
        <x:v>P09702</x:v>
      </x:c>
      <x:c r="Q583" s="89" t="str">
        <x:f aca="0">IF(I583&lt;100,A583&amp;"O"&amp;COUNTIFS($A$6:A583,A583,$I$6:I583,"&lt;100"),"")</x:f>
        <x:v>P097O2</x:v>
      </x:c>
      <x:c r="R583" s="89" t="str">
        <x:f aca="0">IF(I583&lt;100,D583&amp;"O"&amp;COUNTIFS($D$6:D583,D583,$I$6:I583,"&lt;100"),"")</x:f>
        <x:v>KaranO49</x:v>
      </x:c>
      <x:c r="S583" s="278" t="n">
        <x:f>IF(COUNTIF($B$6:$B$605,B583)&gt;1,1,0)</x:f>
        <x:v>0</x:v>
      </x:c>
    </x:row>
    <x:row r="584" ht="15" hidden="0">
      <x:c r="A584" s="83" t="s">
        <x:v>177</x:v>
      </x:c>
      <x:c r="B584" s="83" t="s">
        <x:v>1126</x:v>
      </x:c>
      <x:c r="C584" s="83" t="s">
        <x:v>444</x:v>
      </x:c>
      <x:c r="D584" s="83" t="s">
        <x:v>445</x:v>
      </x:c>
      <x:c r="E584" s="83" t="s">
        <x:v>446</x:v>
      </x:c>
      <x:c r="F584" s="83" t="s">
        <x:v>550</x:v>
      </x:c>
      <x:c r="G584" s="85" t="n">
        <x:v>46328</x:v>
      </x:c>
      <x:c r="H584" s="85" t="n">
        <x:v>46347</x:v>
      </x:c>
      <x:c r="I584" s="87" t="n">
        <x:v>47</x:v>
      </x:c>
      <x:c r="J584" s="83" t="s">
        <x:v>543</x:v>
      </x:c>
      <x:c r="K584" s="83"/>
      <x:c r="L584" s="83" t="s">
        <x:v>395</x:v>
      </x:c>
      <x:c r="M584" s="83" t="n">
        <x:v>68</x:v>
      </x:c>
      <x:c r="N584" s="83" t="n">
        <x:v>29</x:v>
      </x:c>
      <x:c r="O584" s="85" t="n">
        <x:v>46274</x:v>
      </x:c>
      <x:c r="P584" s="89" t="str">
        <x:f aca="0">A584&amp;TEXT(COUNTIF($A$6:A584,A584),"00")</x:f>
        <x:v>P09703</x:v>
      </x:c>
      <x:c r="Q584" s="89" t="str">
        <x:f aca="0">IF(I584&lt;100,A584&amp;"O"&amp;COUNTIFS($A$6:A584,A584,$I$6:I584,"&lt;100"),"")</x:f>
        <x:v>P097O3</x:v>
      </x:c>
      <x:c r="R584" s="89" t="str">
        <x:f aca="0">IF(I584&lt;100,D584&amp;"O"&amp;COUNTIFS($D$6:D584,D584,$I$6:I584,"&lt;100"),"")</x:f>
        <x:v>MeeraO49</x:v>
      </x:c>
      <x:c r="S584" s="278" t="n">
        <x:f>IF(COUNTIF($B$6:$B$605,B584)&gt;1,1,0)</x:f>
        <x:v>0</x:v>
      </x:c>
    </x:row>
    <x:row r="585" ht="15" hidden="0">
      <x:c r="A585" s="83" t="s">
        <x:v>177</x:v>
      </x:c>
      <x:c r="B585" s="83" t="s">
        <x:v>1127</x:v>
      </x:c>
      <x:c r="C585" s="83" t="s">
        <x:v>448</x:v>
      </x:c>
      <x:c r="D585" s="83" t="s">
        <x:v>435</x:v>
      </x:c>
      <x:c r="E585" s="83" t="s">
        <x:v>449</x:v>
      </x:c>
      <x:c r="F585" s="83" t="s">
        <x:v>557</x:v>
      </x:c>
      <x:c r="G585" s="85" t="n">
        <x:v>46342</x:v>
      </x:c>
      <x:c r="H585" s="85" t="n">
        <x:v>46360</x:v>
      </x:c>
      <x:c r="I585" s="87" t="n">
        <x:v>64</x:v>
      </x:c>
      <x:c r="J585" s="83" t="s">
        <x:v>543</x:v>
      </x:c>
      <x:c r="K585" s="83"/>
      <x:c r="L585" s="83" t="s">
        <x:v>395</x:v>
      </x:c>
      <x:c r="M585" s="83" t="n">
        <x:v>69</x:v>
      </x:c>
      <x:c r="N585" s="83" t="n">
        <x:v>51</x:v>
      </x:c>
      <x:c r="O585" s="85" t="n">
        <x:v>46274</x:v>
      </x:c>
      <x:c r="P585" s="89" t="str">
        <x:f aca="0">A585&amp;TEXT(COUNTIF($A$6:A585,A585),"00")</x:f>
        <x:v>P09704</x:v>
      </x:c>
      <x:c r="Q585" s="89" t="str">
        <x:f aca="0">IF(I585&lt;100,A585&amp;"O"&amp;COUNTIFS($A$6:A585,A585,$I$6:I585,"&lt;100"),"")</x:f>
        <x:v>P097O4</x:v>
      </x:c>
      <x:c r="R585" s="89" t="str">
        <x:f aca="0">IF(I585&lt;100,D585&amp;"O"&amp;COUNTIFS($D$6:D585,D585,$I$6:I585,"&lt;100"),"")</x:f>
        <x:v>VivekO49</x:v>
      </x:c>
      <x:c r="S585" s="278" t="n">
        <x:f>IF(COUNTIF($B$6:$B$605,B585)&gt;1,1,0)</x:f>
        <x:v>0</x:v>
      </x:c>
    </x:row>
    <x:row r="586" ht="15" hidden="0">
      <x:c r="A586" s="83" t="s">
        <x:v>177</x:v>
      </x:c>
      <x:c r="B586" s="83" t="s">
        <x:v>1128</x:v>
      </x:c>
      <x:c r="C586" s="83" t="s">
        <x:v>451</x:v>
      </x:c>
      <x:c r="D586" s="83" t="s">
        <x:v>442</x:v>
      </x:c>
      <x:c r="E586" s="83" t="s">
        <x:v>452</x:v>
      </x:c>
      <x:c r="F586" s="83" t="s">
        <x:v>557</x:v>
      </x:c>
      <x:c r="G586" s="85" t="n">
        <x:v>46356</x:v>
      </x:c>
      <x:c r="H586" s="85" t="n">
        <x:v>46366</x:v>
      </x:c>
      <x:c r="I586" s="87" t="n">
        <x:v>28</x:v>
      </x:c>
      <x:c r="J586" s="83" t="s">
        <x:v>543</x:v>
      </x:c>
      <x:c r="K586" s="83"/>
      <x:c r="L586" s="83" t="s">
        <x:v>395</x:v>
      </x:c>
      <x:c r="M586" s="83" t="n">
        <x:v>65</x:v>
      </x:c>
      <x:c r="N586" s="83" t="n">
        <x:v>103</x:v>
      </x:c>
      <x:c r="O586" s="85" t="n">
        <x:v>46274</x:v>
      </x:c>
      <x:c r="P586" s="89" t="str">
        <x:f aca="0">A586&amp;TEXT(COUNTIF($A$6:A586,A586),"00")</x:f>
        <x:v>P09705</x:v>
      </x:c>
      <x:c r="Q586" s="89" t="str">
        <x:f aca="0">IF(I586&lt;100,A586&amp;"O"&amp;COUNTIFS($A$6:A586,A586,$I$6:I586,"&lt;100"),"")</x:f>
        <x:v>P097O5</x:v>
      </x:c>
      <x:c r="R586" s="89" t="str">
        <x:f aca="0">IF(I586&lt;100,D586&amp;"O"&amp;COUNTIFS($D$6:D586,D586,$I$6:I586,"&lt;100"),"")</x:f>
        <x:v>RituO47</x:v>
      </x:c>
      <x:c r="S586" s="278" t="n">
        <x:f>IF(COUNTIF($B$6:$B$605,B586)&gt;1,1,0)</x:f>
        <x:v>0</x:v>
      </x:c>
    </x:row>
    <x:row r="587" ht="15" hidden="0">
      <x:c r="A587" s="83" t="s">
        <x:v>177</x:v>
      </x:c>
      <x:c r="B587" s="83" t="s">
        <x:v>1129</x:v>
      </x:c>
      <x:c r="C587" s="83" t="s">
        <x:v>454</x:v>
      </x:c>
      <x:c r="D587" s="83" t="s">
        <x:v>446</x:v>
      </x:c>
      <x:c r="E587" s="83" t="s">
        <x:v>455</x:v>
      </x:c>
      <x:c r="F587" s="83" t="s">
        <x:v>546</x:v>
      </x:c>
      <x:c r="G587" s="85" t="n">
        <x:v>46370</x:v>
      </x:c>
      <x:c r="H587" s="85" t="n">
        <x:v>46393</x:v>
      </x:c>
      <x:c r="I587" s="87" t="n">
        <x:v>55</x:v>
      </x:c>
      <x:c r="J587" s="83" t="s">
        <x:v>543</x:v>
      </x:c>
      <x:c r="K587" s="83"/>
      <x:c r="L587" s="83" t="s">
        <x:v>395</x:v>
      </x:c>
      <x:c r="M587" s="83" t="n">
        <x:v>71</x:v>
      </x:c>
      <x:c r="N587" s="83" t="n">
        <x:v>99</x:v>
      </x:c>
      <x:c r="O587" s="85" t="n">
        <x:v>46274</x:v>
      </x:c>
      <x:c r="P587" s="89" t="str">
        <x:f aca="0">A587&amp;TEXT(COUNTIF($A$6:A587,A587),"00")</x:f>
        <x:v>P09706</x:v>
      </x:c>
      <x:c r="Q587" s="89" t="str">
        <x:f aca="0">IF(I587&lt;100,A587&amp;"O"&amp;COUNTIFS($A$6:A587,A587,$I$6:I587,"&lt;100"),"")</x:f>
        <x:v>P097O6</x:v>
      </x:c>
      <x:c r="R587" s="89" t="str">
        <x:f aca="0">IF(I587&lt;100,D587&amp;"O"&amp;COUNTIFS($D$6:D587,D587,$I$6:I587,"&lt;100"),"")</x:f>
        <x:v>SanjayO48</x:v>
      </x:c>
      <x:c r="S587" s="278" t="n">
        <x:f>IF(COUNTIF($B$6:$B$605,B587)&gt;1,1,0)</x:f>
        <x:v>0</x:v>
      </x:c>
    </x:row>
    <x:row r="588" ht="15" hidden="0">
      <x:c r="A588" s="83" t="s">
        <x:v>148</x:v>
      </x:c>
      <x:c r="B588" s="83" t="s">
        <x:v>1130</x:v>
      </x:c>
      <x:c r="C588" s="83" t="s">
        <x:v>433</x:v>
      </x:c>
      <x:c r="D588" s="83" t="s">
        <x:v>441</x:v>
      </x:c>
      <x:c r="E588" s="83" t="s">
        <x:v>442</x:v>
      </x:c>
      <x:c r="F588" s="83" t="s">
        <x:v>550</x:v>
      </x:c>
      <x:c r="G588" s="85" t="n">
        <x:v>46301</x:v>
      </x:c>
      <x:c r="H588" s="85" t="n">
        <x:v>46317</x:v>
      </x:c>
      <x:c r="I588" s="87" t="n">
        <x:v>90</x:v>
      </x:c>
      <x:c r="J588" s="83" t="s">
        <x:v>543</x:v>
      </x:c>
      <x:c r="K588" s="83"/>
      <x:c r="L588" s="83" t="s">
        <x:v>395</x:v>
      </x:c>
      <x:c r="M588" s="83" t="n">
        <x:v>31</x:v>
      </x:c>
      <x:c r="N588" s="83" t="n">
        <x:v>66</x:v>
      </x:c>
      <x:c r="O588" s="85" t="n">
        <x:v>46274</x:v>
      </x:c>
      <x:c r="P588" s="89" t="str">
        <x:f aca="0">A588&amp;TEXT(COUNTIF($A$6:A588,A588),"00")</x:f>
        <x:v>P09801</x:v>
      </x:c>
      <x:c r="Q588" s="89" t="str">
        <x:f aca="0">IF(I588&lt;100,A588&amp;"O"&amp;COUNTIFS($A$6:A588,A588,$I$6:I588,"&lt;100"),"")</x:f>
        <x:v>P098O1</x:v>
      </x:c>
      <x:c r="R588" s="89" t="str">
        <x:f aca="0">IF(I588&lt;100,D588&amp;"O"&amp;COUNTIFS($D$6:D588,D588,$I$6:I588,"&lt;100"),"")</x:f>
        <x:v>KaranO50</x:v>
      </x:c>
      <x:c r="S588" s="278" t="n">
        <x:f>IF(COUNTIF($B$6:$B$605,B588)&gt;1,1,0)</x:f>
        <x:v>0</x:v>
      </x:c>
    </x:row>
    <x:row r="589" ht="15" hidden="0">
      <x:c r="A589" s="83" t="s">
        <x:v>148</x:v>
      </x:c>
      <x:c r="B589" s="83" t="s">
        <x:v>1131</x:v>
      </x:c>
      <x:c r="C589" s="83" t="s">
        <x:v>440</x:v>
      </x:c>
      <x:c r="D589" s="83" t="s">
        <x:v>445</x:v>
      </x:c>
      <x:c r="E589" s="83" t="s">
        <x:v>446</x:v>
      </x:c>
      <x:c r="F589" s="83" t="s">
        <x:v>493</x:v>
      </x:c>
      <x:c r="G589" s="85" t="n">
        <x:v>46315</x:v>
      </x:c>
      <x:c r="H589" s="85" t="n">
        <x:v>46335</x:v>
      </x:c>
      <x:c r="I589" s="87" t="n">
        <x:v>93</x:v>
      </x:c>
      <x:c r="J589" s="83" t="s">
        <x:v>543</x:v>
      </x:c>
      <x:c r="K589" s="83"/>
      <x:c r="L589" s="83" t="s">
        <x:v>395</x:v>
      </x:c>
      <x:c r="M589" s="83" t="n">
        <x:v>50</x:v>
      </x:c>
      <x:c r="N589" s="83" t="n">
        <x:v>16</x:v>
      </x:c>
      <x:c r="O589" s="85" t="n">
        <x:v>46274</x:v>
      </x:c>
      <x:c r="P589" s="89" t="str">
        <x:f aca="0">A589&amp;TEXT(COUNTIF($A$6:A589,A589),"00")</x:f>
        <x:v>P09802</x:v>
      </x:c>
      <x:c r="Q589" s="89" t="str">
        <x:f aca="0">IF(I589&lt;100,A589&amp;"O"&amp;COUNTIFS($A$6:A589,A589,$I$6:I589,"&lt;100"),"")</x:f>
        <x:v>P098O2</x:v>
      </x:c>
      <x:c r="R589" s="89" t="str">
        <x:f aca="0">IF(I589&lt;100,D589&amp;"O"&amp;COUNTIFS($D$6:D589,D589,$I$6:I589,"&lt;100"),"")</x:f>
        <x:v>MeeraO50</x:v>
      </x:c>
      <x:c r="S589" s="278" t="n">
        <x:f>IF(COUNTIF($B$6:$B$605,B589)&gt;1,1,0)</x:f>
        <x:v>0</x:v>
      </x:c>
    </x:row>
    <x:row r="590" ht="15" hidden="0">
      <x:c r="A590" s="83" t="s">
        <x:v>148</x:v>
      </x:c>
      <x:c r="B590" s="83" t="s">
        <x:v>1132</x:v>
      </x:c>
      <x:c r="C590" s="83" t="s">
        <x:v>444</x:v>
      </x:c>
      <x:c r="D590" s="83" t="s">
        <x:v>435</x:v>
      </x:c>
      <x:c r="E590" s="83" t="s">
        <x:v>449</x:v>
      </x:c>
      <x:c r="F590" s="83" t="s">
        <x:v>557</x:v>
      </x:c>
      <x:c r="G590" s="85" t="n">
        <x:v>46329</x:v>
      </x:c>
      <x:c r="H590" s="85" t="n">
        <x:v>46348</x:v>
      </x:c>
      <x:c r="I590" s="87" t="n">
        <x:v>90</x:v>
      </x:c>
      <x:c r="J590" s="83" t="s">
        <x:v>543</x:v>
      </x:c>
      <x:c r="K590" s="83"/>
      <x:c r="L590" s="83" t="s">
        <x:v>395</x:v>
      </x:c>
      <x:c r="M590" s="83" t="n">
        <x:v>99</x:v>
      </x:c>
      <x:c r="N590" s="83" t="n">
        <x:v>59</x:v>
      </x:c>
      <x:c r="O590" s="85" t="n">
        <x:v>46274</x:v>
      </x:c>
      <x:c r="P590" s="89" t="str">
        <x:f aca="0">A590&amp;TEXT(COUNTIF($A$6:A590,A590),"00")</x:f>
        <x:v>P09803</x:v>
      </x:c>
      <x:c r="Q590" s="89" t="str">
        <x:f aca="0">IF(I590&lt;100,A590&amp;"O"&amp;COUNTIFS($A$6:A590,A590,$I$6:I590,"&lt;100"),"")</x:f>
        <x:v>P098O3</x:v>
      </x:c>
      <x:c r="R590" s="89" t="str">
        <x:f aca="0">IF(I590&lt;100,D590&amp;"O"&amp;COUNTIFS($D$6:D590,D590,$I$6:I590,"&lt;100"),"")</x:f>
        <x:v>VivekO50</x:v>
      </x:c>
      <x:c r="S590" s="278" t="n">
        <x:f>IF(COUNTIF($B$6:$B$605,B590)&gt;1,1,0)</x:f>
        <x:v>0</x:v>
      </x:c>
    </x:row>
    <x:row r="591" ht="15" hidden="0">
      <x:c r="A591" s="83" t="s">
        <x:v>148</x:v>
      </x:c>
      <x:c r="B591" s="83" t="s">
        <x:v>1133</x:v>
      </x:c>
      <x:c r="C591" s="83" t="s">
        <x:v>448</x:v>
      </x:c>
      <x:c r="D591" s="83" t="s">
        <x:v>442</x:v>
      </x:c>
      <x:c r="E591" s="83" t="s">
        <x:v>452</x:v>
      </x:c>
      <x:c r="F591" s="83" t="s">
        <x:v>493</x:v>
      </x:c>
      <x:c r="G591" s="85" t="n">
        <x:v>46343</x:v>
      </x:c>
      <x:c r="H591" s="85" t="n">
        <x:v>46354</x:v>
      </x:c>
      <x:c r="I591" s="87" t="n">
        <x:v>100</x:v>
      </x:c>
      <x:c r="J591" s="83" t="s">
        <x:v>595</x:v>
      </x:c>
      <x:c r="K591" s="83"/>
      <x:c r="L591" s="83" t="s">
        <x:v>395</x:v>
      </x:c>
      <x:c r="M591" s="83" t="n">
        <x:v>94</x:v>
      </x:c>
      <x:c r="N591" s="83" t="n">
        <x:v>103</x:v>
      </x:c>
      <x:c r="O591" s="85" t="n">
        <x:v>46274</x:v>
      </x:c>
      <x:c r="P591" s="89" t="str">
        <x:f aca="0">A591&amp;TEXT(COUNTIF($A$6:A591,A591),"00")</x:f>
        <x:v>P09804</x:v>
      </x:c>
      <x:c r="Q591" s="89" t="str">
        <x:f aca="0">IF(I591&lt;100,A591&amp;"O"&amp;COUNTIFS($A$6:A591,A591,$I$6:I591,"&lt;100"),"")</x:f>
      </x:c>
      <x:c r="R591" s="89" t="str">
        <x:f aca="0">IF(I591&lt;100,D591&amp;"O"&amp;COUNTIFS($D$6:D591,D591,$I$6:I591,"&lt;100"),"")</x:f>
      </x:c>
      <x:c r="S591" s="278" t="n">
        <x:f>IF(COUNTIF($B$6:$B$605,B591)&gt;1,1,0)</x:f>
        <x:v>0</x:v>
      </x:c>
    </x:row>
    <x:row r="592" ht="15" hidden="0">
      <x:c r="A592" s="83" t="s">
        <x:v>148</x:v>
      </x:c>
      <x:c r="B592" s="83" t="s">
        <x:v>1134</x:v>
      </x:c>
      <x:c r="C592" s="83" t="s">
        <x:v>451</x:v>
      </x:c>
      <x:c r="D592" s="83" t="s">
        <x:v>446</x:v>
      </x:c>
      <x:c r="E592" s="83" t="s">
        <x:v>455</x:v>
      </x:c>
      <x:c r="F592" s="83" t="s">
        <x:v>550</x:v>
      </x:c>
      <x:c r="G592" s="85" t="n">
        <x:v>46357</x:v>
      </x:c>
      <x:c r="H592" s="85" t="n">
        <x:v>46376</x:v>
      </x:c>
      <x:c r="I592" s="87" t="n">
        <x:v>100</x:v>
      </x:c>
      <x:c r="J592" s="83" t="s">
        <x:v>595</x:v>
      </x:c>
      <x:c r="K592" s="83"/>
      <x:c r="L592" s="83" t="s">
        <x:v>395</x:v>
      </x:c>
      <x:c r="M592" s="83" t="n">
        <x:v>53</x:v>
      </x:c>
      <x:c r="N592" s="83" t="n">
        <x:v>64</x:v>
      </x:c>
      <x:c r="O592" s="85" t="n">
        <x:v>46274</x:v>
      </x:c>
      <x:c r="P592" s="89" t="str">
        <x:f aca="0">A592&amp;TEXT(COUNTIF($A$6:A592,A592),"00")</x:f>
        <x:v>P09805</x:v>
      </x:c>
      <x:c r="Q592" s="89" t="str">
        <x:f aca="0">IF(I592&lt;100,A592&amp;"O"&amp;COUNTIFS($A$6:A592,A592,$I$6:I592,"&lt;100"),"")</x:f>
      </x:c>
      <x:c r="R592" s="89" t="str">
        <x:f aca="0">IF(I592&lt;100,D592&amp;"O"&amp;COUNTIFS($D$6:D592,D592,$I$6:I592,"&lt;100"),"")</x:f>
      </x:c>
      <x:c r="S592" s="278" t="n">
        <x:f>IF(COUNTIF($B$6:$B$605,B592)&gt;1,1,0)</x:f>
        <x:v>0</x:v>
      </x:c>
    </x:row>
    <x:row r="593" ht="15" hidden="0">
      <x:c r="A593" s="83" t="s">
        <x:v>148</x:v>
      </x:c>
      <x:c r="B593" s="83" t="s">
        <x:v>1135</x:v>
      </x:c>
      <x:c r="C593" s="83" t="s">
        <x:v>454</x:v>
      </x:c>
      <x:c r="D593" s="83" t="s">
        <x:v>449</x:v>
      </x:c>
      <x:c r="E593" s="83" t="s">
        <x:v>462</x:v>
      </x:c>
      <x:c r="F593" s="83" t="s">
        <x:v>550</x:v>
      </x:c>
      <x:c r="G593" s="85" t="n">
        <x:v>46371</x:v>
      </x:c>
      <x:c r="H593" s="85" t="n">
        <x:v>46381</x:v>
      </x:c>
      <x:c r="I593" s="87" t="n">
        <x:v>96</x:v>
      </x:c>
      <x:c r="J593" s="83" t="s">
        <x:v>543</x:v>
      </x:c>
      <x:c r="K593" s="83"/>
      <x:c r="L593" s="83" t="s">
        <x:v>395</x:v>
      </x:c>
      <x:c r="M593" s="83" t="n">
        <x:v>97</x:v>
      </x:c>
      <x:c r="N593" s="83" t="n">
        <x:v>38</x:v>
      </x:c>
      <x:c r="O593" s="85" t="n">
        <x:v>46274</x:v>
      </x:c>
      <x:c r="P593" s="89" t="str">
        <x:f aca="0">A593&amp;TEXT(COUNTIF($A$6:A593,A593),"00")</x:f>
        <x:v>P09806</x:v>
      </x:c>
      <x:c r="Q593" s="89" t="str">
        <x:f aca="0">IF(I593&lt;100,A593&amp;"O"&amp;COUNTIFS($A$6:A593,A593,$I$6:I593,"&lt;100"),"")</x:f>
        <x:v>P098O4</x:v>
      </x:c>
      <x:c r="R593" s="89" t="str">
        <x:f aca="0">IF(I593&lt;100,D593&amp;"O"&amp;COUNTIFS($D$6:D593,D593,$I$6:I593,"&lt;100"),"")</x:f>
        <x:v>AnilO47</x:v>
      </x:c>
      <x:c r="S593" s="278" t="n">
        <x:f>IF(COUNTIF($B$6:$B$605,B593)&gt;1,1,0)</x:f>
        <x:v>0</x:v>
      </x:c>
    </x:row>
    <x:row r="594" ht="15" hidden="0">
      <x:c r="A594" s="83" t="s">
        <x:v>256</x:v>
      </x:c>
      <x:c r="B594" s="83" t="s">
        <x:v>1136</x:v>
      </x:c>
      <x:c r="C594" s="83" t="s">
        <x:v>433</x:v>
      </x:c>
      <x:c r="D594" s="83" t="s">
        <x:v>445</x:v>
      </x:c>
      <x:c r="E594" s="83" t="s">
        <x:v>446</x:v>
      </x:c>
      <x:c r="F594" s="83" t="s">
        <x:v>557</x:v>
      </x:c>
      <x:c r="G594" s="85" t="n">
        <x:v>46302</x:v>
      </x:c>
      <x:c r="H594" s="85" t="n">
        <x:v>46316</x:v>
      </x:c>
      <x:c r="I594" s="87" t="n">
        <x:v>20</x:v>
      </x:c>
      <x:c r="J594" s="83" t="s">
        <x:v>543</x:v>
      </x:c>
      <x:c r="K594" s="83" t="s">
        <x:v>396</x:v>
      </x:c>
      <x:c r="L594" s="83" t="s">
        <x:v>395</x:v>
      </x:c>
      <x:c r="M594" s="83" t="n">
        <x:v>71</x:v>
      </x:c>
      <x:c r="N594" s="83" t="n">
        <x:v>33</x:v>
      </x:c>
      <x:c r="O594" s="85" t="n">
        <x:v>46274</x:v>
      </x:c>
      <x:c r="P594" s="89" t="str">
        <x:f aca="0">A594&amp;TEXT(COUNTIF($A$6:A594,A594),"00")</x:f>
        <x:v>P09901</x:v>
      </x:c>
      <x:c r="Q594" s="89" t="str">
        <x:f aca="0">IF(I594&lt;100,A594&amp;"O"&amp;COUNTIFS($A$6:A594,A594,$I$6:I594,"&lt;100"),"")</x:f>
        <x:v>P099O1</x:v>
      </x:c>
      <x:c r="R594" s="89" t="str">
        <x:f aca="0">IF(I594&lt;100,D594&amp;"O"&amp;COUNTIFS($D$6:D594,D594,$I$6:I594,"&lt;100"),"")</x:f>
        <x:v>MeeraO51</x:v>
      </x:c>
      <x:c r="S594" s="278" t="n">
        <x:f>IF(COUNTIF($B$6:$B$605,B594)&gt;1,1,0)</x:f>
        <x:v>0</x:v>
      </x:c>
    </x:row>
    <x:row r="595" ht="15" hidden="0">
      <x:c r="A595" s="83" t="s">
        <x:v>256</x:v>
      </x:c>
      <x:c r="B595" s="83" t="s">
        <x:v>1137</x:v>
      </x:c>
      <x:c r="C595" s="83" t="s">
        <x:v>440</x:v>
      </x:c>
      <x:c r="D595" s="83" t="s">
        <x:v>435</x:v>
      </x:c>
      <x:c r="E595" s="83" t="s">
        <x:v>449</x:v>
      </x:c>
      <x:c r="F595" s="83" t="s">
        <x:v>493</x:v>
      </x:c>
      <x:c r="G595" s="85" t="n">
        <x:v>46316</x:v>
      </x:c>
      <x:c r="H595" s="85" t="n">
        <x:v>46335</x:v>
      </x:c>
      <x:c r="I595" s="87" t="n">
        <x:v>36</x:v>
      </x:c>
      <x:c r="J595" s="83" t="s">
        <x:v>543</x:v>
      </x:c>
      <x:c r="K595" s="83"/>
      <x:c r="L595" s="83" t="s">
        <x:v>395</x:v>
      </x:c>
      <x:c r="M595" s="83" t="n">
        <x:v>39</x:v>
      </x:c>
      <x:c r="N595" s="83" t="n">
        <x:v>37</x:v>
      </x:c>
      <x:c r="O595" s="85" t="n">
        <x:v>46274</x:v>
      </x:c>
      <x:c r="P595" s="89" t="str">
        <x:f aca="0">A595&amp;TEXT(COUNTIF($A$6:A595,A595),"00")</x:f>
        <x:v>P09902</x:v>
      </x:c>
      <x:c r="Q595" s="89" t="str">
        <x:f aca="0">IF(I595&lt;100,A595&amp;"O"&amp;COUNTIFS($A$6:A595,A595,$I$6:I595,"&lt;100"),"")</x:f>
        <x:v>P099O2</x:v>
      </x:c>
      <x:c r="R595" s="89" t="str">
        <x:f aca="0">IF(I595&lt;100,D595&amp;"O"&amp;COUNTIFS($D$6:D595,D595,$I$6:I595,"&lt;100"),"")</x:f>
        <x:v>VivekO51</x:v>
      </x:c>
      <x:c r="S595" s="278" t="n">
        <x:f>IF(COUNTIF($B$6:$B$605,B595)&gt;1,1,0)</x:f>
        <x:v>0</x:v>
      </x:c>
    </x:row>
    <x:row r="596" ht="15" hidden="0">
      <x:c r="A596" s="83" t="s">
        <x:v>256</x:v>
      </x:c>
      <x:c r="B596" s="83" t="s">
        <x:v>1138</x:v>
      </x:c>
      <x:c r="C596" s="83" t="s">
        <x:v>444</x:v>
      </x:c>
      <x:c r="D596" s="83" t="s">
        <x:v>442</x:v>
      </x:c>
      <x:c r="E596" s="83" t="s">
        <x:v>452</x:v>
      </x:c>
      <x:c r="F596" s="83" t="s">
        <x:v>550</x:v>
      </x:c>
      <x:c r="G596" s="85" t="n">
        <x:v>46330</x:v>
      </x:c>
      <x:c r="H596" s="85" t="n">
        <x:v>46344</x:v>
      </x:c>
      <x:c r="I596" s="87" t="n">
        <x:v>47</x:v>
      </x:c>
      <x:c r="J596" s="83" t="s">
        <x:v>543</x:v>
      </x:c>
      <x:c r="K596" s="83" t="s">
        <x:v>396</x:v>
      </x:c>
      <x:c r="L596" s="83" t="s">
        <x:v>395</x:v>
      </x:c>
      <x:c r="M596" s="83" t="n">
        <x:v>86</x:v>
      </x:c>
      <x:c r="N596" s="83" t="n">
        <x:v>22</x:v>
      </x:c>
      <x:c r="O596" s="85" t="n">
        <x:v>46274</x:v>
      </x:c>
      <x:c r="P596" s="89" t="str">
        <x:f aca="0">A596&amp;TEXT(COUNTIF($A$6:A596,A596),"00")</x:f>
        <x:v>P09903</x:v>
      </x:c>
      <x:c r="Q596" s="89" t="str">
        <x:f aca="0">IF(I596&lt;100,A596&amp;"O"&amp;COUNTIFS($A$6:A596,A596,$I$6:I596,"&lt;100"),"")</x:f>
        <x:v>P099O3</x:v>
      </x:c>
      <x:c r="R596" s="89" t="str">
        <x:f aca="0">IF(I596&lt;100,D596&amp;"O"&amp;COUNTIFS($D$6:D596,D596,$I$6:I596,"&lt;100"),"")</x:f>
        <x:v>RituO48</x:v>
      </x:c>
      <x:c r="S596" s="278" t="n">
        <x:f>IF(COUNTIF($B$6:$B$605,B596)&gt;1,1,0)</x:f>
        <x:v>0</x:v>
      </x:c>
    </x:row>
    <x:row r="597" ht="15" hidden="0">
      <x:c r="A597" s="83" t="s">
        <x:v>256</x:v>
      </x:c>
      <x:c r="B597" s="83" t="s">
        <x:v>1139</x:v>
      </x:c>
      <x:c r="C597" s="83" t="s">
        <x:v>448</x:v>
      </x:c>
      <x:c r="D597" s="83" t="s">
        <x:v>446</x:v>
      </x:c>
      <x:c r="E597" s="83" t="s">
        <x:v>455</x:v>
      </x:c>
      <x:c r="F597" s="83" t="s">
        <x:v>550</x:v>
      </x:c>
      <x:c r="G597" s="85" t="n">
        <x:v>46344</x:v>
      </x:c>
      <x:c r="H597" s="85" t="n">
        <x:v>46368</x:v>
      </x:c>
      <x:c r="I597" s="87" t="n">
        <x:v>21</x:v>
      </x:c>
      <x:c r="J597" s="83" t="s">
        <x:v>543</x:v>
      </x:c>
      <x:c r="K597" s="83"/>
      <x:c r="L597" s="83" t="s">
        <x:v>395</x:v>
      </x:c>
      <x:c r="M597" s="83" t="n">
        <x:v>73</x:v>
      </x:c>
      <x:c r="N597" s="83" t="n">
        <x:v>95</x:v>
      </x:c>
      <x:c r="O597" s="85" t="n">
        <x:v>46274</x:v>
      </x:c>
      <x:c r="P597" s="89" t="str">
        <x:f aca="0">A597&amp;TEXT(COUNTIF($A$6:A597,A597),"00")</x:f>
        <x:v>P09904</x:v>
      </x:c>
      <x:c r="Q597" s="89" t="str">
        <x:f aca="0">IF(I597&lt;100,A597&amp;"O"&amp;COUNTIFS($A$6:A597,A597,$I$6:I597,"&lt;100"),"")</x:f>
        <x:v>P099O4</x:v>
      </x:c>
      <x:c r="R597" s="89" t="str">
        <x:f aca="0">IF(I597&lt;100,D597&amp;"O"&amp;COUNTIFS($D$6:D597,D597,$I$6:I597,"&lt;100"),"")</x:f>
        <x:v>SanjayO49</x:v>
      </x:c>
      <x:c r="S597" s="278" t="n">
        <x:f>IF(COUNTIF($B$6:$B$605,B597)&gt;1,1,0)</x:f>
        <x:v>0</x:v>
      </x:c>
    </x:row>
    <x:row r="598" ht="15" hidden="0">
      <x:c r="A598" s="83" t="s">
        <x:v>256</x:v>
      </x:c>
      <x:c r="B598" s="83" t="s">
        <x:v>1140</x:v>
      </x:c>
      <x:c r="C598" s="83" t="s">
        <x:v>451</x:v>
      </x:c>
      <x:c r="D598" s="83" t="s">
        <x:v>449</x:v>
      </x:c>
      <x:c r="E598" s="83" t="s">
        <x:v>462</x:v>
      </x:c>
      <x:c r="F598" s="83" t="s">
        <x:v>550</x:v>
      </x:c>
      <x:c r="G598" s="85" t="n">
        <x:v>46358</x:v>
      </x:c>
      <x:c r="H598" s="85" t="n">
        <x:v>46379</x:v>
      </x:c>
      <x:c r="I598" s="87" t="n">
        <x:v>34</x:v>
      </x:c>
      <x:c r="J598" s="83" t="s">
        <x:v>543</x:v>
      </x:c>
      <x:c r="K598" s="83"/>
      <x:c r="L598" s="83" t="s">
        <x:v>395</x:v>
      </x:c>
      <x:c r="M598" s="83" t="n">
        <x:v>65</x:v>
      </x:c>
      <x:c r="N598" s="83" t="n">
        <x:v>67</x:v>
      </x:c>
      <x:c r="O598" s="85" t="n">
        <x:v>46274</x:v>
      </x:c>
      <x:c r="P598" s="89" t="str">
        <x:f aca="0">A598&amp;TEXT(COUNTIF($A$6:A598,A598),"00")</x:f>
        <x:v>P09905</x:v>
      </x:c>
      <x:c r="Q598" s="89" t="str">
        <x:f aca="0">IF(I598&lt;100,A598&amp;"O"&amp;COUNTIFS($A$6:A598,A598,$I$6:I598,"&lt;100"),"")</x:f>
        <x:v>P099O5</x:v>
      </x:c>
      <x:c r="R598" s="89" t="str">
        <x:f aca="0">IF(I598&lt;100,D598&amp;"O"&amp;COUNTIFS($D$6:D598,D598,$I$6:I598,"&lt;100"),"")</x:f>
        <x:v>AnilO48</x:v>
      </x:c>
      <x:c r="S598" s="278" t="n">
        <x:f>IF(COUNTIF($B$6:$B$605,B598)&gt;1,1,0)</x:f>
        <x:v>0</x:v>
      </x:c>
    </x:row>
    <x:row r="599" ht="15" hidden="0">
      <x:c r="A599" s="83" t="s">
        <x:v>256</x:v>
      </x:c>
      <x:c r="B599" s="83" t="s">
        <x:v>1141</x:v>
      </x:c>
      <x:c r="C599" s="83" t="s">
        <x:v>454</x:v>
      </x:c>
      <x:c r="D599" s="83" t="s">
        <x:v>452</x:v>
      </x:c>
      <x:c r="E599" s="83" t="s">
        <x:v>360</x:v>
      </x:c>
      <x:c r="F599" s="83" t="s">
        <x:v>550</x:v>
      </x:c>
      <x:c r="G599" s="85" t="n">
        <x:v>46372</x:v>
      </x:c>
      <x:c r="H599" s="85" t="n">
        <x:v>46390</x:v>
      </x:c>
      <x:c r="I599" s="87" t="n">
        <x:v>15</x:v>
      </x:c>
      <x:c r="J599" s="83" t="s">
        <x:v>543</x:v>
      </x:c>
      <x:c r="K599" s="83"/>
      <x:c r="L599" s="83" t="s">
        <x:v>395</x:v>
      </x:c>
      <x:c r="M599" s="83" t="n">
        <x:v>38</x:v>
      </x:c>
      <x:c r="N599" s="83" t="n">
        <x:v>81</x:v>
      </x:c>
      <x:c r="O599" s="85" t="n">
        <x:v>46274</x:v>
      </x:c>
      <x:c r="P599" s="89" t="str">
        <x:f aca="0">A599&amp;TEXT(COUNTIF($A$6:A599,A599),"00")</x:f>
        <x:v>P09906</x:v>
      </x:c>
      <x:c r="Q599" s="89" t="str">
        <x:f aca="0">IF(I599&lt;100,A599&amp;"O"&amp;COUNTIFS($A$6:A599,A599,$I$6:I599,"&lt;100"),"")</x:f>
        <x:v>P099O6</x:v>
      </x:c>
      <x:c r="R599" s="89" t="str">
        <x:f aca="0">IF(I599&lt;100,D599&amp;"O"&amp;COUNTIFS($D$6:D599,D599,$I$6:I599,"&lt;100"),"")</x:f>
        <x:v>KavyaO47</x:v>
      </x:c>
      <x:c r="S599" s="278" t="n">
        <x:f>IF(COUNTIF($B$6:$B$605,B599)&gt;1,1,0)</x:f>
        <x:v>0</x:v>
      </x:c>
    </x:row>
    <x:row r="600" ht="15" hidden="0">
      <x:c r="A600" s="83" t="s">
        <x:v>250</x:v>
      </x:c>
      <x:c r="B600" s="83" t="s">
        <x:v>1142</x:v>
      </x:c>
      <x:c r="C600" s="83" t="s">
        <x:v>433</x:v>
      </x:c>
      <x:c r="D600" s="83" t="s">
        <x:v>435</x:v>
      </x:c>
      <x:c r="E600" s="83" t="s">
        <x:v>449</x:v>
      </x:c>
      <x:c r="F600" s="83" t="s">
        <x:v>550</x:v>
      </x:c>
      <x:c r="G600" s="85" t="n">
        <x:v>46303</x:v>
      </x:c>
      <x:c r="H600" s="85" t="n">
        <x:v>46316</x:v>
      </x:c>
      <x:c r="I600" s="87" t="n">
        <x:v>83</x:v>
      </x:c>
      <x:c r="J600" s="83" t="s">
        <x:v>543</x:v>
      </x:c>
      <x:c r="K600" s="83" t="s">
        <x:v>396</x:v>
      </x:c>
      <x:c r="L600" s="83" t="s">
        <x:v>395</x:v>
      </x:c>
      <x:c r="M600" s="83" t="n">
        <x:v>29</x:v>
      </x:c>
      <x:c r="N600" s="83" t="n">
        <x:v>56</x:v>
      </x:c>
      <x:c r="O600" s="85" t="n">
        <x:v>46274</x:v>
      </x:c>
      <x:c r="P600" s="89" t="str">
        <x:f aca="0">A600&amp;TEXT(COUNTIF($A$6:A600,A600),"00")</x:f>
        <x:v>P10001</x:v>
      </x:c>
      <x:c r="Q600" s="89" t="str">
        <x:f aca="0">IF(I600&lt;100,A600&amp;"O"&amp;COUNTIFS($A$6:A600,A600,$I$6:I600,"&lt;100"),"")</x:f>
        <x:v>P100O1</x:v>
      </x:c>
      <x:c r="R600" s="89" t="str">
        <x:f aca="0">IF(I600&lt;100,D600&amp;"O"&amp;COUNTIFS($D$6:D600,D600,$I$6:I600,"&lt;100"),"")</x:f>
        <x:v>VivekO52</x:v>
      </x:c>
      <x:c r="S600" s="278" t="n">
        <x:f>IF(COUNTIF($B$6:$B$605,B600)&gt;1,1,0)</x:f>
        <x:v>0</x:v>
      </x:c>
    </x:row>
    <x:row r="601" ht="15" hidden="0">
      <x:c r="A601" s="83" t="s">
        <x:v>250</x:v>
      </x:c>
      <x:c r="B601" s="83" t="s">
        <x:v>1143</x:v>
      </x:c>
      <x:c r="C601" s="83" t="s">
        <x:v>440</x:v>
      </x:c>
      <x:c r="D601" s="83" t="s">
        <x:v>442</x:v>
      </x:c>
      <x:c r="E601" s="83" t="s">
        <x:v>452</x:v>
      </x:c>
      <x:c r="F601" s="83" t="s">
        <x:v>546</x:v>
      </x:c>
      <x:c r="G601" s="85" t="n">
        <x:v>46317</x:v>
      </x:c>
      <x:c r="H601" s="85" t="n">
        <x:v>46331</x:v>
      </x:c>
      <x:c r="I601" s="87" t="n">
        <x:v>50</x:v>
      </x:c>
      <x:c r="J601" s="83" t="s">
        <x:v>543</x:v>
      </x:c>
      <x:c r="K601" s="83" t="s">
        <x:v>396</x:v>
      </x:c>
      <x:c r="L601" s="83" t="s">
        <x:v>395</x:v>
      </x:c>
      <x:c r="M601" s="83" t="n">
        <x:v>100</x:v>
      </x:c>
      <x:c r="N601" s="83" t="n">
        <x:v>52</x:v>
      </x:c>
      <x:c r="O601" s="85" t="n">
        <x:v>46274</x:v>
      </x:c>
      <x:c r="P601" s="89" t="str">
        <x:f aca="0">A601&amp;TEXT(COUNTIF($A$6:A601,A601),"00")</x:f>
        <x:v>P10002</x:v>
      </x:c>
      <x:c r="Q601" s="89" t="str">
        <x:f aca="0">IF(I601&lt;100,A601&amp;"O"&amp;COUNTIFS($A$6:A601,A601,$I$6:I601,"&lt;100"),"")</x:f>
        <x:v>P100O2</x:v>
      </x:c>
      <x:c r="R601" s="89" t="str">
        <x:f aca="0">IF(I601&lt;100,D601&amp;"O"&amp;COUNTIFS($D$6:D601,D601,$I$6:I601,"&lt;100"),"")</x:f>
        <x:v>RituO49</x:v>
      </x:c>
      <x:c r="S601" s="278" t="n">
        <x:f>IF(COUNTIF($B$6:$B$605,B601)&gt;1,1,0)</x:f>
        <x:v>0</x:v>
      </x:c>
    </x:row>
    <x:row r="602" ht="15" hidden="0">
      <x:c r="A602" s="83" t="s">
        <x:v>250</x:v>
      </x:c>
      <x:c r="B602" s="83" t="s">
        <x:v>1144</x:v>
      </x:c>
      <x:c r="C602" s="83" t="s">
        <x:v>444</x:v>
      </x:c>
      <x:c r="D602" s="83" t="s">
        <x:v>446</x:v>
      </x:c>
      <x:c r="E602" s="83" t="s">
        <x:v>455</x:v>
      </x:c>
      <x:c r="F602" s="83" t="s">
        <x:v>493</x:v>
      </x:c>
      <x:c r="G602" s="85" t="n">
        <x:v>46331</x:v>
      </x:c>
      <x:c r="H602" s="85" t="n">
        <x:v>46344</x:v>
      </x:c>
      <x:c r="I602" s="87" t="n">
        <x:v>66</x:v>
      </x:c>
      <x:c r="J602" s="83" t="s">
        <x:v>543</x:v>
      </x:c>
      <x:c r="K602" s="83"/>
      <x:c r="L602" s="83" t="s">
        <x:v>395</x:v>
      </x:c>
      <x:c r="M602" s="83" t="n">
        <x:v>78</x:v>
      </x:c>
      <x:c r="N602" s="83" t="n">
        <x:v>51</x:v>
      </x:c>
      <x:c r="O602" s="85" t="n">
        <x:v>46274</x:v>
      </x:c>
      <x:c r="P602" s="89" t="str">
        <x:f aca="0">A602&amp;TEXT(COUNTIF($A$6:A602,A602),"00")</x:f>
        <x:v>P10003</x:v>
      </x:c>
      <x:c r="Q602" s="89" t="str">
        <x:f aca="0">IF(I602&lt;100,A602&amp;"O"&amp;COUNTIFS($A$6:A602,A602,$I$6:I602,"&lt;100"),"")</x:f>
        <x:v>P100O3</x:v>
      </x:c>
      <x:c r="R602" s="89" t="str">
        <x:f aca="0">IF(I602&lt;100,D602&amp;"O"&amp;COUNTIFS($D$6:D602,D602,$I$6:I602,"&lt;100"),"")</x:f>
        <x:v>SanjayO50</x:v>
      </x:c>
      <x:c r="S602" s="278" t="n">
        <x:f>IF(COUNTIF($B$6:$B$605,B602)&gt;1,1,0)</x:f>
        <x:v>0</x:v>
      </x:c>
    </x:row>
    <x:row r="603" ht="15" hidden="0">
      <x:c r="A603" s="83" t="s">
        <x:v>250</x:v>
      </x:c>
      <x:c r="B603" s="83" t="s">
        <x:v>1145</x:v>
      </x:c>
      <x:c r="C603" s="83" t="s">
        <x:v>448</x:v>
      </x:c>
      <x:c r="D603" s="83" t="s">
        <x:v>449</x:v>
      </x:c>
      <x:c r="E603" s="83" t="s">
        <x:v>462</x:v>
      </x:c>
      <x:c r="F603" s="83" t="s">
        <x:v>546</x:v>
      </x:c>
      <x:c r="G603" s="85" t="n">
        <x:v>46345</x:v>
      </x:c>
      <x:c r="H603" s="85" t="n">
        <x:v>46369</x:v>
      </x:c>
      <x:c r="I603" s="87" t="n">
        <x:v>64</x:v>
      </x:c>
      <x:c r="J603" s="83" t="s">
        <x:v>543</x:v>
      </x:c>
      <x:c r="K603" s="83" t="s">
        <x:v>396</x:v>
      </x:c>
      <x:c r="L603" s="83" t="s">
        <x:v>395</x:v>
      </x:c>
      <x:c r="M603" s="83" t="n">
        <x:v>85</x:v>
      </x:c>
      <x:c r="N603" s="83" t="n">
        <x:v>71</x:v>
      </x:c>
      <x:c r="O603" s="85" t="n">
        <x:v>46274</x:v>
      </x:c>
      <x:c r="P603" s="89" t="str">
        <x:f aca="0">A603&amp;TEXT(COUNTIF($A$6:A603,A603),"00")</x:f>
        <x:v>P10004</x:v>
      </x:c>
      <x:c r="Q603" s="89" t="str">
        <x:f aca="0">IF(I603&lt;100,A603&amp;"O"&amp;COUNTIFS($A$6:A603,A603,$I$6:I603,"&lt;100"),"")</x:f>
        <x:v>P100O4</x:v>
      </x:c>
      <x:c r="R603" s="89" t="str">
        <x:f aca="0">IF(I603&lt;100,D603&amp;"O"&amp;COUNTIFS($D$6:D603,D603,$I$6:I603,"&lt;100"),"")</x:f>
        <x:v>AnilO49</x:v>
      </x:c>
      <x:c r="S603" s="278" t="n">
        <x:f>IF(COUNTIF($B$6:$B$605,B603)&gt;1,1,0)</x:f>
        <x:v>0</x:v>
      </x:c>
    </x:row>
    <x:row r="604" ht="15" hidden="0">
      <x:c r="A604" s="83" t="s">
        <x:v>250</x:v>
      </x:c>
      <x:c r="B604" s="83" t="s">
        <x:v>1146</x:v>
      </x:c>
      <x:c r="C604" s="83" t="s">
        <x:v>451</x:v>
      </x:c>
      <x:c r="D604" s="83" t="s">
        <x:v>452</x:v>
      </x:c>
      <x:c r="E604" s="83" t="s">
        <x:v>360</x:v>
      </x:c>
      <x:c r="F604" s="83" t="s">
        <x:v>550</x:v>
      </x:c>
      <x:c r="G604" s="85" t="n">
        <x:v>46359</x:v>
      </x:c>
      <x:c r="H604" s="85" t="n">
        <x:v>46378</x:v>
      </x:c>
      <x:c r="I604" s="87" t="n">
        <x:v>64</x:v>
      </x:c>
      <x:c r="J604" s="83" t="s">
        <x:v>543</x:v>
      </x:c>
      <x:c r="K604" s="83"/>
      <x:c r="L604" s="83" t="s">
        <x:v>395</x:v>
      </x:c>
      <x:c r="M604" s="83" t="n">
        <x:v>43</x:v>
      </x:c>
      <x:c r="N604" s="83" t="n">
        <x:v>67</x:v>
      </x:c>
      <x:c r="O604" s="85" t="n">
        <x:v>46274</x:v>
      </x:c>
      <x:c r="P604" s="89" t="str">
        <x:f aca="0">A604&amp;TEXT(COUNTIF($A$6:A604,A604),"00")</x:f>
        <x:v>P10005</x:v>
      </x:c>
      <x:c r="Q604" s="89" t="str">
        <x:f aca="0">IF(I604&lt;100,A604&amp;"O"&amp;COUNTIFS($A$6:A604,A604,$I$6:I604,"&lt;100"),"")</x:f>
        <x:v>P100O5</x:v>
      </x:c>
      <x:c r="R604" s="89" t="str">
        <x:f aca="0">IF(I604&lt;100,D604&amp;"O"&amp;COUNTIFS($D$6:D604,D604,$I$6:I604,"&lt;100"),"")</x:f>
        <x:v>KavyaO48</x:v>
      </x:c>
      <x:c r="S604" s="278" t="n">
        <x:f>IF(COUNTIF($B$6:$B$605,B604)&gt;1,1,0)</x:f>
        <x:v>0</x:v>
      </x:c>
    </x:row>
    <x:row r="605" ht="15" hidden="0">
      <x:c r="A605" s="83" t="s">
        <x:v>250</x:v>
      </x:c>
      <x:c r="B605" s="83" t="s">
        <x:v>1147</x:v>
      </x:c>
      <x:c r="C605" s="83" t="s">
        <x:v>454</x:v>
      </x:c>
      <x:c r="D605" s="83" t="s">
        <x:v>455</x:v>
      </x:c>
      <x:c r="E605" s="83" t="s">
        <x:v>475</x:v>
      </x:c>
      <x:c r="F605" s="83" t="s">
        <x:v>546</x:v>
      </x:c>
      <x:c r="G605" s="85" t="n">
        <x:v>46373</x:v>
      </x:c>
      <x:c r="H605" s="85" t="n">
        <x:v>46389</x:v>
      </x:c>
      <x:c r="I605" s="87" t="n">
        <x:v>80</x:v>
      </x:c>
      <x:c r="J605" s="83" t="s">
        <x:v>543</x:v>
      </x:c>
      <x:c r="K605" s="83"/>
      <x:c r="L605" s="83" t="s">
        <x:v>395</x:v>
      </x:c>
      <x:c r="M605" s="83" t="n">
        <x:v>77</x:v>
      </x:c>
      <x:c r="N605" s="83" t="n">
        <x:v>74</x:v>
      </x:c>
      <x:c r="O605" s="85" t="n">
        <x:v>46274</x:v>
      </x:c>
      <x:c r="P605" s="89" t="str">
        <x:f aca="0">A605&amp;TEXT(COUNTIF($A$6:A605,A605),"00")</x:f>
        <x:v>P10006</x:v>
      </x:c>
      <x:c r="Q605" s="89" t="str">
        <x:f aca="0">IF(I605&lt;100,A605&amp;"O"&amp;COUNTIFS($A$6:A605,A605,$I$6:I605,"&lt;100"),"")</x:f>
        <x:v>P100O6</x:v>
      </x:c>
      <x:c r="R605" s="89" t="str">
        <x:f aca="0">IF(I605&lt;100,D605&amp;"O"&amp;COUNTIFS($D$6:D605,D605,$I$6:I605,"&lt;100"),"")</x:f>
        <x:v>RohanO48</x:v>
      </x:c>
      <x:c r="S605" s="278" t="n">
        <x:f>IF(COUNTIF($B$6:$B$605,B605)&gt;1,1,0)</x:f>
        <x:v>0</x:v>
      </x:c>
    </x:row>
  </x:sheetData>
  <x:mergeCells>
    <x:mergeCell ref="A1:O1"/>
    <x:mergeCell ref="A2:O2"/>
  </x:mergeCells>
  <x:conditionalFormatting sqref="I6:I605">
    <x:cfRule type="colorScale" priority="2">
      <x:colorScale>
        <x:cfvo type="num" val="0"/>
        <x:cfvo type="num" val="70"/>
        <x:cfvo type="num" val="100"/>
        <x:color rgb="FFFDEDEC"/>
        <x:color rgb="FFFFF6DD"/>
        <x:color rgb="FFEAF6EE"/>
      </x:colorScale>
    </x:cfRule>
  </x:conditionalFormatting>
  <x:conditionalFormatting sqref="J6:J605">
    <x:cfRule type="expression" dxfId="14" priority="3" aboveAverage="0" percent="0" bottom="0" rank="0" equalAverage="0">
      <x:formula>J6="Blocked"</x:formula>
    </x:cfRule>
  </x:conditionalFormatting>
  <x:conditionalFormatting sqref="F6:F605">
    <x:cfRule type="expression" dxfId="14" priority="4" aboveAverage="0" percent="0" bottom="0" rank="0" equalAverage="0">
      <x:formula>F6="Critical"</x:formula>
    </x:cfRule>
  </x:conditionalFormatting>
  <x:conditionalFormatting sqref="L6:L605">
    <x:cfRule type="expression" dxfId="13" priority="5" aboveAverage="0" percent="0" bottom="0" rank="0" equalAverage="0">
      <x:formula>L6="YES"</x:formula>
    </x:cfRule>
  </x:conditionalFormatting>
  <x:dataValidations count="4">
    <x:dataValidation type="list" errorStyle="stop" operator="between" allowBlank="0" showDropDown="0" showInputMessage="0" showErrorMessage="0" sqref="J6:J605">
      <x:formula1>"Not Started,In Progress,Blocked,Completed,On Hold"</x:formula1>
      <x:formula2>0</x:formula2>
    </x:dataValidation>
    <x:dataValidation type="list" errorStyle="stop" operator="between" allowBlank="0" showDropDown="0" showInputMessage="0" showErrorMessage="0" sqref="F6:F605">
      <x:formula1>"Critical,High,Medium,Low"</x:formula1>
      <x:formula2>0</x:formula2>
    </x:dataValidation>
    <x:dataValidation type="list" errorStyle="stop" operator="between" allowBlank="0" showDropDown="0" showInputMessage="0" showErrorMessage="0" sqref="L6:L605">
      <x:formula1>"YES,NO"</x:formula1>
      <x:formula2>0</x:formula2>
    </x:dataValidation>
    <x:dataValidation type="whole" errorStyle="stop" operator="between" allowBlank="0" showDropDown="0" showInputMessage="0" showErrorMessage="0" sqref="I6:I605">
      <x:formula1>0</x:formula1>
      <x:formula2>100</x:formula2>
    </x:dataValidation>
  </x:dataValidations>
  <x:hyperlinks>
    <x:hyperlink xmlns:r="http://schemas.openxmlformats.org/officeDocument/2006/relationships" ref="A4" r:id="R53e9d5be92e94c29"/>
    <x:hyperlink xmlns:r="http://schemas.openxmlformats.org/officeDocument/2006/relationships" ref="B4" r:id="Rbd9f6ec2cc954fd4"/>
    <x:hyperlink xmlns:r="http://schemas.openxmlformats.org/officeDocument/2006/relationships" ref="C4" r:id="Rf2d7ba63b8924a83"/>
    <x:hyperlink xmlns:r="http://schemas.openxmlformats.org/officeDocument/2006/relationships" ref="D4" r:id="R9f79a90cd3c04c4a"/>
    <x:hyperlink xmlns:r="http://schemas.openxmlformats.org/officeDocument/2006/relationships" ref="E4" r:id="R03469e7f12dd440e"/>
    <x:hyperlink xmlns:r="http://schemas.openxmlformats.org/officeDocument/2006/relationships" ref="F4" r:id="R9a39625d5f814555"/>
    <x:hyperlink xmlns:r="http://schemas.openxmlformats.org/officeDocument/2006/relationships" ref="G4" r:id="Re606c5634556460a"/>
    <x:hyperlink xmlns:r="http://schemas.openxmlformats.org/officeDocument/2006/relationships" ref="H4" r:id="Rab6a281880524765"/>
    <x:hyperlink xmlns:r="http://schemas.openxmlformats.org/officeDocument/2006/relationships" ref="I4" r:id="R719882f3acc9482c"/>
    <x:hyperlink xmlns:r="http://schemas.openxmlformats.org/officeDocument/2006/relationships" ref="J4" r:id="Rdd2bc6e5d4214d93"/>
    <x:hyperlink xmlns:r="http://schemas.openxmlformats.org/officeDocument/2006/relationships" ref="K4" r:id="Rfcc0ffba92a74676"/>
    <x:hyperlink xmlns:r="http://schemas.openxmlformats.org/officeDocument/2006/relationships" ref="L4" r:id="R374c9f31c5f44436"/>
    <x:hyperlink xmlns:r="http://schemas.openxmlformats.org/officeDocument/2006/relationships" ref="M4" r:id="Rd774156e5a9549e3"/>
  </x:hyperlinks>
  <x:pageMargins left="0.7" right="0.7" top="0.75" bottom="0.75" header="0.3" footer="0.3"/>
  <x:drawing xmlns:r="http://schemas.openxmlformats.org/officeDocument/2006/relationships" r:id="R65307977df8049c9"/>
  <x:tableParts count="1">
    <x:tablePart xmlns:r="http://schemas.openxmlformats.org/officeDocument/2006/relationships" r:id="Rc6657c1d0f0145e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4" hidden="0" customWidth="1"/>
    <x:col min="2" max="3" width="18" hidden="0" customWidth="1"/>
    <x:col min="4" max="4" width="45" hidden="0" customWidth="1"/>
  </x:cols>
  <x:sheetData>
    <x:row r="1" ht="32" hidden="0" customHeight="1">
      <x:c r="A1" s="309" t="s">
        <x:v>1148</x:v>
      </x:c>
      <x:c r="B1" s="309"/>
      <x:c r="C1" s="309"/>
      <x:c r="D1" s="309"/>
      <x:c r="E1" s="311"/>
      <x:c r="F1" s="311"/>
      <x:c r="G1" s="311"/>
      <x:c r="H1" s="311"/>
      <x:c r="I1" s="311"/>
      <x:c r="J1" s="311"/>
      <x:c r="K1" s="311"/>
      <x:c r="L1" s="311"/>
      <x:c r="M1" s="311"/>
    </x:row>
    <x:row r="2" ht="22" hidden="0" customHeight="1">
      <x:c r="A2" s="209" t="s">
        <x:v>1149</x:v>
      </x:c>
      <x:c r="B2" s="209"/>
      <x:c r="C2" s="209"/>
      <x:c r="D2" s="209"/>
      <x:c r="E2" s="216"/>
      <x:c r="F2" s="216"/>
      <x:c r="G2" s="216"/>
      <x:c r="H2" s="216"/>
      <x:c r="I2" s="216"/>
      <x:c r="J2" s="216"/>
      <x:c r="K2" s="216"/>
      <x:c r="L2" s="216"/>
      <x:c r="M2" s="216"/>
    </x:row>
    <x:row r="4" ht="21.75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</x:row>
    <x:row r="6" ht="21" hidden="0" customHeight="1">
      <x:c r="A6" s="4" t="s">
        <x:v>1150</x:v>
      </x:c>
      <x:c r="B6" s="4"/>
      <x:c r="C6" s="4"/>
      <x:c r="D6" s="4"/>
    </x:row>
    <x:row r="7" ht="15" hidden="0">
      <x:c r="A7" s="307" t="s">
        <x:v>1151</x:v>
      </x:c>
      <x:c r="B7" s="305" t="n">
        <x:f aca="0">COUNTA('10_Project_Data'!A6:A105)</x:f>
        <x:v>100</x:v>
      </x:c>
      <x:c r="C7" s="308" t="s">
        <x:v>1152</x:v>
      </x:c>
      <x:c r="D7" s="56"/>
    </x:row>
    <x:row r="8" ht="15" hidden="0">
      <x:c r="A8" s="307" t="s">
        <x:v>1153</x:v>
      </x:c>
      <x:c r="B8" s="305" t="n">
        <x:f aca="0">COUNTA('11_Task_Data'!B6:B605)</x:f>
        <x:v>600</x:v>
      </x:c>
      <x:c r="C8" s="308" t="s">
        <x:v>1154</x:v>
      </x:c>
      <x:c r="D8" s="56"/>
    </x:row>
    <x:row r="9" ht="15" hidden="0">
      <x:c r="A9" s="307" t="s">
        <x:v>1155</x:v>
      </x:c>
      <x:c r="B9" s="305" t="n">
        <x:f aca="0">COUNTIF('10_Project_Data'!$Z$6:$Z$105,1)</x:f>
        <x:v>0</x:v>
      </x:c>
      <x:c r="C9" s="308" t="s">
        <x:v>1156</x:v>
      </x:c>
      <x:c r="D9" s="56"/>
    </x:row>
    <x:row r="10" ht="15" hidden="0">
      <x:c r="A10" s="307" t="s">
        <x:v>1157</x:v>
      </x:c>
      <x:c r="B10" s="305" t="n">
        <x:f aca="0">COUNTIF('11_Task_Data'!$S$6:$S$605,1)</x:f>
        <x:v>0</x:v>
      </x:c>
      <x:c r="C10" s="308" t="s">
        <x:v>1156</x:v>
      </x:c>
      <x:c r="D10" s="56"/>
    </x:row>
    <x:row r="11" ht="15" hidden="0">
      <x:c r="A11" s="307" t="s">
        <x:v>1158</x:v>
      </x:c>
      <x:c r="B11" s="305" t="n">
        <x:f aca="0">SUMPRODUCT(--ISNA(MATCH('11_Task_Data'!A6:A605,'10_Project_Data'!A6:A105,0)))</x:f>
        <x:v>0</x:v>
      </x:c>
      <x:c r="C11" s="308" t="s">
        <x:v>1156</x:v>
      </x:c>
      <x:c r="D11" s="56"/>
    </x:row>
    <x:row r="12" ht="15" hidden="0">
      <x:c r="A12" s="307" t="s">
        <x:v>1159</x:v>
      </x:c>
      <x:c r="B12" s="305" t="n">
        <x:f aca="0">COUNTIF('11_Task_Data'!I6:I605,"&gt;100")+COUNTIF('11_Task_Data'!I6:I605,"&lt;0")</x:f>
        <x:v>0</x:v>
      </x:c>
      <x:c r="C12" s="308" t="s">
        <x:v>1156</x:v>
      </x:c>
      <x:c r="D12" s="56"/>
    </x:row>
    <x:row r="13" ht="15" hidden="0">
      <x:c r="A13" s="307" t="s">
        <x:v>1160</x:v>
      </x:c>
      <x:c r="B13" s="305" t="n">
        <x:f aca="0">COUNTBLANK('11_Task_Data'!J6:J605)</x:f>
        <x:v>0</x:v>
      </x:c>
      <x:c r="C13" s="308" t="s">
        <x:v>1156</x:v>
      </x:c>
      <x:c r="D13" s="56"/>
    </x:row>
    <x:row r="14" ht="15" hidden="0">
      <x:c r="A14" s="307" t="s">
        <x:v>1161</x:v>
      </x:c>
      <x:c r="B14" s="305" t="n">
        <x:f aca="0">COUNTIF('10_Project_Data'!Y6:Y105,"CHECK")</x:f>
        <x:v>0</x:v>
      </x:c>
      <x:c r="C14" s="308" t="s">
        <x:v>1156</x:v>
      </x:c>
      <x:c r="D14" s="56"/>
    </x:row>
    <x:row r="16" ht="15" hidden="0" customHeight="1">
      <x:c r="D16" s="93" t="s">
        <x:v>1162</x:v>
      </x:c>
    </x:row>
    <x:row r="17" ht="15" hidden="0">
      <x:c r="D17" s="93"/>
    </x:row>
    <x:row r="18" ht="15" hidden="0">
      <x:c r="D18" s="93"/>
    </x:row>
    <x:row r="19" ht="15" hidden="0">
      <x:c r="D19" s="93"/>
    </x:row>
    <x:row r="20" ht="15" hidden="0">
      <x:c r="D20" s="93"/>
    </x:row>
  </x:sheetData>
  <x:mergeCells>
    <x:mergeCell ref="A1:D1"/>
    <x:mergeCell ref="A2:D2"/>
    <x:mergeCell ref="A6:D6"/>
    <x:mergeCell ref="D16:D20"/>
  </x:mergeCells>
  <x:hyperlinks>
    <x:hyperlink xmlns:r="http://schemas.openxmlformats.org/officeDocument/2006/relationships" ref="A4" r:id="R04bdd69e82c4426a"/>
    <x:hyperlink xmlns:r="http://schemas.openxmlformats.org/officeDocument/2006/relationships" ref="B4" r:id="R6c34c372c5194422"/>
    <x:hyperlink xmlns:r="http://schemas.openxmlformats.org/officeDocument/2006/relationships" ref="C4" r:id="Re42b883fce2949e3"/>
    <x:hyperlink xmlns:r="http://schemas.openxmlformats.org/officeDocument/2006/relationships" ref="D4" r:id="R04510648fec7471f"/>
    <x:hyperlink xmlns:r="http://schemas.openxmlformats.org/officeDocument/2006/relationships" ref="E4" r:id="R683a1cf9f809463d"/>
    <x:hyperlink xmlns:r="http://schemas.openxmlformats.org/officeDocument/2006/relationships" ref="F4" r:id="R84e7ff696b0749cc"/>
    <x:hyperlink xmlns:r="http://schemas.openxmlformats.org/officeDocument/2006/relationships" ref="G4" r:id="Rfc41e349935440fc"/>
    <x:hyperlink xmlns:r="http://schemas.openxmlformats.org/officeDocument/2006/relationships" ref="H4" r:id="Rbc9cd9b0f2754c6d"/>
    <x:hyperlink xmlns:r="http://schemas.openxmlformats.org/officeDocument/2006/relationships" ref="I4" r:id="Rcb9f0e4c43af4cf7"/>
    <x:hyperlink xmlns:r="http://schemas.openxmlformats.org/officeDocument/2006/relationships" ref="J4" r:id="R5c638d217655487a"/>
    <x:hyperlink xmlns:r="http://schemas.openxmlformats.org/officeDocument/2006/relationships" ref="K4" r:id="R6010efe3e31240d9"/>
    <x:hyperlink xmlns:r="http://schemas.openxmlformats.org/officeDocument/2006/relationships" ref="L4" r:id="R1316dbaa4808421c"/>
    <x:hyperlink xmlns:r="http://schemas.openxmlformats.org/officeDocument/2006/relationships" ref="M4" r:id="Rcba814aa92474137"/>
  </x:hyperlinks>
  <x:pageMargins left="0.7" right="0.7" top="0.75" bottom="0.75" header="0.3" footer="0.3"/>
  <x:drawing xmlns:r="http://schemas.openxmlformats.org/officeDocument/2006/relationships" r:id="Refb4e4e81a1b44f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5" hidden="0" customWidth="1"/>
    <x:col min="2" max="2" width="24" hidden="0" customWidth="1"/>
    <x:col min="3" max="3" width="70" hidden="0" customWidth="1"/>
    <x:col min="4" max="5" width="22" hidden="0" customWidth="1"/>
  </x:cols>
  <x:sheetData>
    <x:row r="1" ht="32" hidden="0" customHeight="1">
      <x:c r="A1" s="309" t="s">
        <x:v>1163</x:v>
      </x:c>
      <x:c r="B1" s="309"/>
      <x:c r="C1" s="309"/>
      <x:c r="D1" s="1"/>
      <x:c r="E1" s="1"/>
    </x:row>
    <x:row r="2" ht="22" hidden="0" customHeight="1">
      <x:c r="A2" s="209" t="s">
        <x:v>1164</x:v>
      </x:c>
      <x:c r="B2" s="209"/>
      <x:c r="C2" s="209"/>
      <x:c r="D2" s="2"/>
      <x:c r="E2" s="2"/>
    </x:row>
    <x:row r="4" ht="33.75" hidden="0" customHeight="1">
      <x:c r="A4" s="94" t="s">
        <x:v>1165</x:v>
      </x:c>
      <x:c r="B4" s="69" t="s">
        <x:v>1166</x:v>
      </x:c>
      <x:c r="C4" s="95" t="s">
        <x:v>1167</x:v>
      </x:c>
    </x:row>
    <x:row r="5" ht="33.75" hidden="0" customHeight="1">
      <x:c r="A5" s="94" t="s">
        <x:v>1168</x:v>
      </x:c>
      <x:c r="B5" s="69" t="s">
        <x:v>1169</x:v>
      </x:c>
      <x:c r="C5" s="95" t="s">
        <x:v>1170</x:v>
      </x:c>
    </x:row>
    <x:row r="6" ht="33.75" hidden="0" customHeight="1">
      <x:c r="A6" s="94" t="s">
        <x:v>1171</x:v>
      </x:c>
      <x:c r="B6" s="69" t="s">
        <x:v>1172</x:v>
      </x:c>
      <x:c r="C6" s="95" t="s">
        <x:v>1173</x:v>
      </x:c>
    </x:row>
    <x:row r="7" ht="33.75" hidden="0" customHeight="1">
      <x:c r="A7" s="94" t="s">
        <x:v>1174</x:v>
      </x:c>
      <x:c r="B7" s="69" t="s">
        <x:v>1175</x:v>
      </x:c>
      <x:c r="C7" s="95" t="s">
        <x:v>1176</x:v>
      </x:c>
    </x:row>
    <x:row r="8" ht="33.75" hidden="0" customHeight="1">
      <x:c r="A8" s="94" t="s">
        <x:v>1177</x:v>
      </x:c>
      <x:c r="B8" s="69" t="s">
        <x:v>1178</x:v>
      </x:c>
      <x:c r="C8" s="95" t="s">
        <x:v>1179</x:v>
      </x:c>
    </x:row>
    <x:row r="9" ht="33.75" hidden="0" customHeight="1">
      <x:c r="A9" s="94" t="s">
        <x:v>1180</x:v>
      </x:c>
      <x:c r="B9" s="69" t="s">
        <x:v>1181</x:v>
      </x:c>
      <x:c r="C9" s="95" t="s">
        <x:v>1182</x:v>
      </x:c>
    </x:row>
    <x:row r="10" ht="33.75" hidden="0" customHeight="1">
      <x:c r="A10" s="94" t="s">
        <x:v>1183</x:v>
      </x:c>
      <x:c r="B10" s="69" t="s">
        <x:v>1184</x:v>
      </x:c>
      <x:c r="C10" s="95" t="s">
        <x:v>1185</x:v>
      </x:c>
    </x:row>
    <x:row r="11" ht="33.75" hidden="0" customHeight="1">
      <x:c r="A11" s="94" t="s">
        <x:v>1186</x:v>
      </x:c>
      <x:c r="B11" s="69" t="s">
        <x:v>1187</x:v>
      </x:c>
      <x:c r="C11" s="95" t="s">
        <x:v>1188</x:v>
      </x:c>
    </x:row>
    <x:row r="12" ht="33.75" hidden="0" customHeight="1">
      <x:c r="A12" s="94" t="s">
        <x:v>1189</x:v>
      </x:c>
      <x:c r="B12" s="69" t="s">
        <x:v>1190</x:v>
      </x:c>
      <x:c r="C12" s="95" t="s">
        <x:v>1191</x:v>
      </x:c>
    </x:row>
    <x:row r="13" ht="33.75" hidden="0" customHeight="1">
      <x:c r="A13" s="94" t="s">
        <x:v>1192</x:v>
      </x:c>
      <x:c r="B13" s="69" t="s">
        <x:v>1193</x:v>
      </x:c>
      <x:c r="C13" s="95" t="s">
        <x:v>1194</x:v>
      </x:c>
    </x:row>
    <x:row r="16" ht="15" hidden="0" customHeight="1">
      <x:c r="A16" s="315" t="str">
        <x:v>DEMO DATA ASSUMPTIONS</x:v>
      </x:c>
      <x:c r="B16" s="316"/>
      <x:c r="C16" s="316"/>
      <x:c r="D16" s="93"/>
      <x:c r="E16" s="93"/>
    </x:row>
    <x:row r="17" ht="26" hidden="0" customHeight="1">
      <x:c r="A17" s="321" t="str">
        <x:v>6-month value timing</x:v>
      </x:c>
      <x:c r="B17" s="322" t="str">
        <x:v>Jul-Dec 2026</x:v>
      </x:c>
      <x:c r="C17" s="322" t="str">
        <x:v>12% / 15% / 18% / 20% / 18% / 17% allocation of portfolio revenue &amp; profit</x:v>
      </x:c>
      <x:c r="D17" s="93"/>
      <x:c r="E17" s="93"/>
    </x:row>
    <x:row r="18" ht="26" customHeight="1">
      <x:c r="A18" s="321" t="str">
        <x:v>Dummy portfolio</x:v>
      </x:c>
      <x:c r="B18" s="321" t="str">
        <x:v>100 projects / 600 tasks</x:v>
      </x:c>
      <x:c r="C18" s="321" t="str">
        <x:v>Values are illustrative for prototype demonstration and should be replaced with live project data.</x:v>
      </x:c>
    </x:row>
    <x:row r="19" ht="26" customHeight="1">
      <x:c r="A19" s="321" t="str">
        <x:v>Data quality rule</x:v>
      </x:c>
      <x:c r="B19" s="321" t="str">
        <x:v>No duplicate Project IDs / Task IDs</x:v>
      </x:c>
      <x:c r="C19" s="321" t="str">
        <x:v>Integrity sheet should remain at zero exceptions before executive use.</x:v>
      </x:c>
    </x:row>
  </x:sheetData>
  <x:mergeCells>
    <x:mergeCell ref="A1:E1"/>
    <x:mergeCell ref="A2:E2"/>
    <x:mergeCell ref="B16:E17"/>
  </x:mergeCells>
  <x:pageMargins left="0.7" right="0.7" top="0.75" bottom="0.75" header="0.3" footer="0.3"/>
  <x:drawing xmlns:r="http://schemas.openxmlformats.org/officeDocument/2006/relationships" r:id="R83f03d130b73458d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5" width="18" hidden="0" customWidth="1"/>
  </x:cols>
  <x:sheetData>
    <x:row r="1" ht="30" hidden="0" customHeight="1">
      <x:c r="A1" s="1" t="s">
        <x:v>1195</x:v>
      </x:c>
      <x:c r="B1" s="1"/>
      <x:c r="C1" s="1"/>
      <x:c r="D1" s="1"/>
      <x:c r="E1" s="1"/>
      <x:c r="G1" s="23" t="s">
        <x:v>1196</x:v>
      </x:c>
      <x:c r="K1" t="str">
        <x:v>6-Month Value Timing Assumption</x:v>
      </x:c>
      <x:c r="L1" t="str">
        <x:v>Weight</x:v>
      </x:c>
    </x:row>
    <x:row r="2" ht="21.75" hidden="0" customHeight="1">
      <x:c r="A2" s="2" t="s">
        <x:v>1197</x:v>
      </x:c>
      <x:c r="B2" s="2"/>
      <x:c r="C2" s="2"/>
      <x:c r="D2" s="2"/>
      <x:c r="E2" s="2"/>
      <x:c r="G2" t="s">
        <x:v>1198</x:v>
      </x:c>
      <x:c r="H2" s="96" t="s">
        <x:v>1199</x:v>
      </x:c>
      <x:c r="J2" t="s">
        <x:v>360</x:v>
      </x:c>
      <x:c r="K2" s="280" t="n">
        <x:v>46204</x:v>
      </x:c>
      <x:c r="L2" s="282" t="n">
        <x:v>0.12</x:v>
      </x:c>
    </x:row>
    <x:row r="3" ht="15" hidden="0">
      <x:c r="G3" t="s">
        <x:v>1200</x:v>
      </x:c>
      <x:c r="H3" s="97" t="s">
        <x:v>1201</x:v>
      </x:c>
      <x:c r="J3" t="s">
        <x:v>449</x:v>
      </x:c>
      <x:c r="K3" s="280" t="n">
        <x:v>46235</x:v>
      </x:c>
      <x:c r="L3" s="282" t="n">
        <x:v>0.15</x:v>
      </x:c>
    </x:row>
    <x:row r="4" ht="15" hidden="0">
      <x:c r="A4" s="98" t="s">
        <x:v>339</x:v>
      </x:c>
      <x:c r="B4" s="98" t="s">
        <x:v>58</x:v>
      </x:c>
      <x:c r="C4" s="98" t="s">
        <x:v>338</x:v>
      </x:c>
      <x:c r="D4" s="98" t="s">
        <x:v>1202</x:v>
      </x:c>
      <x:c r="E4" s="98" t="s">
        <x:v>388</x:v>
      </x:c>
      <x:c r="G4" t="s">
        <x:v>1203</x:v>
      </x:c>
      <x:c r="H4" s="99" t="s">
        <x:v>1204</x:v>
      </x:c>
      <x:c r="J4" t="s">
        <x:v>462</x:v>
      </x:c>
      <x:c r="K4" s="280" t="n">
        <x:v>46266</x:v>
      </x:c>
      <x:c r="L4" s="282" t="n">
        <x:v>0.18</x:v>
      </x:c>
    </x:row>
    <x:row r="5" ht="15" hidden="0">
      <x:c r="A5" s="56" t="s">
        <x:v>1205</x:v>
      </x:c>
      <x:c r="B5" s="56" t="s">
        <x:v>61</x:v>
      </x:c>
      <x:c r="C5" s="56" t="s">
        <x:v>546</x:v>
      </x:c>
      <x:c r="D5" s="56" t="s">
        <x:v>1206</x:v>
      </x:c>
      <x:c r="E5" s="56" t="s">
        <x:v>393</x:v>
      </x:c>
      <x:c r="G5" t="s">
        <x:v>1207</x:v>
      </x:c>
      <x:c r="H5" s="100" t="s">
        <x:v>1208</x:v>
      </x:c>
      <x:c r="J5" t="s">
        <x:v>441</x:v>
      </x:c>
      <x:c r="K5" s="280" t="n">
        <x:v>46296</x:v>
      </x:c>
      <x:c r="L5" s="282" t="n">
        <x:v>0.2</x:v>
      </x:c>
    </x:row>
    <x:row r="6" ht="15" hidden="0">
      <x:c r="A6" s="56" t="s">
        <x:v>543</x:v>
      </x:c>
      <x:c r="B6" s="56" t="s">
        <x:v>63</x:v>
      </x:c>
      <x:c r="C6" s="56" t="s">
        <x:v>493</x:v>
      </x:c>
      <x:c r="D6" s="56" t="s">
        <x:v>1209</x:v>
      </x:c>
      <x:c r="E6" s="56" t="s">
        <x:v>1210</x:v>
      </x:c>
      <x:c r="G6" t="s">
        <x:v>546</x:v>
      </x:c>
      <x:c r="H6" s="101" t="s">
        <x:v>1211</x:v>
      </x:c>
      <x:c r="J6" t="s">
        <x:v>452</x:v>
      </x:c>
      <x:c r="K6" s="280" t="n">
        <x:v>46327</x:v>
      </x:c>
      <x:c r="L6" s="282" t="n">
        <x:v>0.18</x:v>
      </x:c>
    </x:row>
    <x:row r="7" ht="15" hidden="0">
      <x:c r="A7" s="56" t="s">
        <x:v>586</x:v>
      </x:c>
      <x:c r="B7" s="56" t="s">
        <x:v>65</x:v>
      </x:c>
      <x:c r="C7" s="56" t="s">
        <x:v>550</x:v>
      </x:c>
      <x:c r="D7" s="56" t="s">
        <x:v>1212</x:v>
      </x:c>
      <x:c r="E7" s="56" t="s">
        <x:v>1213</x:v>
      </x:c>
      <x:c r="G7" t="s">
        <x:v>1214</x:v>
      </x:c>
      <x:c r="H7" s="102" t="s">
        <x:v>1215</x:v>
      </x:c>
      <x:c r="J7" t="s">
        <x:v>445</x:v>
      </x:c>
      <x:c r="K7" s="280" t="n">
        <x:v>46357</x:v>
      </x:c>
      <x:c r="L7" s="282" t="n">
        <x:v>0.17</x:v>
      </x:c>
    </x:row>
    <x:row r="8" ht="15" hidden="0">
      <x:c r="A8" s="56" t="s">
        <x:v>595</x:v>
      </x:c>
      <x:c r="B8" s="56"/>
      <x:c r="C8" s="56" t="s">
        <x:v>557</x:v>
      </x:c>
      <x:c r="D8" s="56" t="s">
        <x:v>1216</x:v>
      </x:c>
      <x:c r="E8" s="56" t="s">
        <x:v>1217</x:v>
      </x:c>
      <x:c r="G8" t="s">
        <x:v>1218</x:v>
      </x:c>
      <x:c r="H8" s="103" t="s">
        <x:v>1219</x:v>
      </x:c>
      <x:c r="J8" t="s">
        <x:v>475</x:v>
      </x:c>
    </x:row>
    <x:row r="9" ht="15" hidden="0">
      <x:c r="A9" s="56" t="s">
        <x:v>1220</x:v>
      </x:c>
      <x:c r="B9" s="56"/>
      <x:c r="C9" s="56"/>
      <x:c r="D9" s="56" t="s">
        <x:v>1221</x:v>
      </x:c>
      <x:c r="E9" s="56"/>
      <x:c r="G9" t="s">
        <x:v>1222</x:v>
      </x:c>
      <x:c r="H9" s="104" t="s">
        <x:v>1223</x:v>
      </x:c>
      <x:c r="J9" t="s">
        <x:v>434</x:v>
      </x:c>
    </x:row>
    <x:row r="10" ht="15" hidden="0">
      <x:c r="A10" s="56"/>
      <x:c r="B10" s="56"/>
      <x:c r="C10" s="56"/>
      <x:c r="D10" s="56" t="s">
        <x:v>1224</x:v>
      </x:c>
      <x:c r="E10" s="56"/>
      <x:c r="J10" t="s">
        <x:v>442</x:v>
      </x:c>
    </x:row>
    <x:row r="11" ht="15" hidden="0">
      <x:c r="A11" s="56"/>
      <x:c r="B11" s="56"/>
      <x:c r="C11" s="56"/>
      <x:c r="D11" s="56" t="s">
        <x:v>1225</x:v>
      </x:c>
      <x:c r="E11" s="56"/>
      <x:c r="J11" t="s">
        <x:v>455</x:v>
      </x:c>
    </x:row>
    <x:row r="12" ht="15" hidden="0">
      <x:c r="J12" t="s">
        <x:v>446</x:v>
      </x:c>
    </x:row>
    <x:row r="13" ht="15" hidden="0">
      <x:c r="J13" t="s">
        <x:v>435</x:v>
      </x:c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99f4455e31354530"/>
</x:worksheet>
</file>